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omments2.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7.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8.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9.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10.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11.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12.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omments3.xml" ContentType="application/vnd.openxmlformats-officedocument.spreadsheetml.comments+xml"/>
  <Override PartName="/xl/threadedComments/threadedComment2.xml" ContentType="application/vnd.ms-excel.threadedcomments+xml"/>
  <Override PartName="/xl/drawings/drawing13.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hidePivotFieldList="1" defaultThemeVersion="166925"/>
  <mc:AlternateContent xmlns:mc="http://schemas.openxmlformats.org/markup-compatibility/2006">
    <mc:Choice Requires="x15">
      <x15ac:absPath xmlns:x15ac="http://schemas.microsoft.com/office/spreadsheetml/2010/11/ac" url="https://cochlearltdapc-my.sharepoint.com/personal/rambihaipahan_cochlear_com/Documents/Documents/audit/"/>
    </mc:Choice>
  </mc:AlternateContent>
  <xr:revisionPtr revIDLastSave="0" documentId="8_{1B824797-DC52-438E-8176-45362CFDC05B}" xr6:coauthVersionLast="47" xr6:coauthVersionMax="47" xr10:uidLastSave="{00000000-0000-0000-0000-000000000000}"/>
  <bookViews>
    <workbookView xWindow="-165" yWindow="-165" windowWidth="29130" windowHeight="15810" tabRatio="792" xr2:uid="{37FDDA4D-38BF-412B-A457-8B6C1F0DE40A}"/>
  </bookViews>
  <sheets>
    <sheet name="Data Collection Sheet" sheetId="5" r:id="rId1"/>
    <sheet name="EQUINIX DC" sheetId="25" r:id="rId2"/>
    <sheet name="MacPark-DC" sheetId="24" r:id="rId3"/>
    <sheet name="Denver (Unity)" sheetId="39" r:id="rId4"/>
    <sheet name="Denver (HX)" sheetId="19" r:id="rId5"/>
    <sheet name="Denver (ESX)" sheetId="36" r:id="rId6"/>
    <sheet name="Denver (FPS)" sheetId="35" r:id="rId7"/>
    <sheet name="Mechelen (HX)" sheetId="17" r:id="rId8"/>
    <sheet name="AUB (HX)" sheetId="32" r:id="rId9"/>
    <sheet name="CMY (HX)" sheetId="30" r:id="rId10"/>
    <sheet name="CNC (HX)" sheetId="31" r:id="rId11"/>
    <sheet name="GBW (HX)" sheetId="34" r:id="rId12"/>
    <sheet name="SEG (HX)" sheetId="33" r:id="rId13"/>
    <sheet name="Commvault S3 Data Collection" sheetId="37" r:id="rId14"/>
    <sheet name="Commvault S3 All Regions" sheetId="38" r:id="rId15"/>
    <sheet name="AWS Operational Commvault" sheetId="41" r:id="rId16"/>
    <sheet name="AWS Immutable" sheetId="45" r:id="rId17"/>
    <sheet name="AWS LTR" sheetId="43" r:id="rId18"/>
  </sheets>
  <definedNames>
    <definedName name="_xlnm._FilterDatabase" localSheetId="13" hidden="1">'Commvault S3 Data Collection'!#REF!</definedName>
    <definedName name="_xlnm._FilterDatabase" localSheetId="0" hidden="1">'Data Collection Sheet'!$E$128:$BO$128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5" i="34" l="1"/>
  <c r="G45" i="34"/>
  <c r="I45" i="34" s="1"/>
  <c r="H45" i="34"/>
  <c r="D57" i="35"/>
  <c r="G57" i="35" s="1"/>
  <c r="I57" i="35" s="1"/>
  <c r="D57" i="36"/>
  <c r="G58" i="24"/>
  <c r="D353" i="25"/>
  <c r="G353" i="25" s="1"/>
  <c r="I353" i="25" s="1"/>
  <c r="D258" i="25"/>
  <c r="H258" i="25" s="1"/>
  <c r="G33" i="39"/>
  <c r="H33" i="39"/>
  <c r="I33" i="39"/>
  <c r="BL161" i="5"/>
  <c r="D45" i="31" s="1"/>
  <c r="H45" i="31" s="1"/>
  <c r="BK155" i="5"/>
  <c r="D44" i="30" s="1"/>
  <c r="BL155" i="5"/>
  <c r="BL157" i="5" s="1"/>
  <c r="BL149" i="5"/>
  <c r="BL151" i="5" s="1"/>
  <c r="BL143" i="5"/>
  <c r="D45" i="32" s="1"/>
  <c r="BL145" i="5"/>
  <c r="BL137" i="5"/>
  <c r="D45" i="33" s="1"/>
  <c r="G45" i="33" s="1"/>
  <c r="I45" i="33" s="1"/>
  <c r="BL139" i="5"/>
  <c r="BL131" i="5"/>
  <c r="D57" i="17" s="1"/>
  <c r="BL133" i="5"/>
  <c r="BL124" i="5"/>
  <c r="BL125" i="5" s="1"/>
  <c r="BL117" i="5"/>
  <c r="BL118" i="5" s="1"/>
  <c r="BL108" i="5"/>
  <c r="D182" i="25" s="1"/>
  <c r="BL91" i="5"/>
  <c r="D57" i="25" s="1"/>
  <c r="G57" i="25" s="1"/>
  <c r="BL77" i="5"/>
  <c r="BL78" i="5" s="1"/>
  <c r="BL79" i="5"/>
  <c r="BL68" i="5"/>
  <c r="BL70" i="5" s="1"/>
  <c r="BL69" i="5"/>
  <c r="BL54" i="5"/>
  <c r="BL55" i="5" s="1"/>
  <c r="BL24" i="5"/>
  <c r="BL25" i="5" s="1"/>
  <c r="B56" i="24"/>
  <c r="B57" i="24"/>
  <c r="B58" i="24"/>
  <c r="B59" i="24"/>
  <c r="B60" i="24"/>
  <c r="B61" i="24"/>
  <c r="B62" i="24"/>
  <c r="B63" i="24"/>
  <c r="B64" i="24"/>
  <c r="B65" i="24"/>
  <c r="B66" i="24"/>
  <c r="B67" i="24"/>
  <c r="B68" i="24"/>
  <c r="B69" i="24"/>
  <c r="B70" i="24"/>
  <c r="B71" i="24"/>
  <c r="B72" i="24"/>
  <c r="B73" i="24"/>
  <c r="B74" i="24"/>
  <c r="B75" i="24"/>
  <c r="B76" i="24"/>
  <c r="B77" i="24"/>
  <c r="B78" i="24"/>
  <c r="B55" i="24"/>
  <c r="D44" i="34"/>
  <c r="H44" i="34" s="1"/>
  <c r="D56" i="35"/>
  <c r="H56" i="35"/>
  <c r="D56" i="36"/>
  <c r="H32" i="39"/>
  <c r="D352" i="25"/>
  <c r="H352" i="25" s="1"/>
  <c r="D257" i="25"/>
  <c r="H257" i="25" s="1"/>
  <c r="BK161" i="5"/>
  <c r="D44" i="31" s="1"/>
  <c r="BK149" i="5"/>
  <c r="BK151" i="5" s="1"/>
  <c r="BK143" i="5"/>
  <c r="BK145" i="5" s="1"/>
  <c r="BK137" i="5"/>
  <c r="D44" i="33" s="1"/>
  <c r="BK131" i="5"/>
  <c r="BK133" i="5" s="1"/>
  <c r="BK124" i="5"/>
  <c r="D56" i="19" s="1"/>
  <c r="BK117" i="5"/>
  <c r="BK118" i="5" s="1"/>
  <c r="BK108" i="5"/>
  <c r="D181" i="25" s="1"/>
  <c r="BK77" i="5"/>
  <c r="BK78" i="5" s="1"/>
  <c r="BK91" i="5"/>
  <c r="D56" i="25" s="1"/>
  <c r="BK68" i="5"/>
  <c r="BK70" i="5" s="1"/>
  <c r="BK69" i="5"/>
  <c r="BK54" i="5"/>
  <c r="BK55" i="5" s="1"/>
  <c r="BK24" i="5"/>
  <c r="BK25" i="5" s="1"/>
  <c r="J38" i="43"/>
  <c r="K39" i="43" s="1"/>
  <c r="H38" i="43"/>
  <c r="I39" i="43" s="1"/>
  <c r="F38" i="43"/>
  <c r="G39" i="43" s="1"/>
  <c r="L38" i="45"/>
  <c r="M39" i="45" s="1"/>
  <c r="J38" i="45"/>
  <c r="K39" i="45" s="1"/>
  <c r="H38" i="45"/>
  <c r="I39" i="45" s="1"/>
  <c r="F38" i="45"/>
  <c r="G39" i="45" s="1"/>
  <c r="T38" i="41"/>
  <c r="U39" i="41" s="1"/>
  <c r="R38" i="41"/>
  <c r="S39" i="41" s="1"/>
  <c r="P38" i="41"/>
  <c r="Q39" i="41" s="1"/>
  <c r="N38" i="41"/>
  <c r="O39" i="41" s="1"/>
  <c r="L38" i="41"/>
  <c r="M39" i="41" s="1"/>
  <c r="J38" i="41"/>
  <c r="K39" i="41" s="1"/>
  <c r="H38" i="41"/>
  <c r="I39" i="41" s="1"/>
  <c r="B79" i="24"/>
  <c r="B80" i="24"/>
  <c r="D43" i="34"/>
  <c r="D55" i="35"/>
  <c r="D55" i="36"/>
  <c r="H31" i="39"/>
  <c r="D351" i="25"/>
  <c r="H351" i="25" s="1"/>
  <c r="D350" i="25"/>
  <c r="H350" i="25" s="1"/>
  <c r="D349" i="25"/>
  <c r="D348" i="25"/>
  <c r="H348" i="25" s="1"/>
  <c r="D347" i="25"/>
  <c r="H347" i="25" s="1"/>
  <c r="D256" i="25"/>
  <c r="BJ77" i="5"/>
  <c r="BJ79" i="5" s="1"/>
  <c r="S77" i="5"/>
  <c r="S79" i="5" s="1"/>
  <c r="R77" i="5"/>
  <c r="R78" i="5" s="1"/>
  <c r="Q77" i="5"/>
  <c r="Q78" i="5" s="1"/>
  <c r="P77" i="5"/>
  <c r="P78" i="5" s="1"/>
  <c r="O77" i="5"/>
  <c r="O78" i="5" s="1"/>
  <c r="N77" i="5"/>
  <c r="N79" i="5" s="1"/>
  <c r="M77" i="5"/>
  <c r="M79" i="5" s="1"/>
  <c r="L77" i="5"/>
  <c r="L78" i="5" s="1"/>
  <c r="K77" i="5"/>
  <c r="K78" i="5" s="1"/>
  <c r="J77" i="5"/>
  <c r="J78" i="5" s="1"/>
  <c r="I77" i="5"/>
  <c r="I78" i="5" s="1"/>
  <c r="BJ161" i="5"/>
  <c r="BJ163" i="5" s="1"/>
  <c r="BJ155" i="5"/>
  <c r="BJ157" i="5" s="1"/>
  <c r="BJ149" i="5"/>
  <c r="BJ151" i="5" s="1"/>
  <c r="BJ143" i="5"/>
  <c r="BJ145" i="5" s="1"/>
  <c r="BJ137" i="5"/>
  <c r="BJ139" i="5" s="1"/>
  <c r="BJ131" i="5"/>
  <c r="BJ133" i="5" s="1"/>
  <c r="BJ124" i="5"/>
  <c r="BJ125" i="5" s="1"/>
  <c r="BJ117" i="5"/>
  <c r="BJ118" i="5" s="1"/>
  <c r="BJ108" i="5"/>
  <c r="D180" i="25" s="1"/>
  <c r="BJ91" i="5"/>
  <c r="D55" i="25" s="1"/>
  <c r="BJ68" i="5"/>
  <c r="BJ70" i="5" s="1"/>
  <c r="BJ54" i="5"/>
  <c r="BJ55" i="5" s="1"/>
  <c r="BJ24" i="5"/>
  <c r="BJ25" i="5" s="1"/>
  <c r="J37" i="43"/>
  <c r="H37" i="43"/>
  <c r="F37" i="43"/>
  <c r="L37" i="45"/>
  <c r="J37" i="45"/>
  <c r="H37" i="45"/>
  <c r="F37" i="45"/>
  <c r="T37" i="41"/>
  <c r="R37" i="41"/>
  <c r="P37" i="41"/>
  <c r="N37" i="41"/>
  <c r="L37" i="41"/>
  <c r="J37" i="41"/>
  <c r="H37" i="41"/>
  <c r="D42" i="34"/>
  <c r="D54" i="35"/>
  <c r="D54" i="36"/>
  <c r="H30" i="39"/>
  <c r="D255" i="25"/>
  <c r="BI161" i="5"/>
  <c r="D42" i="31" s="1"/>
  <c r="BI155" i="5"/>
  <c r="BI149" i="5"/>
  <c r="BI151" i="5" s="1"/>
  <c r="BI143" i="5"/>
  <c r="D42" i="32" s="1"/>
  <c r="BI137" i="5"/>
  <c r="D42" i="33" s="1"/>
  <c r="BI131" i="5"/>
  <c r="D54" i="17" s="1"/>
  <c r="H54" i="17" s="1"/>
  <c r="BI124" i="5"/>
  <c r="BI126" i="5" s="1"/>
  <c r="BI117" i="5"/>
  <c r="BI118" i="5" s="1"/>
  <c r="BI108" i="5"/>
  <c r="D179" i="25" s="1"/>
  <c r="BI91" i="5"/>
  <c r="D54" i="25" s="1"/>
  <c r="BI68" i="5"/>
  <c r="BI70" i="5" s="1"/>
  <c r="BI54" i="5"/>
  <c r="BI55" i="5" s="1"/>
  <c r="BI24" i="5"/>
  <c r="BI25" i="5" s="1"/>
  <c r="BH24" i="5"/>
  <c r="J36" i="43"/>
  <c r="H36" i="43"/>
  <c r="F36" i="43"/>
  <c r="L36" i="45"/>
  <c r="J36" i="45"/>
  <c r="H36" i="45"/>
  <c r="F36" i="45"/>
  <c r="T36" i="41"/>
  <c r="R36" i="41"/>
  <c r="P36" i="41"/>
  <c r="N36" i="41"/>
  <c r="L36" i="41"/>
  <c r="J36" i="41"/>
  <c r="H36" i="41"/>
  <c r="D41" i="34"/>
  <c r="D53" i="35"/>
  <c r="D53" i="36"/>
  <c r="H29" i="39"/>
  <c r="D254" i="25"/>
  <c r="BH161" i="5"/>
  <c r="BH163" i="5" s="1"/>
  <c r="BH155" i="5"/>
  <c r="BH157" i="5" s="1"/>
  <c r="BH149" i="5"/>
  <c r="BH151" i="5" s="1"/>
  <c r="BH143" i="5"/>
  <c r="D41" i="32" s="1"/>
  <c r="BH137" i="5"/>
  <c r="BH131" i="5"/>
  <c r="D53" i="17" s="1"/>
  <c r="BH124" i="5"/>
  <c r="BH125" i="5" s="1"/>
  <c r="BH117" i="5"/>
  <c r="BH119" i="5" s="1"/>
  <c r="BH108" i="5"/>
  <c r="BH91" i="5"/>
  <c r="D53" i="25" s="1"/>
  <c r="BH68" i="5"/>
  <c r="BH69" i="5" s="1"/>
  <c r="BH54" i="5"/>
  <c r="BH55" i="5" s="1"/>
  <c r="D253" i="25"/>
  <c r="D252" i="25"/>
  <c r="D40" i="34"/>
  <c r="H40" i="34" s="1"/>
  <c r="D39" i="34"/>
  <c r="H39" i="34" s="1"/>
  <c r="D52" i="35"/>
  <c r="D51" i="35"/>
  <c r="H51" i="35" s="1"/>
  <c r="D52" i="36"/>
  <c r="D51" i="36"/>
  <c r="H27" i="39"/>
  <c r="H28" i="39"/>
  <c r="BF161" i="5"/>
  <c r="D39" i="31" s="1"/>
  <c r="H39" i="31" s="1"/>
  <c r="BG161" i="5"/>
  <c r="D40" i="31" s="1"/>
  <c r="BF155" i="5"/>
  <c r="BF157" i="5" s="1"/>
  <c r="BG155" i="5"/>
  <c r="BF149" i="5"/>
  <c r="BF151" i="5" s="1"/>
  <c r="BG149" i="5"/>
  <c r="BG151" i="5" s="1"/>
  <c r="BF143" i="5"/>
  <c r="D39" i="32" s="1"/>
  <c r="H39" i="32" s="1"/>
  <c r="BG143" i="5"/>
  <c r="D40" i="32" s="1"/>
  <c r="BF137" i="5"/>
  <c r="BG137" i="5"/>
  <c r="D40" i="33" s="1"/>
  <c r="J35" i="43"/>
  <c r="H35" i="43"/>
  <c r="F35" i="43"/>
  <c r="L35" i="45"/>
  <c r="J35" i="45"/>
  <c r="H35" i="45"/>
  <c r="F35" i="45"/>
  <c r="T35" i="41"/>
  <c r="R35" i="41"/>
  <c r="P35" i="41"/>
  <c r="N35" i="41"/>
  <c r="L35" i="41"/>
  <c r="J35" i="41"/>
  <c r="H35" i="41"/>
  <c r="H34" i="41"/>
  <c r="BF131" i="5"/>
  <c r="BF133" i="5" s="1"/>
  <c r="BG131" i="5"/>
  <c r="BG133" i="5" s="1"/>
  <c r="BF124" i="5"/>
  <c r="BF126" i="5" s="1"/>
  <c r="BG124" i="5"/>
  <c r="BG125" i="5" s="1"/>
  <c r="BE117" i="5"/>
  <c r="BE119" i="5" s="1"/>
  <c r="BF117" i="5"/>
  <c r="BF118" i="5" s="1"/>
  <c r="BG117" i="5"/>
  <c r="BG118" i="5" s="1"/>
  <c r="BF108" i="5"/>
  <c r="BG108" i="5"/>
  <c r="BF91" i="5"/>
  <c r="D51" i="25" s="1"/>
  <c r="BG91" i="5"/>
  <c r="D52" i="25" s="1"/>
  <c r="BF68" i="5"/>
  <c r="BF70" i="5" s="1"/>
  <c r="BG68" i="5"/>
  <c r="BG70" i="5" s="1"/>
  <c r="BE54" i="5"/>
  <c r="BE56" i="5" s="1"/>
  <c r="BF54" i="5"/>
  <c r="BF56" i="5" s="1"/>
  <c r="BG54" i="5"/>
  <c r="BG56" i="5" s="1"/>
  <c r="BF24" i="5"/>
  <c r="BG24" i="5"/>
  <c r="BG25" i="5" s="1"/>
  <c r="J34" i="43"/>
  <c r="J33" i="43"/>
  <c r="H34" i="43"/>
  <c r="F34" i="43"/>
  <c r="L34" i="45"/>
  <c r="J34" i="45"/>
  <c r="H34" i="45"/>
  <c r="F34" i="45"/>
  <c r="T34" i="41"/>
  <c r="R34" i="41"/>
  <c r="P34" i="41"/>
  <c r="N34" i="41"/>
  <c r="L34" i="41"/>
  <c r="J34" i="41"/>
  <c r="H33" i="43"/>
  <c r="F33" i="43"/>
  <c r="L33" i="45"/>
  <c r="J33" i="45"/>
  <c r="H33" i="45"/>
  <c r="F33" i="45"/>
  <c r="T33" i="41"/>
  <c r="R33" i="41"/>
  <c r="P33" i="41"/>
  <c r="N33" i="41"/>
  <c r="L33" i="41"/>
  <c r="J33" i="41"/>
  <c r="H33" i="41"/>
  <c r="M49" i="30"/>
  <c r="D38" i="34"/>
  <c r="H38" i="34" s="1"/>
  <c r="D50" i="35"/>
  <c r="H50" i="35" s="1"/>
  <c r="D50" i="36"/>
  <c r="H26" i="39"/>
  <c r="D346" i="25"/>
  <c r="H346" i="25" s="1"/>
  <c r="D251" i="25"/>
  <c r="H251" i="25" s="1"/>
  <c r="BE161" i="5"/>
  <c r="D38" i="31" s="1"/>
  <c r="H38" i="31" s="1"/>
  <c r="BE155" i="5"/>
  <c r="D38" i="30" s="1"/>
  <c r="H38" i="30" s="1"/>
  <c r="BE149" i="5"/>
  <c r="BE151" i="5" s="1"/>
  <c r="BE143" i="5"/>
  <c r="D38" i="32" s="1"/>
  <c r="H38" i="32" s="1"/>
  <c r="BE137" i="5"/>
  <c r="D38" i="33" s="1"/>
  <c r="BE131" i="5"/>
  <c r="D50" i="17" s="1"/>
  <c r="BE124" i="5"/>
  <c r="BE126" i="5" s="1"/>
  <c r="BE108" i="5"/>
  <c r="D175" i="25" s="1"/>
  <c r="BE91" i="5"/>
  <c r="D50" i="25" s="1"/>
  <c r="BE68" i="5"/>
  <c r="BE69" i="5" s="1"/>
  <c r="BE24" i="5"/>
  <c r="BE25" i="5" s="1"/>
  <c r="J32" i="43"/>
  <c r="H32" i="43"/>
  <c r="F32" i="43"/>
  <c r="L32" i="45"/>
  <c r="J32" i="45"/>
  <c r="H32" i="45"/>
  <c r="F32" i="45"/>
  <c r="T32" i="41"/>
  <c r="R32" i="41"/>
  <c r="P32" i="41"/>
  <c r="N32" i="41"/>
  <c r="L32" i="41"/>
  <c r="J32" i="41"/>
  <c r="H32" i="41"/>
  <c r="J31" i="43"/>
  <c r="H31" i="43"/>
  <c r="F31" i="43"/>
  <c r="L31" i="45"/>
  <c r="J31" i="45"/>
  <c r="H31" i="45"/>
  <c r="F31" i="45"/>
  <c r="T31" i="41"/>
  <c r="R31" i="41"/>
  <c r="P31" i="41"/>
  <c r="N31" i="41"/>
  <c r="L31" i="41"/>
  <c r="J31" i="41"/>
  <c r="H31" i="41"/>
  <c r="BP66" i="37"/>
  <c r="BO66" i="37"/>
  <c r="BN66" i="37"/>
  <c r="BM66" i="37"/>
  <c r="BL66" i="37"/>
  <c r="BK66" i="37"/>
  <c r="BJ66" i="37"/>
  <c r="BI66" i="37"/>
  <c r="BH66" i="37"/>
  <c r="BG66" i="37"/>
  <c r="BF66" i="37"/>
  <c r="BE66" i="37"/>
  <c r="BP54" i="37"/>
  <c r="BO54" i="37"/>
  <c r="BN54" i="37"/>
  <c r="BM54" i="37"/>
  <c r="BL54" i="37"/>
  <c r="BK54" i="37"/>
  <c r="BJ54" i="37"/>
  <c r="BI54" i="37"/>
  <c r="BH54" i="37"/>
  <c r="BG54" i="37"/>
  <c r="BF54" i="37"/>
  <c r="BE54" i="37"/>
  <c r="BP43" i="37"/>
  <c r="BO43" i="37"/>
  <c r="BN43" i="37"/>
  <c r="BM43" i="37"/>
  <c r="BL43" i="37"/>
  <c r="BK43" i="37"/>
  <c r="BJ43" i="37"/>
  <c r="BI43" i="37"/>
  <c r="BH43" i="37"/>
  <c r="BG43" i="37"/>
  <c r="BF43" i="37"/>
  <c r="BE43" i="37"/>
  <c r="BP38" i="37"/>
  <c r="BO38" i="37"/>
  <c r="BN38" i="37"/>
  <c r="BM38" i="37"/>
  <c r="BL38" i="37"/>
  <c r="BK38" i="37"/>
  <c r="BJ38" i="37"/>
  <c r="BI38" i="37"/>
  <c r="BH38" i="37"/>
  <c r="BG38" i="37"/>
  <c r="BF38" i="37"/>
  <c r="BE38" i="37"/>
  <c r="BP33" i="37"/>
  <c r="BO33" i="37"/>
  <c r="BN33" i="37"/>
  <c r="BM33" i="37"/>
  <c r="BL33" i="37"/>
  <c r="BK33" i="37"/>
  <c r="BJ33" i="37"/>
  <c r="BI33" i="37"/>
  <c r="BH33" i="37"/>
  <c r="BG33" i="37"/>
  <c r="BF33" i="37"/>
  <c r="BE33" i="37"/>
  <c r="BP28" i="37"/>
  <c r="BO28" i="37"/>
  <c r="BN28" i="37"/>
  <c r="BM28" i="37"/>
  <c r="BL28" i="37"/>
  <c r="BK28" i="37"/>
  <c r="BJ28" i="37"/>
  <c r="BI28" i="37"/>
  <c r="BH28" i="37"/>
  <c r="BG28" i="37"/>
  <c r="BF28" i="37"/>
  <c r="BE28" i="37"/>
  <c r="BP22" i="37"/>
  <c r="BO22" i="37"/>
  <c r="BN22" i="37"/>
  <c r="BM22" i="37"/>
  <c r="BL22" i="37"/>
  <c r="BK22" i="37"/>
  <c r="BJ22" i="37"/>
  <c r="BI22" i="37"/>
  <c r="BH22" i="37"/>
  <c r="BG22" i="37"/>
  <c r="BF22" i="37"/>
  <c r="BE22" i="37"/>
  <c r="D37" i="34"/>
  <c r="H37" i="34" s="1"/>
  <c r="D49" i="35"/>
  <c r="D49" i="36"/>
  <c r="H25" i="39"/>
  <c r="D345" i="25"/>
  <c r="D250" i="25"/>
  <c r="H250" i="25" s="1"/>
  <c r="BD161" i="5"/>
  <c r="BD163" i="5" s="1"/>
  <c r="BD155" i="5"/>
  <c r="D37" i="30" s="1"/>
  <c r="BD149" i="5"/>
  <c r="BD151" i="5" s="1"/>
  <c r="BD143" i="5"/>
  <c r="D37" i="32" s="1"/>
  <c r="BD137" i="5"/>
  <c r="D37" i="33" s="1"/>
  <c r="BD131" i="5"/>
  <c r="D49" i="17" s="1"/>
  <c r="BD124" i="5"/>
  <c r="BD125" i="5" s="1"/>
  <c r="BD117" i="5"/>
  <c r="BD119" i="5" s="1"/>
  <c r="BD108" i="5"/>
  <c r="D174" i="25" s="1"/>
  <c r="BD91" i="5"/>
  <c r="BD68" i="5"/>
  <c r="BD70" i="5" s="1"/>
  <c r="BD54" i="5"/>
  <c r="BD56" i="5" s="1"/>
  <c r="BD24" i="5"/>
  <c r="BD25" i="5" s="1"/>
  <c r="D36" i="34"/>
  <c r="D48" i="35"/>
  <c r="D48" i="36"/>
  <c r="H24" i="39"/>
  <c r="D344" i="25"/>
  <c r="D249" i="25"/>
  <c r="B174" i="25"/>
  <c r="B175" i="25"/>
  <c r="B176" i="25"/>
  <c r="B177" i="25"/>
  <c r="B178" i="25"/>
  <c r="B179" i="25"/>
  <c r="B180" i="25"/>
  <c r="B181" i="25"/>
  <c r="B182" i="25"/>
  <c r="B183" i="25"/>
  <c r="B184" i="25"/>
  <c r="B185" i="25"/>
  <c r="B186" i="25"/>
  <c r="B187" i="25"/>
  <c r="B188" i="25"/>
  <c r="B189" i="25"/>
  <c r="B190" i="25"/>
  <c r="B191" i="25"/>
  <c r="B192" i="25"/>
  <c r="B193" i="25"/>
  <c r="B194" i="25"/>
  <c r="B195" i="25"/>
  <c r="B196" i="25"/>
  <c r="B197" i="25"/>
  <c r="B198" i="25"/>
  <c r="B173" i="25"/>
  <c r="BC161" i="5"/>
  <c r="BC163" i="5" s="1"/>
  <c r="BC155" i="5"/>
  <c r="BC157" i="5" s="1"/>
  <c r="BC149" i="5"/>
  <c r="BC143" i="5"/>
  <c r="D36" i="32" s="1"/>
  <c r="BC137" i="5"/>
  <c r="BC131" i="5"/>
  <c r="BC133" i="5" s="1"/>
  <c r="BC124" i="5"/>
  <c r="BC126" i="5" s="1"/>
  <c r="BC117" i="5"/>
  <c r="BC118" i="5" s="1"/>
  <c r="BC108" i="5"/>
  <c r="G109" i="5"/>
  <c r="BL109" i="5" s="1"/>
  <c r="G104" i="5"/>
  <c r="G103" i="5"/>
  <c r="BC91" i="5"/>
  <c r="D48" i="25" s="1"/>
  <c r="BC68" i="5"/>
  <c r="BC69" i="5" s="1"/>
  <c r="BC54" i="5"/>
  <c r="BC55" i="5" s="1"/>
  <c r="BC24" i="5"/>
  <c r="J30" i="43"/>
  <c r="H30" i="43"/>
  <c r="F30" i="43"/>
  <c r="L30" i="45"/>
  <c r="J30" i="45"/>
  <c r="H30" i="45"/>
  <c r="F30" i="45"/>
  <c r="T30" i="41"/>
  <c r="R30" i="41"/>
  <c r="P30" i="41"/>
  <c r="N30" i="41"/>
  <c r="L30" i="41"/>
  <c r="J30" i="41"/>
  <c r="H30" i="41"/>
  <c r="D35" i="34"/>
  <c r="D47" i="35"/>
  <c r="D47" i="36"/>
  <c r="H23" i="39"/>
  <c r="D343" i="25"/>
  <c r="H343" i="25" s="1"/>
  <c r="BL163" i="5" l="1"/>
  <c r="I58" i="24"/>
  <c r="D57" i="19"/>
  <c r="G57" i="19" s="1"/>
  <c r="BM3" i="37"/>
  <c r="G258" i="25"/>
  <c r="I258" i="25" s="1"/>
  <c r="BL126" i="5"/>
  <c r="G182" i="25"/>
  <c r="I182" i="25" s="1"/>
  <c r="H182" i="25"/>
  <c r="G45" i="32"/>
  <c r="I45" i="32" s="1"/>
  <c r="H45" i="32"/>
  <c r="G57" i="17"/>
  <c r="I57" i="17" s="1"/>
  <c r="H57" i="17"/>
  <c r="BL110" i="5"/>
  <c r="H353" i="25"/>
  <c r="H57" i="35"/>
  <c r="BK125" i="5"/>
  <c r="H58" i="24"/>
  <c r="D45" i="30"/>
  <c r="D56" i="24"/>
  <c r="BK119" i="5"/>
  <c r="BL56" i="5"/>
  <c r="D57" i="24"/>
  <c r="G57" i="36"/>
  <c r="H45" i="33"/>
  <c r="G45" i="31"/>
  <c r="I45" i="31" s="1"/>
  <c r="BL119" i="5"/>
  <c r="BL3" i="5"/>
  <c r="BL26" i="5"/>
  <c r="H44" i="30"/>
  <c r="D43" i="31"/>
  <c r="H43" i="31" s="1"/>
  <c r="BK109" i="5"/>
  <c r="I79" i="5"/>
  <c r="BK126" i="5"/>
  <c r="BK157" i="5"/>
  <c r="D56" i="17"/>
  <c r="BK3" i="5"/>
  <c r="J79" i="5"/>
  <c r="BK79" i="5"/>
  <c r="BI163" i="5"/>
  <c r="G56" i="19"/>
  <c r="H44" i="31"/>
  <c r="H181" i="25"/>
  <c r="H44" i="33"/>
  <c r="D55" i="17"/>
  <c r="H55" i="17" s="1"/>
  <c r="BK110" i="5"/>
  <c r="BK163" i="5"/>
  <c r="D43" i="32"/>
  <c r="H43" i="32" s="1"/>
  <c r="BK26" i="5"/>
  <c r="M78" i="5"/>
  <c r="D43" i="30"/>
  <c r="H43" i="30" s="1"/>
  <c r="D44" i="32"/>
  <c r="BK56" i="5"/>
  <c r="BK139" i="5"/>
  <c r="D55" i="19"/>
  <c r="D43" i="33"/>
  <c r="H43" i="33" s="1"/>
  <c r="H56" i="17"/>
  <c r="BJ3" i="5"/>
  <c r="D55" i="24"/>
  <c r="H43" i="34"/>
  <c r="H55" i="35"/>
  <c r="H349" i="25"/>
  <c r="H256" i="25"/>
  <c r="H180" i="25"/>
  <c r="P79" i="5"/>
  <c r="Q79" i="5"/>
  <c r="R79" i="5"/>
  <c r="O79" i="5"/>
  <c r="BJ78" i="5"/>
  <c r="N78" i="5"/>
  <c r="K79" i="5"/>
  <c r="S78" i="5"/>
  <c r="L79" i="5"/>
  <c r="BJ69" i="5"/>
  <c r="BI109" i="5"/>
  <c r="H255" i="25"/>
  <c r="BI125" i="5"/>
  <c r="BH118" i="5"/>
  <c r="BH3" i="5" s="1"/>
  <c r="BI145" i="5"/>
  <c r="BJ26" i="5"/>
  <c r="BI69" i="5"/>
  <c r="BI133" i="5"/>
  <c r="BJ110" i="5"/>
  <c r="D53" i="24"/>
  <c r="BJ109" i="5"/>
  <c r="BI110" i="5"/>
  <c r="BI56" i="5"/>
  <c r="BJ119" i="5"/>
  <c r="BH110" i="5"/>
  <c r="BJ126" i="5"/>
  <c r="BJ56" i="5"/>
  <c r="H179" i="25"/>
  <c r="D41" i="31"/>
  <c r="H41" i="31" s="1"/>
  <c r="BI139" i="5"/>
  <c r="D54" i="19"/>
  <c r="BD109" i="5"/>
  <c r="BH25" i="5"/>
  <c r="BI119" i="5"/>
  <c r="D54" i="24"/>
  <c r="H54" i="24" s="1"/>
  <c r="D42" i="30"/>
  <c r="H42" i="33"/>
  <c r="H42" i="34"/>
  <c r="H42" i="31"/>
  <c r="H42" i="32"/>
  <c r="H54" i="35"/>
  <c r="BI157" i="5"/>
  <c r="BI3" i="5"/>
  <c r="BI26" i="5"/>
  <c r="H41" i="32"/>
  <c r="BE55" i="5"/>
  <c r="BG3" i="5"/>
  <c r="BH145" i="5"/>
  <c r="D178" i="25"/>
  <c r="D41" i="33"/>
  <c r="H41" i="33" s="1"/>
  <c r="BH126" i="5"/>
  <c r="D53" i="19"/>
  <c r="D41" i="30"/>
  <c r="H41" i="30" s="1"/>
  <c r="BH109" i="5"/>
  <c r="BH133" i="5"/>
  <c r="BG145" i="5"/>
  <c r="BH70" i="5"/>
  <c r="BE139" i="5"/>
  <c r="BF125" i="5"/>
  <c r="BF145" i="5"/>
  <c r="BG163" i="5"/>
  <c r="BH139" i="5"/>
  <c r="H41" i="34"/>
  <c r="H53" i="17"/>
  <c r="H53" i="35"/>
  <c r="H254" i="25"/>
  <c r="BH56" i="5"/>
  <c r="D48" i="19"/>
  <c r="BH26" i="5"/>
  <c r="H40" i="33"/>
  <c r="BG109" i="5"/>
  <c r="BD55" i="5"/>
  <c r="BD139" i="5"/>
  <c r="BF55" i="5"/>
  <c r="BG110" i="5"/>
  <c r="BG139" i="5"/>
  <c r="BE157" i="5"/>
  <c r="BF110" i="5"/>
  <c r="D176" i="25"/>
  <c r="H176" i="25" s="1"/>
  <c r="D177" i="25"/>
  <c r="BE125" i="5"/>
  <c r="BD157" i="5"/>
  <c r="BE133" i="5"/>
  <c r="D39" i="33"/>
  <c r="H39" i="33" s="1"/>
  <c r="H253" i="25"/>
  <c r="H252" i="25"/>
  <c r="H40" i="32"/>
  <c r="D39" i="30"/>
  <c r="H39" i="30" s="1"/>
  <c r="D40" i="30"/>
  <c r="BF139" i="5"/>
  <c r="BF163" i="5"/>
  <c r="D51" i="19"/>
  <c r="BG157" i="5"/>
  <c r="D52" i="19"/>
  <c r="H52" i="35"/>
  <c r="H40" i="31"/>
  <c r="D51" i="17"/>
  <c r="H51" i="17" s="1"/>
  <c r="D52" i="17"/>
  <c r="BF3" i="5"/>
  <c r="H50" i="17"/>
  <c r="H38" i="33"/>
  <c r="BG69" i="5"/>
  <c r="BF26" i="5"/>
  <c r="BG55" i="5"/>
  <c r="BF69" i="5"/>
  <c r="BG119" i="5"/>
  <c r="BF119" i="5"/>
  <c r="D51" i="24"/>
  <c r="H51" i="24" s="1"/>
  <c r="BD118" i="5"/>
  <c r="BD3" i="5" s="1"/>
  <c r="BE110" i="5"/>
  <c r="BF25" i="5"/>
  <c r="D52" i="24"/>
  <c r="BE109" i="5"/>
  <c r="BG126" i="5"/>
  <c r="BD133" i="5"/>
  <c r="BE70" i="5"/>
  <c r="BG26" i="5"/>
  <c r="BF109" i="5"/>
  <c r="BD69" i="5"/>
  <c r="D50" i="24"/>
  <c r="H50" i="24" s="1"/>
  <c r="D50" i="19"/>
  <c r="BE3" i="37"/>
  <c r="D38" i="38" s="1"/>
  <c r="H175" i="25"/>
  <c r="BE163" i="5"/>
  <c r="BE145" i="5"/>
  <c r="BE118" i="5"/>
  <c r="BE3" i="5" s="1"/>
  <c r="BE26" i="5"/>
  <c r="H174" i="25"/>
  <c r="H49" i="17"/>
  <c r="H37" i="32"/>
  <c r="BD110" i="5"/>
  <c r="D49" i="25"/>
  <c r="H49" i="35"/>
  <c r="H345" i="25"/>
  <c r="D49" i="19"/>
  <c r="H37" i="30"/>
  <c r="H37" i="33"/>
  <c r="D48" i="17"/>
  <c r="H48" i="17" s="1"/>
  <c r="D49" i="24"/>
  <c r="D37" i="31"/>
  <c r="D36" i="30"/>
  <c r="H36" i="30" s="1"/>
  <c r="BD126" i="5"/>
  <c r="BC145" i="5"/>
  <c r="BD145" i="5"/>
  <c r="BJ3" i="37"/>
  <c r="D43" i="38" s="1"/>
  <c r="G43" i="38" s="1"/>
  <c r="BG3" i="37"/>
  <c r="D40" i="38" s="1"/>
  <c r="BF3" i="37"/>
  <c r="D39" i="38" s="1"/>
  <c r="BN3" i="37"/>
  <c r="BO3" i="37"/>
  <c r="BK3" i="37"/>
  <c r="BL3" i="37"/>
  <c r="BH3" i="37"/>
  <c r="D41" i="38" s="1"/>
  <c r="BP3" i="37"/>
  <c r="BI3" i="37"/>
  <c r="D42" i="38" s="1"/>
  <c r="H36" i="32"/>
  <c r="H249" i="25"/>
  <c r="H344" i="25"/>
  <c r="BD26" i="5"/>
  <c r="BC25" i="5"/>
  <c r="D48" i="24"/>
  <c r="H36" i="34"/>
  <c r="H48" i="35"/>
  <c r="D36" i="31"/>
  <c r="BC109" i="5"/>
  <c r="D173" i="25"/>
  <c r="D36" i="33"/>
  <c r="BC151" i="5"/>
  <c r="BC139" i="5"/>
  <c r="BC125" i="5"/>
  <c r="BC119" i="5"/>
  <c r="BC110" i="5"/>
  <c r="BC70" i="5"/>
  <c r="BC56" i="5"/>
  <c r="BC3" i="5"/>
  <c r="BC26" i="5"/>
  <c r="H35" i="34"/>
  <c r="H47" i="35"/>
  <c r="G57" i="24" l="1"/>
  <c r="I57" i="24" s="1"/>
  <c r="H57" i="24"/>
  <c r="H45" i="30"/>
  <c r="G45" i="30"/>
  <c r="I45" i="30" s="1"/>
  <c r="H56" i="24"/>
  <c r="H44" i="32"/>
  <c r="H55" i="24"/>
  <c r="H42" i="30"/>
  <c r="H53" i="24"/>
  <c r="H178" i="25"/>
  <c r="H177" i="25"/>
  <c r="H40" i="30"/>
  <c r="H52" i="17"/>
  <c r="H52" i="24"/>
  <c r="H37" i="31"/>
  <c r="H49" i="24"/>
  <c r="H36" i="33"/>
  <c r="H173" i="25"/>
  <c r="H36" i="31"/>
  <c r="H48" i="24"/>
  <c r="D248" i="25"/>
  <c r="H248" i="25" s="1"/>
  <c r="BB24" i="5"/>
  <c r="BB25" i="5" s="1"/>
  <c r="BB161" i="5"/>
  <c r="BB163" i="5" s="1"/>
  <c r="BB155" i="5"/>
  <c r="BB157" i="5" s="1"/>
  <c r="BB149" i="5"/>
  <c r="BB151" i="5" s="1"/>
  <c r="BB143" i="5"/>
  <c r="BB145" i="5" s="1"/>
  <c r="BB137" i="5"/>
  <c r="D35" i="33" s="1"/>
  <c r="BB131" i="5"/>
  <c r="BB133" i="5" s="1"/>
  <c r="BB124" i="5"/>
  <c r="D47" i="19" s="1"/>
  <c r="BB117" i="5"/>
  <c r="BB118" i="5" s="1"/>
  <c r="BB108" i="5"/>
  <c r="D172" i="25" s="1"/>
  <c r="H172" i="25" s="1"/>
  <c r="BB91" i="5"/>
  <c r="D47" i="25" s="1"/>
  <c r="BB68" i="5"/>
  <c r="BB69" i="5" s="1"/>
  <c r="BB54" i="5"/>
  <c r="BB56" i="5" s="1"/>
  <c r="E33" i="41"/>
  <c r="E34" i="41"/>
  <c r="E35" i="41"/>
  <c r="E36" i="41"/>
  <c r="E37" i="41"/>
  <c r="E38" i="41"/>
  <c r="E39" i="41"/>
  <c r="E40" i="41"/>
  <c r="E41" i="41"/>
  <c r="E42" i="41"/>
  <c r="E43" i="41"/>
  <c r="E44" i="41"/>
  <c r="J29" i="43"/>
  <c r="J28" i="43"/>
  <c r="H29" i="43"/>
  <c r="F29" i="43"/>
  <c r="H28" i="43"/>
  <c r="F28" i="43"/>
  <c r="L29" i="45"/>
  <c r="J29" i="45"/>
  <c r="H29" i="45"/>
  <c r="F29" i="45"/>
  <c r="L28" i="45"/>
  <c r="J28" i="45"/>
  <c r="H28" i="45"/>
  <c r="F28" i="45"/>
  <c r="T29" i="41"/>
  <c r="R29" i="41"/>
  <c r="P29" i="41"/>
  <c r="N29" i="41"/>
  <c r="L29" i="41"/>
  <c r="J29" i="41"/>
  <c r="H29" i="41"/>
  <c r="T28" i="41"/>
  <c r="R28" i="41"/>
  <c r="P28" i="41"/>
  <c r="N28" i="41"/>
  <c r="L28" i="41"/>
  <c r="J28" i="41"/>
  <c r="H28" i="41"/>
  <c r="D34" i="34"/>
  <c r="D46" i="35"/>
  <c r="H46" i="35" s="1"/>
  <c r="D46" i="36"/>
  <c r="H22" i="39"/>
  <c r="D342" i="25"/>
  <c r="H342" i="25" s="1"/>
  <c r="D247" i="25"/>
  <c r="BB139" i="5" l="1"/>
  <c r="D35" i="30"/>
  <c r="H35" i="33"/>
  <c r="BB126" i="5"/>
  <c r="D35" i="31"/>
  <c r="BB125" i="5"/>
  <c r="D35" i="32"/>
  <c r="D47" i="17"/>
  <c r="BB26" i="5"/>
  <c r="BB3" i="5"/>
  <c r="D47" i="24"/>
  <c r="BB70" i="5"/>
  <c r="BB55" i="5"/>
  <c r="BB119" i="5"/>
  <c r="H34" i="34"/>
  <c r="H47" i="17" l="1"/>
  <c r="H35" i="30"/>
  <c r="H35" i="32"/>
  <c r="H47" i="24"/>
  <c r="H35" i="31"/>
  <c r="BA161" i="5"/>
  <c r="BA155" i="5"/>
  <c r="BA149" i="5"/>
  <c r="BA137" i="5"/>
  <c r="BA143" i="5"/>
  <c r="BA131" i="5"/>
  <c r="BA54" i="5"/>
  <c r="BA55" i="5" s="1"/>
  <c r="BA24" i="5"/>
  <c r="BA124" i="5"/>
  <c r="BA126" i="5" s="1"/>
  <c r="BA117" i="5"/>
  <c r="BA118" i="5" s="1"/>
  <c r="BA108" i="5"/>
  <c r="BA91" i="5"/>
  <c r="BA68" i="5"/>
  <c r="BA70" i="5" s="1"/>
  <c r="D33" i="34"/>
  <c r="D45" i="35"/>
  <c r="D45" i="36"/>
  <c r="H21" i="39"/>
  <c r="H20" i="39"/>
  <c r="D335" i="5"/>
  <c r="H335" i="5" s="1"/>
  <c r="D341" i="25"/>
  <c r="H235" i="5"/>
  <c r="D240" i="5"/>
  <c r="D246" i="25"/>
  <c r="AZ124" i="25"/>
  <c r="AZ161" i="5"/>
  <c r="D33" i="31" s="1"/>
  <c r="AZ155" i="5"/>
  <c r="D33" i="30" s="1"/>
  <c r="AZ149" i="5"/>
  <c r="AZ143" i="5"/>
  <c r="D33" i="32" s="1"/>
  <c r="AZ137" i="5"/>
  <c r="D33" i="33" s="1"/>
  <c r="AZ131" i="5"/>
  <c r="AZ133" i="5" s="1"/>
  <c r="AZ124" i="5"/>
  <c r="AZ125" i="5" s="1"/>
  <c r="AZ108" i="5"/>
  <c r="AZ91" i="5"/>
  <c r="AZ68" i="5"/>
  <c r="AZ69" i="5" s="1"/>
  <c r="AZ54" i="5"/>
  <c r="AZ55" i="5" s="1"/>
  <c r="AZ24" i="5"/>
  <c r="AZ25" i="5" s="1"/>
  <c r="AZ117" i="5"/>
  <c r="AZ118" i="5" s="1"/>
  <c r="J27" i="43"/>
  <c r="H27" i="43"/>
  <c r="F27" i="43"/>
  <c r="M40" i="45"/>
  <c r="M41" i="45" s="1"/>
  <c r="M42" i="45" s="1"/>
  <c r="M43" i="45" s="1"/>
  <c r="M44" i="45" s="1"/>
  <c r="M45" i="45" s="1"/>
  <c r="M46" i="45" s="1"/>
  <c r="M47" i="45" s="1"/>
  <c r="L27" i="45"/>
  <c r="J27" i="45"/>
  <c r="H27" i="45"/>
  <c r="F27" i="45"/>
  <c r="N27" i="41"/>
  <c r="T27" i="41"/>
  <c r="U40" i="41" s="1"/>
  <c r="U41" i="41" s="1"/>
  <c r="U42" i="41" s="1"/>
  <c r="U43" i="41" s="1"/>
  <c r="U44" i="41" s="1"/>
  <c r="R27" i="41"/>
  <c r="P27" i="41"/>
  <c r="M40" i="41"/>
  <c r="M41" i="41" s="1"/>
  <c r="M42" i="41" s="1"/>
  <c r="M43" i="41" s="1"/>
  <c r="M44" i="41" s="1"/>
  <c r="L27" i="41"/>
  <c r="J27" i="41"/>
  <c r="H27" i="41"/>
  <c r="D32" i="34"/>
  <c r="H32" i="34" s="1"/>
  <c r="D44" i="35"/>
  <c r="D44" i="36"/>
  <c r="D340" i="25"/>
  <c r="D245" i="25"/>
  <c r="H245" i="25" s="1"/>
  <c r="AY161" i="5"/>
  <c r="D32" i="31" s="1"/>
  <c r="AY155" i="5"/>
  <c r="D32" i="30" s="1"/>
  <c r="AY149" i="5"/>
  <c r="AY143" i="5"/>
  <c r="AY137" i="5"/>
  <c r="D32" i="33" s="1"/>
  <c r="AY131" i="5"/>
  <c r="AY124" i="5"/>
  <c r="AY125" i="5" s="1"/>
  <c r="AY117" i="5"/>
  <c r="AY118" i="5" s="1"/>
  <c r="AY108" i="5"/>
  <c r="D169" i="25" s="1"/>
  <c r="AY91" i="5"/>
  <c r="D44" i="25" s="1"/>
  <c r="AY68" i="5"/>
  <c r="AY70" i="5" s="1"/>
  <c r="AY54" i="5"/>
  <c r="AY55" i="5" s="1"/>
  <c r="AY24" i="5"/>
  <c r="AY25" i="5" s="1"/>
  <c r="J26" i="43"/>
  <c r="H26" i="43"/>
  <c r="F26" i="43"/>
  <c r="L26" i="45"/>
  <c r="J26" i="45"/>
  <c r="H26" i="45"/>
  <c r="I40" i="45" s="1"/>
  <c r="I41" i="45" s="1"/>
  <c r="I42" i="45" s="1"/>
  <c r="I43" i="45" s="1"/>
  <c r="I44" i="45" s="1"/>
  <c r="I45" i="45" s="1"/>
  <c r="I46" i="45" s="1"/>
  <c r="I47" i="45" s="1"/>
  <c r="F26" i="45"/>
  <c r="T26" i="41"/>
  <c r="R26" i="41"/>
  <c r="P26" i="41"/>
  <c r="N26" i="41"/>
  <c r="L26" i="41"/>
  <c r="E26" i="41" s="1"/>
  <c r="J26" i="41"/>
  <c r="H26" i="41"/>
  <c r="J25" i="43"/>
  <c r="H25" i="43"/>
  <c r="F25" i="43"/>
  <c r="L25" i="45"/>
  <c r="J25" i="45"/>
  <c r="H25" i="45"/>
  <c r="F25" i="45"/>
  <c r="T25" i="41"/>
  <c r="R25" i="41"/>
  <c r="P25" i="41"/>
  <c r="N25" i="41"/>
  <c r="L25" i="41"/>
  <c r="J25" i="41"/>
  <c r="H25" i="41"/>
  <c r="D31" i="34"/>
  <c r="H31" i="34" s="1"/>
  <c r="D43" i="35"/>
  <c r="H43" i="35" s="1"/>
  <c r="D43" i="36"/>
  <c r="H19" i="39"/>
  <c r="D339" i="25"/>
  <c r="D244" i="25"/>
  <c r="AX161" i="5"/>
  <c r="AX163" i="5" s="1"/>
  <c r="AX155" i="5"/>
  <c r="AX149" i="5"/>
  <c r="AX143" i="5"/>
  <c r="D31" i="32" s="1"/>
  <c r="AX137" i="5"/>
  <c r="AX139" i="5" s="1"/>
  <c r="AX131" i="5"/>
  <c r="AX124" i="5"/>
  <c r="AX117" i="5"/>
  <c r="AX119" i="5" s="1"/>
  <c r="AX108" i="5"/>
  <c r="D168" i="25" s="1"/>
  <c r="AX91" i="5"/>
  <c r="AX68" i="5"/>
  <c r="AX69" i="5" s="1"/>
  <c r="AX54" i="5"/>
  <c r="AX55" i="5" s="1"/>
  <c r="AX24" i="5"/>
  <c r="AX25" i="5" s="1"/>
  <c r="D30" i="34"/>
  <c r="H30" i="34" s="1"/>
  <c r="D29" i="34"/>
  <c r="H29" i="34" s="1"/>
  <c r="D28" i="34"/>
  <c r="H28" i="34" s="1"/>
  <c r="D42" i="35"/>
  <c r="H42" i="35" s="1"/>
  <c r="D42" i="36"/>
  <c r="H18" i="39"/>
  <c r="D243" i="25"/>
  <c r="H243" i="25" s="1"/>
  <c r="D338" i="25"/>
  <c r="H338" i="25" s="1"/>
  <c r="AW161" i="5"/>
  <c r="D30" i="31" s="1"/>
  <c r="H30" i="31" s="1"/>
  <c r="AW155" i="5"/>
  <c r="AW157" i="5" s="1"/>
  <c r="AW149" i="5"/>
  <c r="AW151" i="5" s="1"/>
  <c r="AW143" i="5"/>
  <c r="AW137" i="5"/>
  <c r="AW139" i="5" s="1"/>
  <c r="AW131" i="5"/>
  <c r="AW124" i="5"/>
  <c r="D42" i="19" s="1"/>
  <c r="AW117" i="5"/>
  <c r="AW119" i="5" s="1"/>
  <c r="AW108" i="5"/>
  <c r="AW110" i="5" s="1"/>
  <c r="AW91" i="5"/>
  <c r="AW68" i="5"/>
  <c r="AW69" i="5" s="1"/>
  <c r="AW54" i="5"/>
  <c r="AW24" i="5"/>
  <c r="AW25" i="5" s="1"/>
  <c r="G92" i="5"/>
  <c r="J24" i="43"/>
  <c r="H24" i="43"/>
  <c r="F24" i="43"/>
  <c r="L24" i="45"/>
  <c r="J24" i="45"/>
  <c r="H24" i="45"/>
  <c r="F24" i="45"/>
  <c r="T24" i="41"/>
  <c r="R24" i="41"/>
  <c r="P24" i="41"/>
  <c r="N24" i="41"/>
  <c r="L24" i="41"/>
  <c r="J24" i="41"/>
  <c r="H24" i="41"/>
  <c r="AV22" i="37"/>
  <c r="AV28" i="37"/>
  <c r="AV33" i="37"/>
  <c r="AV38" i="37"/>
  <c r="AV43" i="37"/>
  <c r="AV54" i="37"/>
  <c r="AV66" i="37"/>
  <c r="J23" i="43"/>
  <c r="H23" i="43"/>
  <c r="F23" i="43"/>
  <c r="L23" i="45"/>
  <c r="J23" i="45"/>
  <c r="H23" i="45"/>
  <c r="F23" i="45"/>
  <c r="T23" i="41"/>
  <c r="R23" i="41"/>
  <c r="P23" i="41"/>
  <c r="N23" i="41"/>
  <c r="L23" i="41"/>
  <c r="J23" i="41"/>
  <c r="H23" i="41"/>
  <c r="AU22" i="37"/>
  <c r="AU28" i="37"/>
  <c r="AU33" i="37"/>
  <c r="AU38" i="37"/>
  <c r="AU43" i="37"/>
  <c r="AU54" i="37"/>
  <c r="AU66" i="37"/>
  <c r="H17" i="39"/>
  <c r="H16" i="39"/>
  <c r="H15" i="39"/>
  <c r="H14" i="39"/>
  <c r="AV137" i="5"/>
  <c r="D29" i="33" s="1"/>
  <c r="H29" i="33" s="1"/>
  <c r="AU137" i="5"/>
  <c r="AT137" i="5"/>
  <c r="AT139" i="5" s="1"/>
  <c r="D27" i="34"/>
  <c r="H27" i="34" s="1"/>
  <c r="AU161" i="5"/>
  <c r="AU163" i="5" s="1"/>
  <c r="AV161" i="5"/>
  <c r="D29" i="31" s="1"/>
  <c r="H29" i="31" s="1"/>
  <c r="AT161" i="5"/>
  <c r="AT155" i="5"/>
  <c r="D27" i="30" s="1"/>
  <c r="H27" i="30" s="1"/>
  <c r="AU143" i="5"/>
  <c r="D28" i="32" s="1"/>
  <c r="H28" i="32" s="1"/>
  <c r="AV143" i="5"/>
  <c r="D29" i="32" s="1"/>
  <c r="H29" i="32" s="1"/>
  <c r="AT143" i="5"/>
  <c r="D27" i="32" s="1"/>
  <c r="H27" i="32" s="1"/>
  <c r="D41" i="36"/>
  <c r="D40" i="36"/>
  <c r="D41" i="35"/>
  <c r="H41" i="35" s="1"/>
  <c r="D40" i="35"/>
  <c r="H40" i="35" s="1"/>
  <c r="AU131" i="5"/>
  <c r="AU133" i="5" s="1"/>
  <c r="G132" i="5"/>
  <c r="B20" i="17" s="1"/>
  <c r="AV131" i="5"/>
  <c r="D41" i="17" s="1"/>
  <c r="AT131" i="5"/>
  <c r="AT133" i="5" s="1"/>
  <c r="AT124" i="5"/>
  <c r="D39" i="19" s="1"/>
  <c r="AU24" i="5"/>
  <c r="AU25" i="5" s="1"/>
  <c r="AU54" i="5"/>
  <c r="AU55" i="5" s="1"/>
  <c r="AU68" i="5"/>
  <c r="AU69" i="5" s="1"/>
  <c r="AV24" i="5"/>
  <c r="AV26" i="5" s="1"/>
  <c r="AV54" i="5"/>
  <c r="AV55" i="5" s="1"/>
  <c r="D336" i="25"/>
  <c r="H336" i="25" s="1"/>
  <c r="D337" i="25"/>
  <c r="H337" i="25" s="1"/>
  <c r="D241" i="25"/>
  <c r="H241" i="25" s="1"/>
  <c r="D242" i="25"/>
  <c r="H242" i="25" s="1"/>
  <c r="AU108" i="5"/>
  <c r="D165" i="25" s="1"/>
  <c r="H165" i="25" s="1"/>
  <c r="AV108" i="5"/>
  <c r="AV110" i="5" s="1"/>
  <c r="AU91" i="5"/>
  <c r="D40" i="25" s="1"/>
  <c r="AV91" i="5"/>
  <c r="D41" i="25" s="1"/>
  <c r="AU155" i="5"/>
  <c r="D28" i="30" s="1"/>
  <c r="H28" i="30" s="1"/>
  <c r="AV155" i="5"/>
  <c r="AV157" i="5" s="1"/>
  <c r="AU149" i="5"/>
  <c r="AU151" i="5" s="1"/>
  <c r="AV149" i="5"/>
  <c r="AV151" i="5" s="1"/>
  <c r="AU124" i="5"/>
  <c r="D40" i="19" s="1"/>
  <c r="AV124" i="5"/>
  <c r="AV126" i="5" s="1"/>
  <c r="AU117" i="5"/>
  <c r="AU118" i="5" s="1"/>
  <c r="AV117" i="5"/>
  <c r="AV68" i="5"/>
  <c r="AV69" i="5" s="1"/>
  <c r="J22" i="43"/>
  <c r="H22" i="43"/>
  <c r="F22" i="43"/>
  <c r="L22" i="45"/>
  <c r="J22" i="45"/>
  <c r="H22" i="45"/>
  <c r="F22" i="45"/>
  <c r="T22" i="41"/>
  <c r="R22" i="41"/>
  <c r="P22" i="41"/>
  <c r="N22" i="41"/>
  <c r="L22" i="41"/>
  <c r="J22" i="41"/>
  <c r="H22" i="41"/>
  <c r="AT22" i="37"/>
  <c r="AT28" i="37"/>
  <c r="AT33" i="37"/>
  <c r="AT38" i="37"/>
  <c r="AT43" i="37"/>
  <c r="AT54" i="37"/>
  <c r="AT66" i="37"/>
  <c r="D39" i="35"/>
  <c r="H39" i="35" s="1"/>
  <c r="D39" i="36"/>
  <c r="AT24" i="5"/>
  <c r="AT26" i="5" s="1"/>
  <c r="AT54" i="5"/>
  <c r="AT55" i="5" s="1"/>
  <c r="AT68" i="5"/>
  <c r="D428" i="25"/>
  <c r="D424" i="25"/>
  <c r="G424" i="25" s="1"/>
  <c r="G425" i="25" s="1"/>
  <c r="D335" i="25"/>
  <c r="H335" i="25" s="1"/>
  <c r="D240" i="25"/>
  <c r="H240" i="25" s="1"/>
  <c r="AT108" i="5"/>
  <c r="AT109" i="5" s="1"/>
  <c r="AT91" i="5"/>
  <c r="D39" i="25" s="1"/>
  <c r="AT149" i="5"/>
  <c r="AT151" i="5" s="1"/>
  <c r="AT117" i="5"/>
  <c r="AT119" i="5" s="1"/>
  <c r="J21" i="43"/>
  <c r="H21" i="43"/>
  <c r="F21" i="43"/>
  <c r="L21" i="45"/>
  <c r="J21" i="45"/>
  <c r="H21" i="45"/>
  <c r="F21" i="45"/>
  <c r="T21" i="41"/>
  <c r="R21" i="41"/>
  <c r="P21" i="41"/>
  <c r="N21" i="41"/>
  <c r="L21" i="41"/>
  <c r="J21" i="41"/>
  <c r="E21" i="41" s="1"/>
  <c r="H21" i="41"/>
  <c r="AS22" i="37"/>
  <c r="AS28" i="37"/>
  <c r="AS33" i="37"/>
  <c r="AS38" i="37"/>
  <c r="AS43" i="37"/>
  <c r="AS54" i="37"/>
  <c r="AS66" i="37"/>
  <c r="D239" i="25"/>
  <c r="H239" i="25" s="1"/>
  <c r="H247" i="25"/>
  <c r="D26" i="34"/>
  <c r="H26" i="34" s="1"/>
  <c r="D38" i="35"/>
  <c r="H38" i="35" s="1"/>
  <c r="D38" i="36"/>
  <c r="D334" i="25"/>
  <c r="H334" i="25" s="1"/>
  <c r="D427" i="25"/>
  <c r="AS161" i="5"/>
  <c r="D26" i="31" s="1"/>
  <c r="H26" i="31" s="1"/>
  <c r="AS155" i="5"/>
  <c r="AS149" i="5"/>
  <c r="AS151" i="5" s="1"/>
  <c r="AS143" i="5"/>
  <c r="D26" i="32" s="1"/>
  <c r="H26" i="32" s="1"/>
  <c r="AS137" i="5"/>
  <c r="AS139" i="5" s="1"/>
  <c r="AS131" i="5"/>
  <c r="AS133" i="5" s="1"/>
  <c r="AS124" i="5"/>
  <c r="D38" i="19" s="1"/>
  <c r="AS117" i="5"/>
  <c r="AS118" i="5" s="1"/>
  <c r="AS108" i="5"/>
  <c r="D163" i="25" s="1"/>
  <c r="H163" i="25" s="1"/>
  <c r="AS91" i="5"/>
  <c r="D38" i="25" s="1"/>
  <c r="AS68" i="5"/>
  <c r="AS54" i="5"/>
  <c r="AS56" i="5" s="1"/>
  <c r="AS24" i="5"/>
  <c r="AS25" i="5" s="1"/>
  <c r="J20" i="43"/>
  <c r="H20" i="43"/>
  <c r="F20" i="43"/>
  <c r="L20" i="45"/>
  <c r="J20" i="45"/>
  <c r="H20" i="45"/>
  <c r="F20" i="45"/>
  <c r="T20" i="41"/>
  <c r="R20" i="41"/>
  <c r="P20" i="41"/>
  <c r="N20" i="41"/>
  <c r="L20" i="41"/>
  <c r="J20" i="41"/>
  <c r="H20" i="41"/>
  <c r="BD66" i="37"/>
  <c r="BC66" i="37"/>
  <c r="BB66" i="37"/>
  <c r="BA66" i="37"/>
  <c r="AZ66" i="37"/>
  <c r="AY66" i="37"/>
  <c r="AX66" i="37"/>
  <c r="AW66" i="37"/>
  <c r="BD54" i="37"/>
  <c r="BC54" i="37"/>
  <c r="BB54" i="37"/>
  <c r="BA54" i="37"/>
  <c r="AZ54" i="37"/>
  <c r="AY54" i="37"/>
  <c r="AX54" i="37"/>
  <c r="AW54" i="37"/>
  <c r="BD43" i="37"/>
  <c r="BC43" i="37"/>
  <c r="BB43" i="37"/>
  <c r="BA43" i="37"/>
  <c r="AZ43" i="37"/>
  <c r="AY43" i="37"/>
  <c r="AX43" i="37"/>
  <c r="AW43" i="37"/>
  <c r="BD38" i="37"/>
  <c r="BC38" i="37"/>
  <c r="BB38" i="37"/>
  <c r="BA38" i="37"/>
  <c r="AZ38" i="37"/>
  <c r="AY38" i="37"/>
  <c r="AX38" i="37"/>
  <c r="AW38" i="37"/>
  <c r="BD33" i="37"/>
  <c r="BC33" i="37"/>
  <c r="BB33" i="37"/>
  <c r="BA33" i="37"/>
  <c r="AZ33" i="37"/>
  <c r="AY33" i="37"/>
  <c r="AX33" i="37"/>
  <c r="AW33" i="37"/>
  <c r="BD28" i="37"/>
  <c r="BC28" i="37"/>
  <c r="BB28" i="37"/>
  <c r="BA28" i="37"/>
  <c r="AZ28" i="37"/>
  <c r="AY28" i="37"/>
  <c r="AX28" i="37"/>
  <c r="AW28" i="37"/>
  <c r="BD22" i="37"/>
  <c r="BC22" i="37"/>
  <c r="BB22" i="37"/>
  <c r="BA22" i="37"/>
  <c r="AZ22" i="37"/>
  <c r="AY22" i="37"/>
  <c r="AX22" i="37"/>
  <c r="AX3" i="37" s="1"/>
  <c r="D31" i="38" s="1"/>
  <c r="AW22" i="37"/>
  <c r="J19" i="43"/>
  <c r="H19" i="43"/>
  <c r="F19" i="43"/>
  <c r="L19" i="45"/>
  <c r="J19" i="45"/>
  <c r="H19" i="45"/>
  <c r="F19" i="45"/>
  <c r="T19" i="41"/>
  <c r="R19" i="41"/>
  <c r="P19" i="41"/>
  <c r="N19" i="41"/>
  <c r="L19" i="41"/>
  <c r="J19" i="41"/>
  <c r="H19" i="41"/>
  <c r="H13" i="39"/>
  <c r="H12" i="39"/>
  <c r="D25" i="34"/>
  <c r="H25" i="34" s="1"/>
  <c r="AR161" i="5"/>
  <c r="D25" i="31" s="1"/>
  <c r="H25" i="31" s="1"/>
  <c r="D37" i="35"/>
  <c r="H37" i="35" s="1"/>
  <c r="D37" i="36"/>
  <c r="D426" i="25"/>
  <c r="D425" i="25"/>
  <c r="D333" i="25"/>
  <c r="H333" i="25" s="1"/>
  <c r="D238" i="25"/>
  <c r="H238" i="25" s="1"/>
  <c r="AR155" i="5"/>
  <c r="D25" i="30" s="1"/>
  <c r="H25" i="30" s="1"/>
  <c r="AR149" i="5"/>
  <c r="AR151" i="5" s="1"/>
  <c r="AR143" i="5"/>
  <c r="AR137" i="5"/>
  <c r="AR139" i="5" s="1"/>
  <c r="AR131" i="5"/>
  <c r="D37" i="17" s="1"/>
  <c r="AR124" i="5"/>
  <c r="AR126" i="5" s="1"/>
  <c r="AR117" i="5"/>
  <c r="AR118" i="5" s="1"/>
  <c r="AR108" i="5"/>
  <c r="D162" i="25" s="1"/>
  <c r="H162" i="25" s="1"/>
  <c r="AR91" i="5"/>
  <c r="AR68" i="5"/>
  <c r="AR69" i="5" s="1"/>
  <c r="AR54" i="5"/>
  <c r="AR56" i="5" s="1"/>
  <c r="AR24" i="5"/>
  <c r="AR25" i="5" s="1"/>
  <c r="J18" i="43"/>
  <c r="H18" i="43"/>
  <c r="F18" i="43"/>
  <c r="L18" i="45"/>
  <c r="J18" i="45"/>
  <c r="H18" i="45"/>
  <c r="F18" i="45"/>
  <c r="T18" i="41"/>
  <c r="R18" i="41"/>
  <c r="P18" i="41"/>
  <c r="N18" i="41"/>
  <c r="L18" i="41"/>
  <c r="J18" i="41"/>
  <c r="H18" i="41"/>
  <c r="D24" i="34"/>
  <c r="H24" i="34" s="1"/>
  <c r="AQ143" i="5"/>
  <c r="D36" i="35"/>
  <c r="H36" i="35" s="1"/>
  <c r="D35" i="35"/>
  <c r="H35" i="35" s="1"/>
  <c r="D36" i="36"/>
  <c r="D332" i="25"/>
  <c r="H332" i="25" s="1"/>
  <c r="D237" i="25"/>
  <c r="AQ108" i="5"/>
  <c r="D161" i="25" s="1"/>
  <c r="H161" i="25" s="1"/>
  <c r="AQ161" i="5"/>
  <c r="D24" i="31" s="1"/>
  <c r="H24" i="31" s="1"/>
  <c r="AQ155" i="5"/>
  <c r="AQ149" i="5"/>
  <c r="AQ151" i="5" s="1"/>
  <c r="AQ137" i="5"/>
  <c r="D24" i="33" s="1"/>
  <c r="H24" i="33" s="1"/>
  <c r="AQ131" i="5"/>
  <c r="AQ133" i="5" s="1"/>
  <c r="AQ124" i="5"/>
  <c r="AQ125" i="5" s="1"/>
  <c r="AQ117" i="5"/>
  <c r="AQ91" i="5"/>
  <c r="D36" i="25" s="1"/>
  <c r="AQ68" i="5"/>
  <c r="AQ69" i="5" s="1"/>
  <c r="AQ54" i="5"/>
  <c r="AQ55" i="5" s="1"/>
  <c r="AQ24" i="5"/>
  <c r="D23" i="34"/>
  <c r="H23" i="34" s="1"/>
  <c r="D35" i="36"/>
  <c r="H11" i="39"/>
  <c r="D423" i="25"/>
  <c r="H423" i="25" s="1"/>
  <c r="D331" i="25"/>
  <c r="H331" i="25" s="1"/>
  <c r="D236" i="25"/>
  <c r="AP161" i="5"/>
  <c r="AP163" i="5" s="1"/>
  <c r="AP155" i="5"/>
  <c r="AP157" i="5" s="1"/>
  <c r="AP149" i="5"/>
  <c r="AP151" i="5" s="1"/>
  <c r="AP143" i="5"/>
  <c r="AP137" i="5"/>
  <c r="AP139" i="5" s="1"/>
  <c r="AP131" i="5"/>
  <c r="D35" i="17" s="1"/>
  <c r="AP124" i="5"/>
  <c r="AP126" i="5" s="1"/>
  <c r="AP117" i="5"/>
  <c r="AP108" i="5"/>
  <c r="D160" i="25" s="1"/>
  <c r="H160" i="25" s="1"/>
  <c r="AP91" i="5"/>
  <c r="D35" i="25" s="1"/>
  <c r="AP68" i="5"/>
  <c r="AP69" i="5" s="1"/>
  <c r="AP54" i="5"/>
  <c r="AP24" i="5"/>
  <c r="AP26" i="5" s="1"/>
  <c r="J17" i="43"/>
  <c r="J16" i="43"/>
  <c r="H17" i="43"/>
  <c r="H16" i="43"/>
  <c r="F17" i="43"/>
  <c r="F16" i="43"/>
  <c r="L17" i="45"/>
  <c r="L16" i="45"/>
  <c r="J17" i="45"/>
  <c r="J16" i="45"/>
  <c r="H17" i="45"/>
  <c r="H16" i="45"/>
  <c r="F17" i="45"/>
  <c r="F16" i="45"/>
  <c r="T17" i="41"/>
  <c r="T16" i="41"/>
  <c r="R17" i="41"/>
  <c r="R16" i="41"/>
  <c r="P17" i="41"/>
  <c r="P16" i="41"/>
  <c r="N17" i="41"/>
  <c r="N16" i="41"/>
  <c r="L17" i="41"/>
  <c r="L16" i="41"/>
  <c r="J17" i="41"/>
  <c r="J16" i="41"/>
  <c r="H17" i="41"/>
  <c r="H16" i="41"/>
  <c r="AN22" i="37"/>
  <c r="AO22" i="37"/>
  <c r="AO3" i="37" s="1"/>
  <c r="D22" i="38" s="1"/>
  <c r="AP22" i="37"/>
  <c r="AQ22" i="37"/>
  <c r="AR22" i="37"/>
  <c r="AN28" i="37"/>
  <c r="AO28" i="37"/>
  <c r="AP28" i="37"/>
  <c r="AQ28" i="37"/>
  <c r="AR28" i="37"/>
  <c r="AN33" i="37"/>
  <c r="AO33" i="37"/>
  <c r="AP33" i="37"/>
  <c r="AQ33" i="37"/>
  <c r="AR33" i="37"/>
  <c r="AN38" i="37"/>
  <c r="AO38" i="37"/>
  <c r="AP38" i="37"/>
  <c r="AQ38" i="37"/>
  <c r="AR38" i="37"/>
  <c r="AN43" i="37"/>
  <c r="AO43" i="37"/>
  <c r="AP43" i="37"/>
  <c r="AQ43" i="37"/>
  <c r="AR43" i="37"/>
  <c r="AN54" i="37"/>
  <c r="AO54" i="37"/>
  <c r="AP54" i="37"/>
  <c r="AQ54" i="37"/>
  <c r="AR54" i="37"/>
  <c r="AN66" i="37"/>
  <c r="AO66" i="37"/>
  <c r="AP66" i="37"/>
  <c r="AQ66" i="37"/>
  <c r="AR66" i="37"/>
  <c r="D22" i="34"/>
  <c r="H22" i="34" s="1"/>
  <c r="D34" i="35"/>
  <c r="H34" i="35" s="1"/>
  <c r="D34" i="36"/>
  <c r="H10" i="39"/>
  <c r="D235" i="25"/>
  <c r="D330" i="25"/>
  <c r="H330" i="25" s="1"/>
  <c r="D422" i="25"/>
  <c r="H422" i="25" s="1"/>
  <c r="AO161" i="5"/>
  <c r="AO163" i="5" s="1"/>
  <c r="AO155" i="5"/>
  <c r="AO149" i="5"/>
  <c r="AO143" i="5"/>
  <c r="D22" i="32" s="1"/>
  <c r="H22" i="32" s="1"/>
  <c r="AO137" i="5"/>
  <c r="AO139" i="5" s="1"/>
  <c r="AO131" i="5"/>
  <c r="D34" i="17" s="1"/>
  <c r="AO124" i="5"/>
  <c r="AO117" i="5"/>
  <c r="AO108" i="5"/>
  <c r="D159" i="25" s="1"/>
  <c r="H159" i="25" s="1"/>
  <c r="AO91" i="5"/>
  <c r="D34" i="25" s="1"/>
  <c r="AO68" i="5"/>
  <c r="AO70" i="5" s="1"/>
  <c r="AO54" i="5"/>
  <c r="AO24" i="5"/>
  <c r="AO26" i="5" s="1"/>
  <c r="J15" i="43"/>
  <c r="H15" i="43"/>
  <c r="F15" i="43"/>
  <c r="L15" i="45"/>
  <c r="J14" i="45"/>
  <c r="J15" i="45"/>
  <c r="H15" i="45"/>
  <c r="F15" i="45"/>
  <c r="T15" i="41"/>
  <c r="R15" i="41"/>
  <c r="P15" i="41"/>
  <c r="N15" i="41"/>
  <c r="L15" i="41"/>
  <c r="J15" i="41"/>
  <c r="H15" i="41"/>
  <c r="D21" i="34"/>
  <c r="H21" i="34" s="1"/>
  <c r="D33" i="35"/>
  <c r="H33" i="35" s="1"/>
  <c r="D33" i="36"/>
  <c r="H9" i="39"/>
  <c r="D421" i="25"/>
  <c r="H421" i="25" s="1"/>
  <c r="D420" i="25"/>
  <c r="H420" i="25" s="1"/>
  <c r="D329" i="25"/>
  <c r="H329" i="25" s="1"/>
  <c r="D234" i="25"/>
  <c r="AN161" i="5"/>
  <c r="AN149" i="5"/>
  <c r="AN151" i="5" s="1"/>
  <c r="AN155" i="5"/>
  <c r="D21" i="30" s="1"/>
  <c r="H21" i="30" s="1"/>
  <c r="AN143" i="5"/>
  <c r="AN137" i="5"/>
  <c r="D21" i="33" s="1"/>
  <c r="H21" i="33" s="1"/>
  <c r="AN131" i="5"/>
  <c r="AN133" i="5" s="1"/>
  <c r="AN124" i="5"/>
  <c r="AN125" i="5" s="1"/>
  <c r="AN117" i="5"/>
  <c r="CS103" i="5"/>
  <c r="CS104" i="5"/>
  <c r="AN108" i="5"/>
  <c r="D158" i="25" s="1"/>
  <c r="H158" i="25" s="1"/>
  <c r="AN91" i="5"/>
  <c r="D33" i="25" s="1"/>
  <c r="AN68" i="5"/>
  <c r="AN69" i="5" s="1"/>
  <c r="AN54" i="5"/>
  <c r="AN55" i="5" s="1"/>
  <c r="AN24" i="5"/>
  <c r="AN25" i="5" s="1"/>
  <c r="L14" i="45"/>
  <c r="J14" i="43"/>
  <c r="F14" i="43"/>
  <c r="H14" i="43"/>
  <c r="H14" i="45"/>
  <c r="F14" i="45"/>
  <c r="T14" i="41"/>
  <c r="R14" i="41"/>
  <c r="P14" i="41"/>
  <c r="N14" i="41"/>
  <c r="L14" i="41"/>
  <c r="J14" i="41"/>
  <c r="H14" i="41"/>
  <c r="D20" i="34"/>
  <c r="H20" i="34" s="1"/>
  <c r="D32" i="35"/>
  <c r="H32" i="35" s="1"/>
  <c r="D32" i="36"/>
  <c r="H8" i="39"/>
  <c r="CP103" i="5"/>
  <c r="CQ103" i="5"/>
  <c r="CR103" i="5"/>
  <c r="CP104" i="5"/>
  <c r="CQ104" i="5"/>
  <c r="CR104" i="5"/>
  <c r="CO104" i="5"/>
  <c r="CO103" i="5"/>
  <c r="D328" i="25"/>
  <c r="H328" i="25" s="1"/>
  <c r="D233" i="25"/>
  <c r="AM161" i="5"/>
  <c r="AM163" i="5" s="1"/>
  <c r="AM155" i="5"/>
  <c r="AM157" i="5" s="1"/>
  <c r="AM149" i="5"/>
  <c r="AM151" i="5" s="1"/>
  <c r="AM143" i="5"/>
  <c r="AM145" i="5" s="1"/>
  <c r="AM137" i="5"/>
  <c r="AM139" i="5" s="1"/>
  <c r="AM131" i="5"/>
  <c r="D32" i="17" s="1"/>
  <c r="AM124" i="5"/>
  <c r="AM117" i="5"/>
  <c r="AM119" i="5" s="1"/>
  <c r="AM108" i="5"/>
  <c r="D157" i="25" s="1"/>
  <c r="H157" i="25" s="1"/>
  <c r="AM91" i="5"/>
  <c r="AM68" i="5"/>
  <c r="AM70" i="5" s="1"/>
  <c r="AM54" i="5"/>
  <c r="AM56" i="5" s="1"/>
  <c r="AM24" i="5"/>
  <c r="AM25" i="5" s="1"/>
  <c r="F13" i="43"/>
  <c r="H13" i="45"/>
  <c r="F13" i="45"/>
  <c r="T13" i="41"/>
  <c r="R13" i="41"/>
  <c r="P13" i="41"/>
  <c r="N13" i="41"/>
  <c r="L13" i="41"/>
  <c r="J13" i="41"/>
  <c r="H13" i="41"/>
  <c r="H7" i="39"/>
  <c r="D19" i="34"/>
  <c r="H19" i="34" s="1"/>
  <c r="D31" i="35"/>
  <c r="H31" i="35" s="1"/>
  <c r="D31" i="36"/>
  <c r="D419" i="25"/>
  <c r="H419" i="25" s="1"/>
  <c r="D327" i="25"/>
  <c r="H327" i="25" s="1"/>
  <c r="D232" i="25"/>
  <c r="AL161" i="5"/>
  <c r="AL163" i="5" s="1"/>
  <c r="AL155" i="5"/>
  <c r="AL157" i="5" s="1"/>
  <c r="AL149" i="5"/>
  <c r="AL151" i="5" s="1"/>
  <c r="AL143" i="5"/>
  <c r="AL145" i="5" s="1"/>
  <c r="AL137" i="5"/>
  <c r="AL131" i="5"/>
  <c r="D31" i="17" s="1"/>
  <c r="AL124" i="5"/>
  <c r="AL125" i="5" s="1"/>
  <c r="AL117" i="5"/>
  <c r="AL119" i="5" s="1"/>
  <c r="AL108" i="5"/>
  <c r="AL109" i="5" s="1"/>
  <c r="AL91" i="5"/>
  <c r="D31" i="25" s="1"/>
  <c r="AL68" i="5"/>
  <c r="AL70" i="5" s="1"/>
  <c r="AL54" i="5"/>
  <c r="AL55" i="5" s="1"/>
  <c r="AL24" i="5"/>
  <c r="F12" i="43"/>
  <c r="H12" i="45"/>
  <c r="F12" i="45"/>
  <c r="T12" i="41"/>
  <c r="R12" i="41"/>
  <c r="P12" i="41"/>
  <c r="N12" i="41"/>
  <c r="L12" i="41"/>
  <c r="J12" i="41"/>
  <c r="H12" i="41"/>
  <c r="AM66" i="37"/>
  <c r="AL66" i="37"/>
  <c r="AK66" i="37"/>
  <c r="AJ66" i="37"/>
  <c r="AM54" i="37"/>
  <c r="AL54" i="37"/>
  <c r="AK54" i="37"/>
  <c r="AJ54" i="37"/>
  <c r="AM43" i="37"/>
  <c r="AL43" i="37"/>
  <c r="AK43" i="37"/>
  <c r="AJ43" i="37"/>
  <c r="AM38" i="37"/>
  <c r="AL38" i="37"/>
  <c r="AK38" i="37"/>
  <c r="AJ38" i="37"/>
  <c r="AM33" i="37"/>
  <c r="AL33" i="37"/>
  <c r="AK33" i="37"/>
  <c r="AJ33" i="37"/>
  <c r="AM28" i="37"/>
  <c r="AM3" i="37" s="1"/>
  <c r="D20" i="38" s="1"/>
  <c r="AL28" i="37"/>
  <c r="AK28" i="37"/>
  <c r="AJ28" i="37"/>
  <c r="AM22" i="37"/>
  <c r="AL22" i="37"/>
  <c r="AK22" i="37"/>
  <c r="AJ22" i="37"/>
  <c r="D18" i="34"/>
  <c r="H18" i="34" s="1"/>
  <c r="D30" i="35"/>
  <c r="H30" i="35" s="1"/>
  <c r="D30" i="36"/>
  <c r="H6" i="39"/>
  <c r="D326" i="25"/>
  <c r="H326" i="25" s="1"/>
  <c r="D231" i="25"/>
  <c r="AK161" i="5"/>
  <c r="AK155" i="5"/>
  <c r="AK157" i="5" s="1"/>
  <c r="AK149" i="5"/>
  <c r="AK151" i="5" s="1"/>
  <c r="AK143" i="5"/>
  <c r="AK145" i="5" s="1"/>
  <c r="AK137" i="5"/>
  <c r="AK139" i="5" s="1"/>
  <c r="AK131" i="5"/>
  <c r="AK124" i="5"/>
  <c r="AK126" i="5" s="1"/>
  <c r="AK117" i="5"/>
  <c r="AK108" i="5"/>
  <c r="D155" i="25" s="1"/>
  <c r="H155" i="25" s="1"/>
  <c r="AK91" i="5"/>
  <c r="D30" i="25" s="1"/>
  <c r="AK68" i="5"/>
  <c r="AK70" i="5" s="1"/>
  <c r="AK54" i="5"/>
  <c r="AK55" i="5" s="1"/>
  <c r="AK24" i="5"/>
  <c r="AK26" i="5" s="1"/>
  <c r="F11" i="43"/>
  <c r="H11" i="45"/>
  <c r="F11" i="45"/>
  <c r="T11" i="41"/>
  <c r="R11" i="41"/>
  <c r="P11" i="41"/>
  <c r="N11" i="41"/>
  <c r="L11" i="41"/>
  <c r="J11" i="41"/>
  <c r="H11" i="41"/>
  <c r="AI66" i="37"/>
  <c r="AI54" i="37"/>
  <c r="AI43" i="37"/>
  <c r="AI38" i="37"/>
  <c r="AI33" i="37"/>
  <c r="AI28" i="37"/>
  <c r="AI22" i="37"/>
  <c r="D17" i="34"/>
  <c r="H17" i="34" s="1"/>
  <c r="D29" i="35"/>
  <c r="H29" i="35" s="1"/>
  <c r="D29" i="36"/>
  <c r="D418" i="25"/>
  <c r="H418" i="25" s="1"/>
  <c r="D417" i="25"/>
  <c r="H417" i="25" s="1"/>
  <c r="D325" i="25"/>
  <c r="H325" i="25" s="1"/>
  <c r="D324" i="25"/>
  <c r="H324" i="25" s="1"/>
  <c r="D230" i="25"/>
  <c r="B64" i="25"/>
  <c r="B70" i="25"/>
  <c r="B42" i="25"/>
  <c r="AJ161" i="5"/>
  <c r="AJ155" i="5"/>
  <c r="AJ157" i="5" s="1"/>
  <c r="AJ149" i="5"/>
  <c r="AJ143" i="5"/>
  <c r="D17" i="32" s="1"/>
  <c r="H17" i="32" s="1"/>
  <c r="AJ137" i="5"/>
  <c r="AJ139" i="5" s="1"/>
  <c r="AJ131" i="5"/>
  <c r="AJ124" i="5"/>
  <c r="AJ117" i="5"/>
  <c r="AJ119" i="5" s="1"/>
  <c r="AJ108" i="5"/>
  <c r="D154" i="25" s="1"/>
  <c r="H154" i="25" s="1"/>
  <c r="AJ91" i="5"/>
  <c r="AJ93" i="5" s="1"/>
  <c r="AJ68" i="5"/>
  <c r="AJ69" i="5" s="1"/>
  <c r="AJ54" i="5"/>
  <c r="AJ56" i="5" s="1"/>
  <c r="AJ24" i="5"/>
  <c r="F10" i="43"/>
  <c r="H10" i="45"/>
  <c r="F10" i="45"/>
  <c r="T10" i="41"/>
  <c r="R10" i="41"/>
  <c r="P10" i="41"/>
  <c r="N10" i="41"/>
  <c r="L10" i="41"/>
  <c r="J10" i="41"/>
  <c r="H10" i="41"/>
  <c r="AH66" i="37"/>
  <c r="AH54" i="37"/>
  <c r="AH43" i="37"/>
  <c r="AH38" i="37"/>
  <c r="AH33" i="37"/>
  <c r="AH28" i="37"/>
  <c r="AH22" i="37"/>
  <c r="D16" i="34"/>
  <c r="H16" i="34" s="1"/>
  <c r="D28" i="35"/>
  <c r="H28" i="35" s="1"/>
  <c r="H4" i="39"/>
  <c r="H5" i="39"/>
  <c r="D28" i="36"/>
  <c r="D416" i="25"/>
  <c r="H416" i="25" s="1"/>
  <c r="D323" i="25"/>
  <c r="H323" i="25" s="1"/>
  <c r="D229" i="25"/>
  <c r="AI161" i="5"/>
  <c r="D16" i="31" s="1"/>
  <c r="H16" i="31" s="1"/>
  <c r="AI155" i="5"/>
  <c r="AI157" i="5" s="1"/>
  <c r="AI149" i="5"/>
  <c r="AI143" i="5"/>
  <c r="AI145" i="5" s="1"/>
  <c r="AI137" i="5"/>
  <c r="AI139" i="5" s="1"/>
  <c r="AI131" i="5"/>
  <c r="AI133" i="5" s="1"/>
  <c r="AI124" i="5"/>
  <c r="AI126" i="5" s="1"/>
  <c r="AI117" i="5"/>
  <c r="AI118" i="5" s="1"/>
  <c r="AI108" i="5"/>
  <c r="D153" i="25" s="1"/>
  <c r="H153" i="25" s="1"/>
  <c r="AI91" i="5"/>
  <c r="AI68" i="5"/>
  <c r="AI54" i="5"/>
  <c r="AI56" i="5" s="1"/>
  <c r="AI24" i="5"/>
  <c r="AI26" i="5" s="1"/>
  <c r="K134" i="25"/>
  <c r="K135" i="25"/>
  <c r="K136" i="25"/>
  <c r="K137" i="25"/>
  <c r="K138" i="25"/>
  <c r="K139" i="25"/>
  <c r="K140" i="25"/>
  <c r="K141" i="25"/>
  <c r="K142" i="25"/>
  <c r="K143" i="25"/>
  <c r="H3" i="39"/>
  <c r="D15" i="34"/>
  <c r="H15" i="34" s="1"/>
  <c r="D27" i="35"/>
  <c r="H27" i="35" s="1"/>
  <c r="D27" i="36"/>
  <c r="D228" i="25"/>
  <c r="AH54" i="5"/>
  <c r="AH161" i="5"/>
  <c r="AH155" i="5"/>
  <c r="D15" i="30" s="1"/>
  <c r="H15" i="30" s="1"/>
  <c r="AH149" i="5"/>
  <c r="AH151" i="5" s="1"/>
  <c r="AH143" i="5"/>
  <c r="AH137" i="5"/>
  <c r="AH139" i="5" s="1"/>
  <c r="AH131" i="5"/>
  <c r="D27" i="17" s="1"/>
  <c r="AH124" i="5"/>
  <c r="AH126" i="5" s="1"/>
  <c r="AH117" i="5"/>
  <c r="AH108" i="5"/>
  <c r="D152" i="25" s="1"/>
  <c r="AH91" i="5"/>
  <c r="AH93" i="5" s="1"/>
  <c r="AH68" i="5"/>
  <c r="AH69" i="5" s="1"/>
  <c r="AH24" i="5"/>
  <c r="AH25" i="5" s="1"/>
  <c r="F9" i="43"/>
  <c r="F8" i="43"/>
  <c r="F7" i="43"/>
  <c r="F6" i="43"/>
  <c r="F5" i="43"/>
  <c r="F4" i="43"/>
  <c r="F3" i="43"/>
  <c r="H9" i="45"/>
  <c r="H8" i="45"/>
  <c r="H7" i="45"/>
  <c r="H6" i="45"/>
  <c r="H5" i="45"/>
  <c r="H4" i="45"/>
  <c r="H3" i="45"/>
  <c r="F9" i="45"/>
  <c r="F8" i="45"/>
  <c r="F7" i="45"/>
  <c r="F6" i="45"/>
  <c r="F5" i="45"/>
  <c r="F4" i="45"/>
  <c r="F3" i="45"/>
  <c r="E28" i="41"/>
  <c r="E29" i="41"/>
  <c r="E30" i="41"/>
  <c r="E31" i="41"/>
  <c r="E32" i="41"/>
  <c r="T9" i="41"/>
  <c r="T8" i="41"/>
  <c r="T7" i="41"/>
  <c r="T6" i="41"/>
  <c r="T5" i="41"/>
  <c r="T4" i="41"/>
  <c r="T3" i="41"/>
  <c r="R9" i="41"/>
  <c r="R8" i="41"/>
  <c r="R7" i="41"/>
  <c r="R6" i="41"/>
  <c r="R5" i="41"/>
  <c r="R4" i="41"/>
  <c r="R3" i="41"/>
  <c r="P9" i="41"/>
  <c r="P8" i="41"/>
  <c r="P7" i="41"/>
  <c r="P6" i="41"/>
  <c r="N9" i="41"/>
  <c r="N8" i="41"/>
  <c r="N7" i="41"/>
  <c r="N6" i="41"/>
  <c r="L9" i="41"/>
  <c r="L8" i="41"/>
  <c r="L7" i="41"/>
  <c r="L6" i="41"/>
  <c r="L5" i="41"/>
  <c r="L4" i="41"/>
  <c r="L3" i="41"/>
  <c r="J9" i="41"/>
  <c r="J8" i="41"/>
  <c r="J7" i="41"/>
  <c r="J6" i="41"/>
  <c r="J5" i="41"/>
  <c r="J4" i="41"/>
  <c r="J3" i="41"/>
  <c r="H9" i="41"/>
  <c r="H8" i="41"/>
  <c r="H7" i="41"/>
  <c r="H6" i="41"/>
  <c r="H5" i="41"/>
  <c r="H4" i="41"/>
  <c r="H3" i="41"/>
  <c r="H2" i="39"/>
  <c r="AG117" i="5"/>
  <c r="AG119" i="5" s="1"/>
  <c r="I54" i="37"/>
  <c r="J54" i="37"/>
  <c r="K54" i="37"/>
  <c r="L54" i="37"/>
  <c r="M54" i="37"/>
  <c r="N54" i="37"/>
  <c r="O54" i="37"/>
  <c r="P54" i="37"/>
  <c r="Q54" i="37"/>
  <c r="R54" i="37"/>
  <c r="S54" i="37"/>
  <c r="T54" i="37"/>
  <c r="U54" i="37"/>
  <c r="V54" i="37"/>
  <c r="W54" i="37"/>
  <c r="X54" i="37"/>
  <c r="Y54" i="37"/>
  <c r="Z54" i="37"/>
  <c r="AA54" i="37"/>
  <c r="AB54" i="37"/>
  <c r="AC54" i="37"/>
  <c r="AD54" i="37"/>
  <c r="AE54" i="37"/>
  <c r="AF54" i="37"/>
  <c r="AG54" i="37"/>
  <c r="I66" i="37"/>
  <c r="J66" i="37"/>
  <c r="K66" i="37"/>
  <c r="L66" i="37"/>
  <c r="M66" i="37"/>
  <c r="N66" i="37"/>
  <c r="O66" i="37"/>
  <c r="P66" i="37"/>
  <c r="Q66" i="37"/>
  <c r="R66" i="37"/>
  <c r="S66" i="37"/>
  <c r="T66" i="37"/>
  <c r="U66" i="37"/>
  <c r="V66" i="37"/>
  <c r="W66" i="37"/>
  <c r="X66" i="37"/>
  <c r="Y66" i="37"/>
  <c r="Z66" i="37"/>
  <c r="AA66" i="37"/>
  <c r="AB66" i="37"/>
  <c r="AC66" i="37"/>
  <c r="AD66" i="37"/>
  <c r="AE66" i="37"/>
  <c r="AF66" i="37"/>
  <c r="AG66" i="37"/>
  <c r="I43" i="37"/>
  <c r="J43" i="37"/>
  <c r="K43" i="37"/>
  <c r="L43" i="37"/>
  <c r="M43" i="37"/>
  <c r="N43" i="37"/>
  <c r="O43" i="37"/>
  <c r="P43" i="37"/>
  <c r="Q43" i="37"/>
  <c r="R43" i="37"/>
  <c r="S43" i="37"/>
  <c r="T43" i="37"/>
  <c r="U43" i="37"/>
  <c r="V43" i="37"/>
  <c r="W43" i="37"/>
  <c r="X43" i="37"/>
  <c r="Y43" i="37"/>
  <c r="Z43" i="37"/>
  <c r="AA43" i="37"/>
  <c r="AB43" i="37"/>
  <c r="AC43" i="37"/>
  <c r="AD43" i="37"/>
  <c r="AE43" i="37"/>
  <c r="AF43" i="37"/>
  <c r="AG43" i="37"/>
  <c r="I38" i="37"/>
  <c r="J38" i="37"/>
  <c r="K38" i="37"/>
  <c r="L38" i="37"/>
  <c r="M38" i="37"/>
  <c r="N38" i="37"/>
  <c r="O38" i="37"/>
  <c r="P38" i="37"/>
  <c r="Q38" i="37"/>
  <c r="R38" i="37"/>
  <c r="S38" i="37"/>
  <c r="T38" i="37"/>
  <c r="U38" i="37"/>
  <c r="V38" i="37"/>
  <c r="W38" i="37"/>
  <c r="X38" i="37"/>
  <c r="Y38" i="37"/>
  <c r="Z38" i="37"/>
  <c r="AA38" i="37"/>
  <c r="AB38" i="37"/>
  <c r="AC38" i="37"/>
  <c r="AD38" i="37"/>
  <c r="AE38" i="37"/>
  <c r="AF38" i="37"/>
  <c r="AG38" i="37"/>
  <c r="I33" i="37"/>
  <c r="J33" i="37"/>
  <c r="K33" i="37"/>
  <c r="L33" i="37"/>
  <c r="M33" i="37"/>
  <c r="N33" i="37"/>
  <c r="O33" i="37"/>
  <c r="P33" i="37"/>
  <c r="Q33" i="37"/>
  <c r="R33" i="37"/>
  <c r="S33" i="37"/>
  <c r="T33" i="37"/>
  <c r="U33" i="37"/>
  <c r="V33" i="37"/>
  <c r="W33" i="37"/>
  <c r="X33" i="37"/>
  <c r="Y33" i="37"/>
  <c r="Z33" i="37"/>
  <c r="AA33" i="37"/>
  <c r="AB33" i="37"/>
  <c r="AC33" i="37"/>
  <c r="AD33" i="37"/>
  <c r="AE33" i="37"/>
  <c r="AF33" i="37"/>
  <c r="AG33" i="37"/>
  <c r="I28" i="37"/>
  <c r="J28" i="37"/>
  <c r="K28" i="37"/>
  <c r="L28" i="37"/>
  <c r="M28" i="37"/>
  <c r="N28" i="37"/>
  <c r="O28" i="37"/>
  <c r="P28" i="37"/>
  <c r="Q28" i="37"/>
  <c r="R28" i="37"/>
  <c r="S28" i="37"/>
  <c r="T28" i="37"/>
  <c r="U28" i="37"/>
  <c r="V28" i="37"/>
  <c r="W28" i="37"/>
  <c r="X28" i="37"/>
  <c r="Y28" i="37"/>
  <c r="Z28" i="37"/>
  <c r="AA28" i="37"/>
  <c r="AB28" i="37"/>
  <c r="AC28" i="37"/>
  <c r="AD28" i="37"/>
  <c r="AE28" i="37"/>
  <c r="AF28" i="37"/>
  <c r="AG28" i="37"/>
  <c r="I22" i="37"/>
  <c r="J22" i="37"/>
  <c r="K22" i="37"/>
  <c r="L22" i="37"/>
  <c r="M22" i="37"/>
  <c r="N22" i="37"/>
  <c r="O22" i="37"/>
  <c r="P22" i="37"/>
  <c r="Q22" i="37"/>
  <c r="R22" i="37"/>
  <c r="S22" i="37"/>
  <c r="T22" i="37"/>
  <c r="U22" i="37"/>
  <c r="V22" i="37"/>
  <c r="W22" i="37"/>
  <c r="X22" i="37"/>
  <c r="Y22" i="37"/>
  <c r="Z22" i="37"/>
  <c r="AA22" i="37"/>
  <c r="AB22" i="37"/>
  <c r="AC22" i="37"/>
  <c r="AD22" i="37"/>
  <c r="AE22" i="37"/>
  <c r="AF22" i="37"/>
  <c r="AG22" i="37"/>
  <c r="AI55" i="5"/>
  <c r="AG59" i="5"/>
  <c r="AG68" i="5" s="1"/>
  <c r="D14" i="34"/>
  <c r="H14" i="34" s="1"/>
  <c r="D415" i="25"/>
  <c r="H415" i="25" s="1"/>
  <c r="D322" i="25"/>
  <c r="H322" i="25" s="1"/>
  <c r="D227" i="25"/>
  <c r="AG161" i="5"/>
  <c r="D14" i="31" s="1"/>
  <c r="H14" i="31" s="1"/>
  <c r="AG155" i="5"/>
  <c r="D14" i="30" s="1"/>
  <c r="H14" i="30" s="1"/>
  <c r="AG149" i="5"/>
  <c r="AG151" i="5" s="1"/>
  <c r="AG143" i="5"/>
  <c r="AG137" i="5"/>
  <c r="D14" i="33" s="1"/>
  <c r="H14" i="33" s="1"/>
  <c r="AG131" i="5"/>
  <c r="D26" i="17" s="1"/>
  <c r="AG124" i="5"/>
  <c r="AG125" i="5" s="1"/>
  <c r="AG91" i="5"/>
  <c r="AG54" i="5"/>
  <c r="AG55" i="5" s="1"/>
  <c r="AG24" i="5"/>
  <c r="AG26" i="5" s="1"/>
  <c r="AG108" i="5"/>
  <c r="AG109" i="5" s="1"/>
  <c r="D26" i="35"/>
  <c r="H26" i="35" s="1"/>
  <c r="D25" i="35"/>
  <c r="H25" i="35" s="1"/>
  <c r="D24" i="35"/>
  <c r="H24" i="35" s="1"/>
  <c r="D23" i="35"/>
  <c r="H23" i="35" s="1"/>
  <c r="D22" i="35"/>
  <c r="H22" i="35" s="1"/>
  <c r="D21" i="35"/>
  <c r="H21" i="35" s="1"/>
  <c r="D20" i="35"/>
  <c r="H20" i="35" s="1"/>
  <c r="D19" i="35"/>
  <c r="H19" i="35" s="1"/>
  <c r="D18" i="35"/>
  <c r="H18" i="35" s="1"/>
  <c r="D17" i="35"/>
  <c r="H17" i="35" s="1"/>
  <c r="D16" i="35"/>
  <c r="H16" i="35" s="1"/>
  <c r="D15" i="35"/>
  <c r="H15" i="35" s="1"/>
  <c r="D14" i="35"/>
  <c r="H14" i="35" s="1"/>
  <c r="D13" i="35"/>
  <c r="H13" i="35" s="1"/>
  <c r="D12" i="35"/>
  <c r="H12" i="35" s="1"/>
  <c r="D11" i="35"/>
  <c r="H11" i="35" s="1"/>
  <c r="D10" i="35"/>
  <c r="H10" i="35" s="1"/>
  <c r="D9" i="35"/>
  <c r="H9" i="35" s="1"/>
  <c r="D8" i="35"/>
  <c r="H8" i="35" s="1"/>
  <c r="D7" i="35"/>
  <c r="H7" i="35" s="1"/>
  <c r="D6" i="35"/>
  <c r="H6" i="35" s="1"/>
  <c r="D5" i="35"/>
  <c r="H5" i="35" s="1"/>
  <c r="D4" i="35"/>
  <c r="H4" i="35" s="1"/>
  <c r="D3" i="35"/>
  <c r="H3" i="35" s="1"/>
  <c r="D2" i="35"/>
  <c r="H2" i="35" s="1"/>
  <c r="D26" i="36"/>
  <c r="D25" i="36"/>
  <c r="D24" i="36"/>
  <c r="D23" i="36"/>
  <c r="D22" i="36"/>
  <c r="D21" i="36"/>
  <c r="D20" i="36"/>
  <c r="D19" i="36"/>
  <c r="D18" i="36"/>
  <c r="D17" i="36"/>
  <c r="D16" i="36"/>
  <c r="D15" i="36"/>
  <c r="D14" i="36"/>
  <c r="D13" i="36"/>
  <c r="D12" i="36"/>
  <c r="D11" i="36"/>
  <c r="D10" i="36"/>
  <c r="D9" i="36"/>
  <c r="D8" i="36"/>
  <c r="D7" i="36"/>
  <c r="D6" i="36"/>
  <c r="B3" i="36"/>
  <c r="B4" i="36"/>
  <c r="B5" i="36"/>
  <c r="B6" i="36"/>
  <c r="B7" i="36"/>
  <c r="B8" i="36"/>
  <c r="B9" i="36"/>
  <c r="B10" i="36"/>
  <c r="B11" i="36"/>
  <c r="B12" i="36"/>
  <c r="B13" i="36"/>
  <c r="B14" i="36"/>
  <c r="B15" i="36"/>
  <c r="B16" i="36"/>
  <c r="B17" i="36"/>
  <c r="B18" i="36"/>
  <c r="B19" i="36"/>
  <c r="B20" i="36"/>
  <c r="B21" i="36"/>
  <c r="B22" i="36"/>
  <c r="B23" i="36"/>
  <c r="B24" i="36"/>
  <c r="B25" i="36"/>
  <c r="B26" i="36"/>
  <c r="B27" i="36"/>
  <c r="B28" i="36"/>
  <c r="B29" i="36"/>
  <c r="B30" i="36"/>
  <c r="B31" i="36"/>
  <c r="B32" i="36"/>
  <c r="B33" i="36"/>
  <c r="B34" i="36"/>
  <c r="B35" i="36"/>
  <c r="B36" i="36"/>
  <c r="B37" i="36"/>
  <c r="B38" i="36"/>
  <c r="B39" i="36"/>
  <c r="B40" i="36"/>
  <c r="B41" i="36"/>
  <c r="B42" i="36"/>
  <c r="B43" i="36"/>
  <c r="B44" i="36"/>
  <c r="B45" i="36"/>
  <c r="B46" i="36"/>
  <c r="H46" i="36" s="1"/>
  <c r="B47" i="36"/>
  <c r="H47" i="36" s="1"/>
  <c r="B48" i="36"/>
  <c r="H48" i="36" s="1"/>
  <c r="B49" i="36"/>
  <c r="H49" i="36" s="1"/>
  <c r="B50" i="36"/>
  <c r="H50" i="36" s="1"/>
  <c r="B51" i="36"/>
  <c r="H51" i="36" s="1"/>
  <c r="B52" i="36"/>
  <c r="H52" i="36" s="1"/>
  <c r="B53" i="36"/>
  <c r="H53" i="36" s="1"/>
  <c r="B54" i="36"/>
  <c r="H54" i="36" s="1"/>
  <c r="B55" i="36"/>
  <c r="H55" i="36" s="1"/>
  <c r="B56" i="36"/>
  <c r="H56" i="36" s="1"/>
  <c r="B57" i="36"/>
  <c r="B58" i="36"/>
  <c r="B59" i="36"/>
  <c r="B60" i="36"/>
  <c r="B61" i="36"/>
  <c r="B62" i="36"/>
  <c r="B63" i="36"/>
  <c r="B64" i="36"/>
  <c r="B65" i="36"/>
  <c r="B66" i="36"/>
  <c r="B67" i="36"/>
  <c r="B68" i="36"/>
  <c r="B69" i="36"/>
  <c r="B70" i="36"/>
  <c r="B71" i="36"/>
  <c r="B72" i="36"/>
  <c r="B73" i="36"/>
  <c r="B74" i="36"/>
  <c r="B75" i="36"/>
  <c r="B76" i="36"/>
  <c r="B77" i="36"/>
  <c r="B78" i="36"/>
  <c r="B79" i="36"/>
  <c r="B80" i="36"/>
  <c r="B81" i="36"/>
  <c r="B82" i="36"/>
  <c r="B83" i="36"/>
  <c r="B84" i="36"/>
  <c r="B85" i="36"/>
  <c r="B86" i="36"/>
  <c r="B87" i="36"/>
  <c r="B88" i="36"/>
  <c r="B89" i="36"/>
  <c r="B90" i="36"/>
  <c r="B91" i="36"/>
  <c r="B92" i="36"/>
  <c r="B93" i="36"/>
  <c r="B94" i="36"/>
  <c r="B95" i="36"/>
  <c r="B96" i="36"/>
  <c r="B97" i="36"/>
  <c r="B98" i="36"/>
  <c r="B99" i="36"/>
  <c r="B100" i="36"/>
  <c r="B101" i="36"/>
  <c r="B102" i="36"/>
  <c r="B103" i="36"/>
  <c r="B104" i="36"/>
  <c r="B105" i="36"/>
  <c r="B106" i="36"/>
  <c r="B107" i="36"/>
  <c r="B108" i="36"/>
  <c r="B109" i="36"/>
  <c r="B2" i="36"/>
  <c r="B3" i="19"/>
  <c r="B4" i="19"/>
  <c r="B5" i="19"/>
  <c r="B6" i="19"/>
  <c r="B7" i="19"/>
  <c r="B8" i="19"/>
  <c r="B9" i="19"/>
  <c r="B10" i="19"/>
  <c r="B11" i="19"/>
  <c r="B12" i="19"/>
  <c r="B13" i="19"/>
  <c r="B14" i="19"/>
  <c r="B15" i="19"/>
  <c r="B16" i="19"/>
  <c r="B17" i="19"/>
  <c r="B18" i="19"/>
  <c r="B19" i="19"/>
  <c r="B20" i="19"/>
  <c r="B21" i="19"/>
  <c r="B22" i="19"/>
  <c r="B23" i="19"/>
  <c r="B24" i="19"/>
  <c r="B25" i="19"/>
  <c r="B26" i="19"/>
  <c r="B27" i="19"/>
  <c r="B28" i="19"/>
  <c r="B29" i="19"/>
  <c r="B30" i="19"/>
  <c r="B31" i="19"/>
  <c r="B32" i="19"/>
  <c r="B33" i="19"/>
  <c r="B34" i="19"/>
  <c r="B35" i="19"/>
  <c r="B36" i="19"/>
  <c r="B37" i="19"/>
  <c r="B38" i="19"/>
  <c r="B39" i="19"/>
  <c r="B40" i="19"/>
  <c r="B41" i="19"/>
  <c r="B42" i="19"/>
  <c r="B43" i="19"/>
  <c r="B44" i="19"/>
  <c r="B45" i="19"/>
  <c r="B46" i="19"/>
  <c r="B47" i="19"/>
  <c r="H47" i="19" s="1"/>
  <c r="B48" i="19"/>
  <c r="H48" i="19" s="1"/>
  <c r="B49" i="19"/>
  <c r="H49" i="19" s="1"/>
  <c r="B50" i="19"/>
  <c r="H50" i="19" s="1"/>
  <c r="B51" i="19"/>
  <c r="H51" i="19" s="1"/>
  <c r="B52" i="19"/>
  <c r="H52" i="19" s="1"/>
  <c r="B53" i="19"/>
  <c r="H53" i="19" s="1"/>
  <c r="B54" i="19"/>
  <c r="H54" i="19" s="1"/>
  <c r="B55" i="19"/>
  <c r="H55" i="19" s="1"/>
  <c r="B56" i="19"/>
  <c r="H56" i="19" s="1"/>
  <c r="B57" i="19"/>
  <c r="B58" i="19"/>
  <c r="B59" i="19"/>
  <c r="B60" i="19"/>
  <c r="B61" i="19"/>
  <c r="B62" i="19"/>
  <c r="B63" i="19"/>
  <c r="B64" i="19"/>
  <c r="B65" i="19"/>
  <c r="B66" i="19"/>
  <c r="B67" i="19"/>
  <c r="B68" i="19"/>
  <c r="B69" i="19"/>
  <c r="B70" i="19"/>
  <c r="B71" i="19"/>
  <c r="B72" i="19"/>
  <c r="B73" i="19"/>
  <c r="B74" i="19"/>
  <c r="B75" i="19"/>
  <c r="B76" i="19"/>
  <c r="B77" i="19"/>
  <c r="B78" i="19"/>
  <c r="B79" i="19"/>
  <c r="B80" i="19"/>
  <c r="B81" i="19"/>
  <c r="B82" i="19"/>
  <c r="B83" i="19"/>
  <c r="B84" i="19"/>
  <c r="B85" i="19"/>
  <c r="B86" i="19"/>
  <c r="B87" i="19"/>
  <c r="B88" i="19"/>
  <c r="B89" i="19"/>
  <c r="B90" i="19"/>
  <c r="B91" i="19"/>
  <c r="B92" i="19"/>
  <c r="B93" i="19"/>
  <c r="B94" i="19"/>
  <c r="B95" i="19"/>
  <c r="B96" i="19"/>
  <c r="B97" i="19"/>
  <c r="B98" i="19"/>
  <c r="B99" i="19"/>
  <c r="B100" i="19"/>
  <c r="B101" i="19"/>
  <c r="B102" i="19"/>
  <c r="B103" i="19"/>
  <c r="B104" i="19"/>
  <c r="B105" i="19"/>
  <c r="B106" i="19"/>
  <c r="B107" i="19"/>
  <c r="B108" i="19"/>
  <c r="B109" i="19"/>
  <c r="B2" i="19"/>
  <c r="D13" i="34"/>
  <c r="H13" i="34" s="1"/>
  <c r="D414" i="25"/>
  <c r="H414" i="25" s="1"/>
  <c r="D321" i="25"/>
  <c r="H321" i="25" s="1"/>
  <c r="D226" i="25"/>
  <c r="AF161" i="5"/>
  <c r="AF163" i="5" s="1"/>
  <c r="AF155" i="5"/>
  <c r="AF157" i="5" s="1"/>
  <c r="AF149" i="5"/>
  <c r="AF151" i="5" s="1"/>
  <c r="AF143" i="5"/>
  <c r="D13" i="32" s="1"/>
  <c r="H13" i="32" s="1"/>
  <c r="AF137" i="5"/>
  <c r="D13" i="33" s="1"/>
  <c r="H13" i="33" s="1"/>
  <c r="AF131" i="5"/>
  <c r="D25" i="17" s="1"/>
  <c r="AF124" i="5"/>
  <c r="AF117" i="5"/>
  <c r="AF118" i="5" s="1"/>
  <c r="AF108" i="5"/>
  <c r="D150" i="25" s="1"/>
  <c r="AF91" i="5"/>
  <c r="D25" i="25" s="1"/>
  <c r="H25" i="25" s="1"/>
  <c r="AF68" i="5"/>
  <c r="AF70" i="5" s="1"/>
  <c r="AF54" i="5"/>
  <c r="AF55" i="5" s="1"/>
  <c r="AF24" i="5"/>
  <c r="AF25" i="5" s="1"/>
  <c r="D12" i="34"/>
  <c r="H12" i="34" s="1"/>
  <c r="D413" i="25"/>
  <c r="H413" i="25" s="1"/>
  <c r="D320" i="25"/>
  <c r="H320" i="25" s="1"/>
  <c r="D225" i="25"/>
  <c r="AE161" i="5"/>
  <c r="AE155" i="5"/>
  <c r="D12" i="30" s="1"/>
  <c r="H12" i="30" s="1"/>
  <c r="AE149" i="5"/>
  <c r="AE151" i="5" s="1"/>
  <c r="AE143" i="5"/>
  <c r="D12" i="32" s="1"/>
  <c r="H12" i="32" s="1"/>
  <c r="AE137" i="5"/>
  <c r="AE139" i="5" s="1"/>
  <c r="AE131" i="5"/>
  <c r="AE133" i="5" s="1"/>
  <c r="AE124" i="5"/>
  <c r="AE125" i="5" s="1"/>
  <c r="AE117" i="5"/>
  <c r="AE108" i="5"/>
  <c r="D149" i="25" s="1"/>
  <c r="AE99" i="5"/>
  <c r="AE101" i="5" s="1"/>
  <c r="AE91" i="5"/>
  <c r="AE68" i="5"/>
  <c r="AE69" i="5" s="1"/>
  <c r="AE54" i="5"/>
  <c r="AE24" i="5"/>
  <c r="B23" i="25"/>
  <c r="D11" i="34"/>
  <c r="H11" i="34" s="1"/>
  <c r="BZ104" i="5"/>
  <c r="CA104" i="5"/>
  <c r="CB104" i="5"/>
  <c r="CC104" i="5"/>
  <c r="CD104" i="5"/>
  <c r="CE104" i="5"/>
  <c r="CF104" i="5"/>
  <c r="CG104" i="5"/>
  <c r="CH104" i="5"/>
  <c r="CI104" i="5"/>
  <c r="CA103" i="5"/>
  <c r="CB103" i="5"/>
  <c r="CC103" i="5"/>
  <c r="CD103" i="5"/>
  <c r="CE103" i="5"/>
  <c r="CF103" i="5"/>
  <c r="CG103" i="5"/>
  <c r="CH103" i="5"/>
  <c r="CI103" i="5"/>
  <c r="BZ103" i="5"/>
  <c r="D412" i="25"/>
  <c r="H412" i="25" s="1"/>
  <c r="D224" i="25"/>
  <c r="D319" i="25"/>
  <c r="H319" i="25" s="1"/>
  <c r="AD161" i="5"/>
  <c r="AD163" i="5" s="1"/>
  <c r="AD155" i="5"/>
  <c r="AD149" i="5"/>
  <c r="AD151" i="5" s="1"/>
  <c r="AD143" i="5"/>
  <c r="D11" i="32" s="1"/>
  <c r="H11" i="32" s="1"/>
  <c r="AD137" i="5"/>
  <c r="AD131" i="5"/>
  <c r="D23" i="17" s="1"/>
  <c r="AD124" i="5"/>
  <c r="AD117" i="5"/>
  <c r="AD118" i="5" s="1"/>
  <c r="AD108" i="5"/>
  <c r="D148" i="25" s="1"/>
  <c r="AD99" i="5"/>
  <c r="AD101" i="5" s="1"/>
  <c r="AD24" i="5"/>
  <c r="AD26" i="5" s="1"/>
  <c r="AD91" i="5"/>
  <c r="AD68" i="5"/>
  <c r="AD69" i="5" s="1"/>
  <c r="AD54" i="5"/>
  <c r="AD55" i="5" s="1"/>
  <c r="D10" i="34"/>
  <c r="H10" i="34" s="1"/>
  <c r="D411" i="25"/>
  <c r="H411" i="25" s="1"/>
  <c r="D318" i="25"/>
  <c r="H318" i="25" s="1"/>
  <c r="D223" i="25"/>
  <c r="B22" i="25"/>
  <c r="AC161" i="5"/>
  <c r="D10" i="31" s="1"/>
  <c r="H10" i="31" s="1"/>
  <c r="AC155" i="5"/>
  <c r="AC157" i="5" s="1"/>
  <c r="AC149" i="5"/>
  <c r="AC151" i="5" s="1"/>
  <c r="AC143" i="5"/>
  <c r="AC145" i="5" s="1"/>
  <c r="AC137" i="5"/>
  <c r="D10" i="33" s="1"/>
  <c r="H10" i="33" s="1"/>
  <c r="AC131" i="5"/>
  <c r="AC133" i="5" s="1"/>
  <c r="AC124" i="5"/>
  <c r="AC125" i="5" s="1"/>
  <c r="AC117" i="5"/>
  <c r="AC108" i="5"/>
  <c r="D147" i="25" s="1"/>
  <c r="H147" i="25" s="1"/>
  <c r="AC99" i="5"/>
  <c r="AC91" i="5"/>
  <c r="AC68" i="5"/>
  <c r="AC69" i="5" s="1"/>
  <c r="AC54" i="5"/>
  <c r="AC55" i="5" s="1"/>
  <c r="AC24" i="5"/>
  <c r="AC26" i="5" s="1"/>
  <c r="D9" i="34"/>
  <c r="H9" i="34" s="1"/>
  <c r="D410" i="25"/>
  <c r="H410" i="25" s="1"/>
  <c r="D317" i="25"/>
  <c r="H317" i="25" s="1"/>
  <c r="D222" i="25"/>
  <c r="AB161" i="5"/>
  <c r="D9" i="31" s="1"/>
  <c r="H9" i="31" s="1"/>
  <c r="AB155" i="5"/>
  <c r="AB157" i="5" s="1"/>
  <c r="AB149" i="5"/>
  <c r="AB151" i="5" s="1"/>
  <c r="AB143" i="5"/>
  <c r="D9" i="32" s="1"/>
  <c r="H9" i="32" s="1"/>
  <c r="AB137" i="5"/>
  <c r="D9" i="33" s="1"/>
  <c r="H9" i="33" s="1"/>
  <c r="AB131" i="5"/>
  <c r="AB133" i="5" s="1"/>
  <c r="AB124" i="5"/>
  <c r="D21" i="19" s="1"/>
  <c r="AB117" i="5"/>
  <c r="AB119" i="5" s="1"/>
  <c r="AB108" i="5"/>
  <c r="AB109" i="5" s="1"/>
  <c r="AB99" i="5"/>
  <c r="AB101" i="5" s="1"/>
  <c r="AB91" i="5"/>
  <c r="AB68" i="5"/>
  <c r="AB54" i="5"/>
  <c r="AB56" i="5" s="1"/>
  <c r="AB24" i="5"/>
  <c r="D8" i="34"/>
  <c r="H8" i="34" s="1"/>
  <c r="D409" i="25"/>
  <c r="H409" i="25" s="1"/>
  <c r="D316" i="25"/>
  <c r="H316" i="25" s="1"/>
  <c r="D221" i="25"/>
  <c r="Z131" i="5"/>
  <c r="AA131" i="5"/>
  <c r="AA161" i="5"/>
  <c r="AA155" i="5"/>
  <c r="D8" i="30" s="1"/>
  <c r="H8" i="30" s="1"/>
  <c r="AA149" i="5"/>
  <c r="AA151" i="5" s="1"/>
  <c r="AA143" i="5"/>
  <c r="D8" i="32" s="1"/>
  <c r="H8" i="32" s="1"/>
  <c r="AA137" i="5"/>
  <c r="AA124" i="5"/>
  <c r="AA117" i="5"/>
  <c r="AA118" i="5" s="1"/>
  <c r="AA108" i="5"/>
  <c r="AA109" i="5" s="1"/>
  <c r="AA99" i="5"/>
  <c r="AA91" i="5"/>
  <c r="AA68" i="5"/>
  <c r="AA70" i="5" s="1"/>
  <c r="AA54" i="5"/>
  <c r="AA24" i="5"/>
  <c r="D7" i="31"/>
  <c r="H7" i="31" s="1"/>
  <c r="D7" i="32"/>
  <c r="H7" i="32" s="1"/>
  <c r="D7" i="30"/>
  <c r="H7" i="30" s="1"/>
  <c r="D7" i="34"/>
  <c r="H7" i="34" s="1"/>
  <c r="H408" i="25"/>
  <c r="H315" i="25"/>
  <c r="H144" i="25"/>
  <c r="Z161" i="5"/>
  <c r="Z155" i="5"/>
  <c r="Z157" i="5" s="1"/>
  <c r="Z149" i="5"/>
  <c r="Z151" i="5" s="1"/>
  <c r="Z143" i="5"/>
  <c r="Z145" i="5" s="1"/>
  <c r="Z137" i="5"/>
  <c r="Z139" i="5" s="1"/>
  <c r="Z124" i="5"/>
  <c r="D19" i="19" s="1"/>
  <c r="Z117" i="5"/>
  <c r="Z118" i="5" s="1"/>
  <c r="Z108" i="5"/>
  <c r="Z110" i="5" s="1"/>
  <c r="Z99" i="5"/>
  <c r="Z101" i="5" s="1"/>
  <c r="Z91" i="5"/>
  <c r="Z68" i="5"/>
  <c r="Z70" i="5" s="1"/>
  <c r="Z54" i="5"/>
  <c r="Z24" i="5"/>
  <c r="Z26" i="5" s="1"/>
  <c r="B3" i="17"/>
  <c r="H3" i="17" s="1"/>
  <c r="B4" i="17"/>
  <c r="H4" i="17" s="1"/>
  <c r="B5" i="17"/>
  <c r="H5" i="17" s="1"/>
  <c r="B6" i="17"/>
  <c r="H6" i="17" s="1"/>
  <c r="B7" i="17"/>
  <c r="H7" i="17" s="1"/>
  <c r="B8" i="17"/>
  <c r="H8" i="17" s="1"/>
  <c r="B9" i="17"/>
  <c r="H9" i="17" s="1"/>
  <c r="B10" i="17"/>
  <c r="H10" i="17" s="1"/>
  <c r="B11" i="17"/>
  <c r="H11" i="17" s="1"/>
  <c r="B12" i="17"/>
  <c r="H12" i="17" s="1"/>
  <c r="B13" i="17"/>
  <c r="H13" i="17" s="1"/>
  <c r="B14" i="17"/>
  <c r="H14" i="17" s="1"/>
  <c r="B15" i="17"/>
  <c r="H15" i="17" s="1"/>
  <c r="B16" i="17"/>
  <c r="H16" i="17" s="1"/>
  <c r="B17" i="17"/>
  <c r="H17" i="17" s="1"/>
  <c r="B18" i="17"/>
  <c r="H18" i="17" s="1"/>
  <c r="B2" i="17"/>
  <c r="H2" i="17" s="1"/>
  <c r="D6" i="31"/>
  <c r="H6" i="31" s="1"/>
  <c r="D5" i="31"/>
  <c r="H5" i="31" s="1"/>
  <c r="D6" i="32"/>
  <c r="H6" i="32" s="1"/>
  <c r="D5" i="32"/>
  <c r="H5" i="32" s="1"/>
  <c r="D6" i="30"/>
  <c r="H6" i="30" s="1"/>
  <c r="D6" i="34"/>
  <c r="H6" i="34" s="1"/>
  <c r="D5" i="34"/>
  <c r="H5" i="34" s="1"/>
  <c r="H407" i="25"/>
  <c r="H406" i="25"/>
  <c r="H143" i="25"/>
  <c r="Y161" i="5"/>
  <c r="Y155" i="5"/>
  <c r="Y157" i="5" s="1"/>
  <c r="Y149" i="5"/>
  <c r="Y151" i="5" s="1"/>
  <c r="Y143" i="5"/>
  <c r="Y145" i="5" s="1"/>
  <c r="Y137" i="5"/>
  <c r="D6" i="33" s="1"/>
  <c r="H6" i="33" s="1"/>
  <c r="Y131" i="5"/>
  <c r="Y124" i="5"/>
  <c r="D18" i="19" s="1"/>
  <c r="Y117" i="5"/>
  <c r="Y119" i="5" s="1"/>
  <c r="H314" i="25"/>
  <c r="Y108" i="5"/>
  <c r="Y99" i="5"/>
  <c r="Y91" i="5"/>
  <c r="Y93" i="5" s="1"/>
  <c r="Y68" i="5"/>
  <c r="Y54" i="5"/>
  <c r="Y55" i="5" s="1"/>
  <c r="Y24" i="5"/>
  <c r="Y26" i="5" s="1"/>
  <c r="H392" i="25"/>
  <c r="H393" i="25"/>
  <c r="H394" i="25"/>
  <c r="H395" i="25"/>
  <c r="H396" i="25"/>
  <c r="H397" i="25"/>
  <c r="H398" i="25"/>
  <c r="H399" i="25"/>
  <c r="H400" i="25"/>
  <c r="H401" i="25"/>
  <c r="H402" i="25"/>
  <c r="H403" i="25"/>
  <c r="H404" i="25"/>
  <c r="H405" i="25"/>
  <c r="H391" i="25"/>
  <c r="D4" i="31"/>
  <c r="H4" i="31" s="1"/>
  <c r="D3" i="31"/>
  <c r="H3" i="31" s="1"/>
  <c r="D2" i="31"/>
  <c r="H2" i="31" s="1"/>
  <c r="D4" i="32"/>
  <c r="H4" i="32" s="1"/>
  <c r="D3" i="32"/>
  <c r="H3" i="32" s="1"/>
  <c r="D2" i="32"/>
  <c r="H2" i="32" s="1"/>
  <c r="D5" i="30"/>
  <c r="H5" i="30" s="1"/>
  <c r="D4" i="30"/>
  <c r="H4" i="30" s="1"/>
  <c r="D3" i="30"/>
  <c r="H3" i="30" s="1"/>
  <c r="D2" i="30"/>
  <c r="H2" i="30" s="1"/>
  <c r="D4" i="34"/>
  <c r="H4" i="34" s="1"/>
  <c r="D3" i="34"/>
  <c r="H3" i="34" s="1"/>
  <c r="D2" i="34"/>
  <c r="H2" i="34" s="1"/>
  <c r="D313" i="25"/>
  <c r="H313" i="25" s="1"/>
  <c r="D218" i="25"/>
  <c r="H142" i="25"/>
  <c r="X117" i="5"/>
  <c r="X118" i="5" s="1"/>
  <c r="X161" i="5"/>
  <c r="X163" i="5" s="1"/>
  <c r="X155" i="5"/>
  <c r="X157" i="5" s="1"/>
  <c r="X149" i="5"/>
  <c r="X143" i="5"/>
  <c r="X145" i="5" s="1"/>
  <c r="X137" i="5"/>
  <c r="X131" i="5"/>
  <c r="X124" i="5"/>
  <c r="X125" i="5" s="1"/>
  <c r="X108" i="5"/>
  <c r="X109" i="5" s="1"/>
  <c r="X99" i="5"/>
  <c r="X91" i="5"/>
  <c r="X68" i="5"/>
  <c r="X69" i="5" s="1"/>
  <c r="X54" i="5"/>
  <c r="X55" i="5" s="1"/>
  <c r="X24" i="5"/>
  <c r="B21" i="25"/>
  <c r="W161" i="5"/>
  <c r="W155" i="5"/>
  <c r="W157" i="5" s="1"/>
  <c r="W149" i="5"/>
  <c r="W143" i="5"/>
  <c r="W145" i="5" s="1"/>
  <c r="W137" i="5"/>
  <c r="D4" i="33" s="1"/>
  <c r="H4" i="33" s="1"/>
  <c r="W131" i="5"/>
  <c r="W124" i="5"/>
  <c r="W126" i="5" s="1"/>
  <c r="W117" i="5"/>
  <c r="W118" i="5" s="1"/>
  <c r="H312" i="25"/>
  <c r="H141" i="25"/>
  <c r="H140" i="25"/>
  <c r="W108" i="5"/>
  <c r="W109" i="5" s="1"/>
  <c r="W99" i="5"/>
  <c r="W101" i="5" s="1"/>
  <c r="W91" i="5"/>
  <c r="W93" i="5" s="1"/>
  <c r="W68" i="5"/>
  <c r="W69" i="5" s="1"/>
  <c r="W54" i="5"/>
  <c r="W24" i="5"/>
  <c r="W25" i="5" s="1"/>
  <c r="V161" i="5"/>
  <c r="V163" i="5" s="1"/>
  <c r="V155" i="5"/>
  <c r="V149" i="5"/>
  <c r="V143" i="5"/>
  <c r="V137" i="5"/>
  <c r="D3" i="33" s="1"/>
  <c r="H3" i="33" s="1"/>
  <c r="V131" i="5"/>
  <c r="V124" i="5"/>
  <c r="V125" i="5" s="1"/>
  <c r="V117" i="5"/>
  <c r="V118" i="5" s="1"/>
  <c r="H311" i="25"/>
  <c r="V108" i="5"/>
  <c r="V109" i="5" s="1"/>
  <c r="V68" i="5"/>
  <c r="V70" i="5" s="1"/>
  <c r="V91" i="5"/>
  <c r="V99" i="5"/>
  <c r="V100" i="5" s="1"/>
  <c r="V54" i="5"/>
  <c r="V56" i="5" s="1"/>
  <c r="V24" i="5"/>
  <c r="V26" i="5" s="1"/>
  <c r="U124" i="5"/>
  <c r="U131" i="5"/>
  <c r="U133" i="5" s="1"/>
  <c r="U137" i="5"/>
  <c r="D2" i="33" s="1"/>
  <c r="H2" i="33" s="1"/>
  <c r="U143" i="5"/>
  <c r="U145" i="5" s="1"/>
  <c r="U149" i="5"/>
  <c r="U151" i="5" s="1"/>
  <c r="U155" i="5"/>
  <c r="U161" i="5"/>
  <c r="U117" i="5"/>
  <c r="U118" i="5" s="1"/>
  <c r="H139" i="25"/>
  <c r="U108" i="5"/>
  <c r="U109" i="5" s="1"/>
  <c r="H310" i="25"/>
  <c r="U54" i="5"/>
  <c r="U56" i="5" s="1"/>
  <c r="U24" i="5"/>
  <c r="U25" i="5" s="1"/>
  <c r="U68" i="5"/>
  <c r="U70" i="5" s="1"/>
  <c r="U91" i="5"/>
  <c r="U93" i="5" s="1"/>
  <c r="U99" i="5"/>
  <c r="U100" i="5" s="1"/>
  <c r="BY103" i="5"/>
  <c r="BY104" i="5"/>
  <c r="H135" i="25"/>
  <c r="H136" i="25"/>
  <c r="H137" i="25"/>
  <c r="H138" i="25"/>
  <c r="H309" i="25"/>
  <c r="T124" i="5"/>
  <c r="T126" i="5" s="1"/>
  <c r="T131" i="5"/>
  <c r="T133" i="5" s="1"/>
  <c r="T137" i="5"/>
  <c r="T143" i="5"/>
  <c r="T145" i="5" s="1"/>
  <c r="T149" i="5"/>
  <c r="T155" i="5"/>
  <c r="T156" i="5" s="1"/>
  <c r="T161" i="5"/>
  <c r="T163" i="5" s="1"/>
  <c r="T117" i="5"/>
  <c r="S108" i="5"/>
  <c r="S110" i="5" s="1"/>
  <c r="T108" i="5"/>
  <c r="T110" i="5" s="1"/>
  <c r="T99" i="5"/>
  <c r="T100" i="5" s="1"/>
  <c r="T91" i="5"/>
  <c r="T68" i="5"/>
  <c r="T54" i="5"/>
  <c r="T56" i="5" s="1"/>
  <c r="T24" i="5"/>
  <c r="H308" i="25"/>
  <c r="H213" i="25"/>
  <c r="BX103" i="5"/>
  <c r="BX104" i="5"/>
  <c r="BT103" i="5"/>
  <c r="BU103" i="5"/>
  <c r="BV103" i="5"/>
  <c r="BW103" i="5"/>
  <c r="BT104" i="5"/>
  <c r="BU104" i="5"/>
  <c r="BV104" i="5"/>
  <c r="BW104" i="5"/>
  <c r="S124" i="5"/>
  <c r="S131" i="5"/>
  <c r="S133" i="5" s="1"/>
  <c r="S137" i="5"/>
  <c r="S138" i="5" s="1"/>
  <c r="S143" i="5"/>
  <c r="S149" i="5"/>
  <c r="S151" i="5" s="1"/>
  <c r="S155" i="5"/>
  <c r="S157" i="5" s="1"/>
  <c r="S161" i="5"/>
  <c r="S117" i="5"/>
  <c r="S118" i="5" s="1"/>
  <c r="S99" i="5"/>
  <c r="S100" i="5" s="1"/>
  <c r="S91" i="5"/>
  <c r="S93" i="5" s="1"/>
  <c r="S68" i="5"/>
  <c r="S70" i="5" s="1"/>
  <c r="S54" i="5"/>
  <c r="S24" i="5"/>
  <c r="S26" i="5" s="1"/>
  <c r="H307" i="25"/>
  <c r="H306" i="25"/>
  <c r="H305" i="25"/>
  <c r="H304" i="25"/>
  <c r="H303" i="25"/>
  <c r="H302" i="25"/>
  <c r="H301" i="25"/>
  <c r="H300" i="25"/>
  <c r="H299" i="25"/>
  <c r="H298" i="25"/>
  <c r="B237" i="25"/>
  <c r="B236" i="25"/>
  <c r="B235" i="25"/>
  <c r="B234" i="25"/>
  <c r="B233" i="25"/>
  <c r="B232" i="25"/>
  <c r="B231" i="25"/>
  <c r="B230" i="25"/>
  <c r="B229" i="25"/>
  <c r="B228" i="25"/>
  <c r="B227" i="25"/>
  <c r="B226" i="25"/>
  <c r="B225" i="25"/>
  <c r="B224" i="25"/>
  <c r="B223" i="25"/>
  <c r="B222" i="25"/>
  <c r="B221" i="25"/>
  <c r="B220" i="25"/>
  <c r="H220" i="25" s="1"/>
  <c r="B219" i="25"/>
  <c r="H219" i="25" s="1"/>
  <c r="B218" i="25"/>
  <c r="B217" i="25"/>
  <c r="H217" i="25" s="1"/>
  <c r="B216" i="25"/>
  <c r="H216" i="25" s="1"/>
  <c r="B215" i="25"/>
  <c r="H215" i="25" s="1"/>
  <c r="B214" i="25"/>
  <c r="H214" i="25" s="1"/>
  <c r="H212" i="25"/>
  <c r="H211" i="25"/>
  <c r="D210" i="25"/>
  <c r="H210" i="25" s="1"/>
  <c r="D209" i="25"/>
  <c r="H209" i="25" s="1"/>
  <c r="D208" i="25"/>
  <c r="H208" i="25" s="1"/>
  <c r="H134" i="25"/>
  <c r="B20" i="25"/>
  <c r="B19" i="25"/>
  <c r="B18" i="25"/>
  <c r="B17" i="25"/>
  <c r="B16" i="25"/>
  <c r="B15" i="25"/>
  <c r="B14" i="25"/>
  <c r="B13" i="25"/>
  <c r="B12" i="25"/>
  <c r="B11" i="25"/>
  <c r="B10" i="25"/>
  <c r="B9" i="25"/>
  <c r="B2" i="25"/>
  <c r="B5" i="24"/>
  <c r="B2" i="24"/>
  <c r="R161" i="5"/>
  <c r="R155" i="5"/>
  <c r="R157" i="5" s="1"/>
  <c r="R149" i="5"/>
  <c r="R143" i="5"/>
  <c r="R137" i="5"/>
  <c r="R139" i="5" s="1"/>
  <c r="R131" i="5"/>
  <c r="R132" i="5" s="1"/>
  <c r="R124" i="5"/>
  <c r="D11" i="19" s="1"/>
  <c r="R117" i="5"/>
  <c r="R108" i="5"/>
  <c r="R99" i="5"/>
  <c r="R101" i="5" s="1"/>
  <c r="R91" i="5"/>
  <c r="R93" i="5" s="1"/>
  <c r="R68" i="5"/>
  <c r="R69" i="5" s="1"/>
  <c r="R24" i="5"/>
  <c r="R26" i="5" s="1"/>
  <c r="R54" i="5"/>
  <c r="R56" i="5" s="1"/>
  <c r="Q108" i="5"/>
  <c r="Q110" i="5" s="1"/>
  <c r="Q161" i="5"/>
  <c r="Q155" i="5"/>
  <c r="Q157" i="5" s="1"/>
  <c r="Q149" i="5"/>
  <c r="Q143" i="5"/>
  <c r="Q145" i="5" s="1"/>
  <c r="Q137" i="5"/>
  <c r="Q131" i="5"/>
  <c r="Q133" i="5" s="1"/>
  <c r="Q124" i="5"/>
  <c r="Q126" i="5" s="1"/>
  <c r="Q117" i="5"/>
  <c r="Q118" i="5" s="1"/>
  <c r="Q99" i="5"/>
  <c r="Q101" i="5" s="1"/>
  <c r="Q68" i="5"/>
  <c r="Q69" i="5" s="1"/>
  <c r="Q54" i="5"/>
  <c r="Q24" i="5"/>
  <c r="Q26" i="5" s="1"/>
  <c r="Q91" i="5"/>
  <c r="AP110" i="5"/>
  <c r="AP109" i="5"/>
  <c r="AL2" i="5"/>
  <c r="AH2" i="5"/>
  <c r="AF2" i="5"/>
  <c r="AA2" i="5"/>
  <c r="W2" i="5"/>
  <c r="V2" i="5"/>
  <c r="R2" i="5"/>
  <c r="S2" i="5"/>
  <c r="P161" i="5"/>
  <c r="P155" i="5"/>
  <c r="P149" i="5"/>
  <c r="P143" i="5"/>
  <c r="P145" i="5" s="1"/>
  <c r="P137" i="5"/>
  <c r="O131" i="5"/>
  <c r="P131" i="5"/>
  <c r="P133" i="5" s="1"/>
  <c r="P124" i="5"/>
  <c r="P125" i="5" s="1"/>
  <c r="P117" i="5"/>
  <c r="P118" i="5" s="1"/>
  <c r="P108" i="5"/>
  <c r="P110" i="5" s="1"/>
  <c r="P99" i="5"/>
  <c r="P100" i="5" s="1"/>
  <c r="P91" i="5"/>
  <c r="P68" i="5"/>
  <c r="P70" i="5" s="1"/>
  <c r="P54" i="5"/>
  <c r="P56" i="5" s="1"/>
  <c r="P24" i="5"/>
  <c r="P25" i="5" s="1"/>
  <c r="D9" i="19"/>
  <c r="P119" i="5"/>
  <c r="O161" i="5"/>
  <c r="O163" i="5" s="1"/>
  <c r="O155" i="5"/>
  <c r="O157" i="5" s="1"/>
  <c r="O149" i="5"/>
  <c r="O143" i="5"/>
  <c r="O145" i="5" s="1"/>
  <c r="O137" i="5"/>
  <c r="N131" i="5"/>
  <c r="N132" i="5" s="1"/>
  <c r="O124" i="5"/>
  <c r="O125" i="5" s="1"/>
  <c r="O117" i="5"/>
  <c r="O119" i="5" s="1"/>
  <c r="O108" i="5"/>
  <c r="O99" i="5"/>
  <c r="O100" i="5" s="1"/>
  <c r="O91" i="5"/>
  <c r="O92" i="5" s="1"/>
  <c r="O68" i="5"/>
  <c r="O69" i="5" s="1"/>
  <c r="O54" i="5"/>
  <c r="O24" i="5"/>
  <c r="O25" i="5" s="1"/>
  <c r="BS104" i="5"/>
  <c r="BS103" i="5"/>
  <c r="M103" i="5"/>
  <c r="BR103" i="5" s="1"/>
  <c r="M104" i="5"/>
  <c r="BR104" i="5" s="1"/>
  <c r="L112" i="5"/>
  <c r="L117" i="5" s="1"/>
  <c r="L159" i="5"/>
  <c r="L161" i="5" s="1"/>
  <c r="K159" i="5"/>
  <c r="L153" i="5"/>
  <c r="L155" i="5" s="1"/>
  <c r="K153" i="5"/>
  <c r="L147" i="5"/>
  <c r="L149" i="5" s="1"/>
  <c r="L151" i="5" s="1"/>
  <c r="L141" i="5"/>
  <c r="L135" i="5"/>
  <c r="L137" i="5" s="1"/>
  <c r="L139" i="5" s="1"/>
  <c r="K135" i="5"/>
  <c r="K137" i="5" s="1"/>
  <c r="L122" i="5"/>
  <c r="L124" i="5" s="1"/>
  <c r="D5" i="19" s="1"/>
  <c r="H5" i="19" s="1"/>
  <c r="L128" i="5"/>
  <c r="L131" i="5" s="1"/>
  <c r="L133" i="5" s="1"/>
  <c r="K128" i="5"/>
  <c r="K131" i="5" s="1"/>
  <c r="L68" i="5"/>
  <c r="L70" i="5" s="1"/>
  <c r="L104" i="5"/>
  <c r="BQ104" i="5" s="1"/>
  <c r="L103" i="5"/>
  <c r="BQ103" i="5" s="1"/>
  <c r="J103" i="5"/>
  <c r="BO103" i="5" s="1"/>
  <c r="K103" i="5"/>
  <c r="BP103" i="5" s="1"/>
  <c r="J104" i="5"/>
  <c r="D204" i="25" s="1"/>
  <c r="H204" i="25" s="1"/>
  <c r="K104" i="5"/>
  <c r="D205" i="25" s="1"/>
  <c r="H205" i="25" s="1"/>
  <c r="J135" i="5"/>
  <c r="J137" i="5" s="1"/>
  <c r="I135" i="5"/>
  <c r="I137" i="5" s="1"/>
  <c r="J128" i="5"/>
  <c r="J131" i="5" s="1"/>
  <c r="J132" i="5" s="1"/>
  <c r="I128" i="5"/>
  <c r="I131" i="5" s="1"/>
  <c r="J122" i="5"/>
  <c r="J124" i="5" s="1"/>
  <c r="I122" i="5"/>
  <c r="I124" i="5" s="1"/>
  <c r="D2" i="19" s="1"/>
  <c r="J112" i="5"/>
  <c r="I112" i="5"/>
  <c r="I117" i="5" s="1"/>
  <c r="I119" i="5" s="1"/>
  <c r="K161" i="5"/>
  <c r="N161" i="5"/>
  <c r="M161" i="5"/>
  <c r="J161" i="5"/>
  <c r="J163" i="5" s="1"/>
  <c r="I161" i="5"/>
  <c r="K155" i="5"/>
  <c r="K157" i="5" s="1"/>
  <c r="N155" i="5"/>
  <c r="M155" i="5"/>
  <c r="J155" i="5"/>
  <c r="I155" i="5"/>
  <c r="K147" i="5"/>
  <c r="K149" i="5" s="1"/>
  <c r="K151" i="5" s="1"/>
  <c r="N149" i="5"/>
  <c r="M149" i="5"/>
  <c r="M151" i="5" s="1"/>
  <c r="J149" i="5"/>
  <c r="I149" i="5"/>
  <c r="K141" i="5"/>
  <c r="K143" i="5" s="1"/>
  <c r="L145" i="5"/>
  <c r="N143" i="5"/>
  <c r="M143" i="5"/>
  <c r="J143" i="5"/>
  <c r="I143" i="5"/>
  <c r="N137" i="5"/>
  <c r="N139" i="5" s="1"/>
  <c r="M137" i="5"/>
  <c r="K122" i="5"/>
  <c r="K124" i="5" s="1"/>
  <c r="K126" i="5" s="1"/>
  <c r="K112" i="5"/>
  <c r="K117" i="5" s="1"/>
  <c r="M131" i="5"/>
  <c r="M133" i="5" s="1"/>
  <c r="N124" i="5"/>
  <c r="D7" i="19" s="1"/>
  <c r="M124" i="5"/>
  <c r="D6" i="19" s="1"/>
  <c r="N117" i="5"/>
  <c r="N119" i="5" s="1"/>
  <c r="M117" i="5"/>
  <c r="M119" i="5" s="1"/>
  <c r="K54" i="5"/>
  <c r="K56" i="5" s="1"/>
  <c r="J54" i="5"/>
  <c r="J55" i="5" s="1"/>
  <c r="N108" i="5"/>
  <c r="L99" i="5"/>
  <c r="L100" i="5" s="1"/>
  <c r="M99" i="5"/>
  <c r="M101" i="5" s="1"/>
  <c r="N99" i="5"/>
  <c r="N100" i="5" s="1"/>
  <c r="L91" i="5"/>
  <c r="M91" i="5"/>
  <c r="M93" i="5" s="1"/>
  <c r="N91" i="5"/>
  <c r="M68" i="5"/>
  <c r="M69" i="5" s="1"/>
  <c r="N68" i="5"/>
  <c r="N70" i="5" s="1"/>
  <c r="L54" i="5"/>
  <c r="L55" i="5" s="1"/>
  <c r="M54" i="5"/>
  <c r="M55" i="5" s="1"/>
  <c r="N54" i="5"/>
  <c r="N55" i="5" s="1"/>
  <c r="L24" i="5"/>
  <c r="L25" i="5" s="1"/>
  <c r="M24" i="5"/>
  <c r="M26" i="5" s="1"/>
  <c r="N24" i="5"/>
  <c r="N26" i="5" s="1"/>
  <c r="K24" i="5"/>
  <c r="K26" i="5" s="1"/>
  <c r="K68" i="5"/>
  <c r="K70" i="5" s="1"/>
  <c r="J99" i="5"/>
  <c r="J100" i="5" s="1"/>
  <c r="K99" i="5"/>
  <c r="K100" i="5" s="1"/>
  <c r="K91" i="5"/>
  <c r="J91" i="5"/>
  <c r="J68" i="5"/>
  <c r="J70" i="5" s="1"/>
  <c r="I54" i="5"/>
  <c r="I55" i="5" s="1"/>
  <c r="J24" i="5"/>
  <c r="J25" i="5" s="1"/>
  <c r="I104" i="5"/>
  <c r="D203" i="25" s="1"/>
  <c r="H203" i="25" s="1"/>
  <c r="I103" i="5"/>
  <c r="BN103" i="5" s="1"/>
  <c r="I68" i="5"/>
  <c r="I91" i="5"/>
  <c r="I93" i="5" s="1"/>
  <c r="I24" i="5"/>
  <c r="I25" i="5" s="1"/>
  <c r="I99" i="5"/>
  <c r="I100" i="5" s="1"/>
  <c r="M2" i="5"/>
  <c r="N2" i="5"/>
  <c r="K2" i="5"/>
  <c r="BZ54" i="5"/>
  <c r="P3" i="37" l="1"/>
  <c r="K3" i="37"/>
  <c r="M3" i="37"/>
  <c r="B28" i="17"/>
  <c r="H9" i="36"/>
  <c r="H25" i="36"/>
  <c r="J3" i="37"/>
  <c r="AJ3" i="37"/>
  <c r="D17" i="38" s="1"/>
  <c r="E4" i="41"/>
  <c r="H2" i="19"/>
  <c r="X3" i="37"/>
  <c r="D5" i="38" s="1"/>
  <c r="H6" i="19"/>
  <c r="H17" i="36"/>
  <c r="M162" i="5"/>
  <c r="H11" i="19"/>
  <c r="H10" i="36"/>
  <c r="E6" i="41"/>
  <c r="AK3" i="37"/>
  <c r="D18" i="38" s="1"/>
  <c r="AC3" i="37"/>
  <c r="D10" i="38" s="1"/>
  <c r="AH3" i="37"/>
  <c r="D15" i="38" s="1"/>
  <c r="E10" i="41"/>
  <c r="E13" i="41"/>
  <c r="E15" i="41"/>
  <c r="E16" i="41"/>
  <c r="AS3" i="37"/>
  <c r="D26" i="38" s="1"/>
  <c r="E22" i="41"/>
  <c r="E24" i="41"/>
  <c r="E12" i="41"/>
  <c r="AI25" i="5"/>
  <c r="AD3" i="37"/>
  <c r="D11" i="38" s="1"/>
  <c r="AE3" i="37"/>
  <c r="D12" i="38" s="1"/>
  <c r="E5" i="41"/>
  <c r="AI3" i="37"/>
  <c r="D16" i="38" s="1"/>
  <c r="E11" i="41"/>
  <c r="H39" i="36"/>
  <c r="E23" i="41"/>
  <c r="H42" i="36"/>
  <c r="U3" i="37"/>
  <c r="D2" i="38" s="1"/>
  <c r="V3" i="37"/>
  <c r="D3" i="38" s="1"/>
  <c r="N3" i="37"/>
  <c r="E14" i="41"/>
  <c r="H33" i="36"/>
  <c r="AQ3" i="37"/>
  <c r="D24" i="38" s="1"/>
  <c r="AN3" i="37"/>
  <c r="D21" i="38" s="1"/>
  <c r="E19" i="41"/>
  <c r="H27" i="36"/>
  <c r="T3" i="37"/>
  <c r="AL3" i="37"/>
  <c r="D19" i="38" s="1"/>
  <c r="H7" i="19"/>
  <c r="H18" i="36"/>
  <c r="H26" i="36"/>
  <c r="AA3" i="37"/>
  <c r="D8" i="38" s="1"/>
  <c r="S3" i="37"/>
  <c r="L3" i="37"/>
  <c r="E7" i="41"/>
  <c r="E8" i="41"/>
  <c r="AP3" i="37"/>
  <c r="D23" i="38" s="1"/>
  <c r="E17" i="41"/>
  <c r="H11" i="36"/>
  <c r="H19" i="36"/>
  <c r="Z3" i="37"/>
  <c r="D7" i="38" s="1"/>
  <c r="H34" i="36"/>
  <c r="AG3" i="37"/>
  <c r="D14" i="38" s="1"/>
  <c r="Y3" i="37"/>
  <c r="D6" i="38" s="1"/>
  <c r="I3" i="37"/>
  <c r="R3" i="37"/>
  <c r="AB3" i="37"/>
  <c r="D9" i="38" s="1"/>
  <c r="E9" i="41"/>
  <c r="E3" i="41"/>
  <c r="AR3" i="37"/>
  <c r="D25" i="38" s="1"/>
  <c r="H42" i="19"/>
  <c r="W3" i="37"/>
  <c r="D4" i="38" s="1"/>
  <c r="O3" i="37"/>
  <c r="AF3" i="37"/>
  <c r="D13" i="38" s="1"/>
  <c r="Q3" i="37"/>
  <c r="E18" i="41"/>
  <c r="E20" i="41"/>
  <c r="M156" i="5"/>
  <c r="T150" i="5"/>
  <c r="V150" i="5"/>
  <c r="H12" i="36"/>
  <c r="H20" i="36"/>
  <c r="H37" i="36"/>
  <c r="H38" i="19"/>
  <c r="E25" i="41"/>
  <c r="BL156" i="5"/>
  <c r="BL138" i="5"/>
  <c r="BL150" i="5"/>
  <c r="G133" i="5"/>
  <c r="BL162" i="5"/>
  <c r="BL132" i="5"/>
  <c r="BL144" i="5"/>
  <c r="H21" i="36"/>
  <c r="H32" i="36"/>
  <c r="H38" i="36"/>
  <c r="AT3" i="37"/>
  <c r="D27" i="38" s="1"/>
  <c r="B27" i="17"/>
  <c r="H13" i="36"/>
  <c r="J150" i="5"/>
  <c r="O150" i="5"/>
  <c r="B26" i="17"/>
  <c r="H18" i="19"/>
  <c r="H21" i="19"/>
  <c r="H6" i="36"/>
  <c r="H14" i="36"/>
  <c r="H22" i="36"/>
  <c r="H30" i="36"/>
  <c r="H40" i="19"/>
  <c r="H45" i="36"/>
  <c r="B24" i="17"/>
  <c r="B25" i="17"/>
  <c r="H19" i="19"/>
  <c r="H57" i="36"/>
  <c r="I57" i="36"/>
  <c r="H7" i="36"/>
  <c r="H15" i="36"/>
  <c r="H23" i="36"/>
  <c r="H28" i="36"/>
  <c r="H31" i="36"/>
  <c r="H40" i="36"/>
  <c r="J144" i="5"/>
  <c r="B31" i="17"/>
  <c r="B38" i="17"/>
  <c r="X132" i="5"/>
  <c r="H8" i="36"/>
  <c r="H16" i="36"/>
  <c r="H24" i="36"/>
  <c r="H39" i="19"/>
  <c r="H41" i="36"/>
  <c r="AU3" i="37"/>
  <c r="D28" i="38" s="1"/>
  <c r="I57" i="19"/>
  <c r="H57" i="19"/>
  <c r="V132" i="5"/>
  <c r="AA132" i="5"/>
  <c r="H35" i="36"/>
  <c r="H36" i="36"/>
  <c r="B30" i="17"/>
  <c r="N144" i="5"/>
  <c r="H9" i="19"/>
  <c r="B21" i="17"/>
  <c r="H29" i="36"/>
  <c r="B78" i="25"/>
  <c r="BL93" i="5"/>
  <c r="BL92" i="5"/>
  <c r="B92" i="25"/>
  <c r="Z92" i="5"/>
  <c r="BK156" i="5"/>
  <c r="BK138" i="5"/>
  <c r="BK150" i="5"/>
  <c r="BK132" i="5"/>
  <c r="BK162" i="5"/>
  <c r="BK144" i="5"/>
  <c r="AS2" i="5"/>
  <c r="BA2" i="5"/>
  <c r="BH2" i="5"/>
  <c r="AT2" i="5"/>
  <c r="BB2" i="5"/>
  <c r="BI2" i="5"/>
  <c r="AU2" i="5"/>
  <c r="BC2" i="5"/>
  <c r="BJ2" i="5"/>
  <c r="AV2" i="5"/>
  <c r="BD2" i="5"/>
  <c r="BK92" i="5"/>
  <c r="AW2" i="5"/>
  <c r="BE2" i="5"/>
  <c r="BK93" i="5"/>
  <c r="AX2" i="5"/>
  <c r="BF2" i="5"/>
  <c r="AY2" i="5"/>
  <c r="BG2" i="5"/>
  <c r="BK2" i="5"/>
  <c r="AZ2" i="5"/>
  <c r="AR2" i="5"/>
  <c r="AS55" i="5"/>
  <c r="AQ162" i="5"/>
  <c r="AV25" i="5"/>
  <c r="AN138" i="5"/>
  <c r="AQ132" i="5"/>
  <c r="Z109" i="5"/>
  <c r="AI132" i="5"/>
  <c r="AP156" i="5"/>
  <c r="BJ92" i="5"/>
  <c r="BJ93" i="5"/>
  <c r="BJ162" i="5"/>
  <c r="BJ138" i="5"/>
  <c r="BJ150" i="5"/>
  <c r="BJ132" i="5"/>
  <c r="BJ156" i="5"/>
  <c r="BJ144" i="5"/>
  <c r="BI92" i="5"/>
  <c r="BI4" i="5" s="1"/>
  <c r="BI93" i="5"/>
  <c r="BI150" i="5"/>
  <c r="BI132" i="5"/>
  <c r="BI144" i="5"/>
  <c r="BI162" i="5"/>
  <c r="BI138" i="5"/>
  <c r="BI156" i="5"/>
  <c r="AN126" i="5"/>
  <c r="BH92" i="5"/>
  <c r="BH4" i="5" s="1"/>
  <c r="BH93" i="5"/>
  <c r="BH132" i="5"/>
  <c r="BH150" i="5"/>
  <c r="BH162" i="5"/>
  <c r="BH144" i="5"/>
  <c r="BH156" i="5"/>
  <c r="BH138" i="5"/>
  <c r="S101" i="5"/>
  <c r="D146" i="25"/>
  <c r="B84" i="25"/>
  <c r="AL150" i="5"/>
  <c r="B31" i="25"/>
  <c r="T162" i="5"/>
  <c r="B34" i="25"/>
  <c r="H34" i="25" s="1"/>
  <c r="B56" i="25"/>
  <c r="AS144" i="5"/>
  <c r="B122" i="25"/>
  <c r="BF150" i="5"/>
  <c r="BG162" i="5"/>
  <c r="BG150" i="5"/>
  <c r="BG138" i="5"/>
  <c r="BF156" i="5"/>
  <c r="BF144" i="5"/>
  <c r="BG144" i="5"/>
  <c r="BG156" i="5"/>
  <c r="BF138" i="5"/>
  <c r="BF162" i="5"/>
  <c r="AI144" i="5"/>
  <c r="AR133" i="5"/>
  <c r="AD162" i="5"/>
  <c r="AK93" i="5"/>
  <c r="BF92" i="5"/>
  <c r="BF4" i="5" s="1"/>
  <c r="BF93" i="5"/>
  <c r="BG92" i="5"/>
  <c r="BG4" i="5" s="1"/>
  <c r="BE92" i="5"/>
  <c r="BE4" i="5" s="1"/>
  <c r="BE93" i="5"/>
  <c r="BG93" i="5"/>
  <c r="BE150" i="5"/>
  <c r="BF132" i="5"/>
  <c r="BG132" i="5"/>
  <c r="BE138" i="5"/>
  <c r="BE156" i="5"/>
  <c r="BE132" i="5"/>
  <c r="BE162" i="5"/>
  <c r="BE144" i="5"/>
  <c r="AM132" i="5"/>
  <c r="AD156" i="5"/>
  <c r="AE162" i="5"/>
  <c r="N145" i="5"/>
  <c r="AS138" i="5"/>
  <c r="AH70" i="5"/>
  <c r="AQ110" i="5"/>
  <c r="R133" i="5"/>
  <c r="AB156" i="5"/>
  <c r="D26" i="33"/>
  <c r="H26" i="33" s="1"/>
  <c r="AN162" i="5"/>
  <c r="B75" i="25"/>
  <c r="BD92" i="5"/>
  <c r="BD4" i="5" s="1"/>
  <c r="BD93" i="5"/>
  <c r="D35" i="19"/>
  <c r="H35" i="19" s="1"/>
  <c r="AS109" i="5"/>
  <c r="BD162" i="5"/>
  <c r="BD156" i="5"/>
  <c r="BD132" i="5"/>
  <c r="BD144" i="5"/>
  <c r="BD138" i="5"/>
  <c r="BD150" i="5"/>
  <c r="AH144" i="5"/>
  <c r="AJ162" i="5"/>
  <c r="AO150" i="5"/>
  <c r="BD3" i="37"/>
  <c r="D37" i="38" s="1"/>
  <c r="BC3" i="37"/>
  <c r="D36" i="38" s="1"/>
  <c r="H234" i="25"/>
  <c r="H232" i="25"/>
  <c r="AC138" i="5"/>
  <c r="B77" i="25"/>
  <c r="B59" i="25"/>
  <c r="J151" i="5"/>
  <c r="Q144" i="5"/>
  <c r="AN109" i="5"/>
  <c r="AC139" i="5"/>
  <c r="B49" i="25"/>
  <c r="H49" i="25" s="1"/>
  <c r="B85" i="25"/>
  <c r="AT145" i="5"/>
  <c r="AF119" i="5"/>
  <c r="D36" i="17"/>
  <c r="BC93" i="5"/>
  <c r="BC92" i="5"/>
  <c r="BC4" i="5" s="1"/>
  <c r="V101" i="5"/>
  <c r="AR125" i="5"/>
  <c r="B37" i="17"/>
  <c r="H37" i="17" s="1"/>
  <c r="BC162" i="5"/>
  <c r="BC144" i="5"/>
  <c r="BC156" i="5"/>
  <c r="BC150" i="5"/>
  <c r="BC132" i="5"/>
  <c r="BC138" i="5"/>
  <c r="S69" i="5"/>
  <c r="W144" i="5"/>
  <c r="AK138" i="5"/>
  <c r="B43" i="25"/>
  <c r="B47" i="25"/>
  <c r="H47" i="25" s="1"/>
  <c r="AM55" i="5"/>
  <c r="L144" i="5"/>
  <c r="I156" i="5"/>
  <c r="N162" i="5"/>
  <c r="P156" i="5"/>
  <c r="B23" i="17"/>
  <c r="H23" i="17" s="1"/>
  <c r="B19" i="17"/>
  <c r="H19" i="17" s="1"/>
  <c r="AB162" i="5"/>
  <c r="AJ138" i="5"/>
  <c r="AM144" i="5"/>
  <c r="AR138" i="5"/>
  <c r="AS162" i="5"/>
  <c r="V156" i="5"/>
  <c r="W150" i="5"/>
  <c r="AD100" i="5"/>
  <c r="Z132" i="5"/>
  <c r="AI150" i="5"/>
  <c r="AK162" i="5"/>
  <c r="AR157" i="5"/>
  <c r="AU56" i="5"/>
  <c r="S150" i="5"/>
  <c r="Z138" i="5"/>
  <c r="AI162" i="5"/>
  <c r="AM150" i="5"/>
  <c r="AR163" i="5"/>
  <c r="J156" i="5"/>
  <c r="K162" i="5"/>
  <c r="R144" i="5"/>
  <c r="V133" i="5"/>
  <c r="B22" i="17"/>
  <c r="B35" i="17"/>
  <c r="H35" i="17" s="1"/>
  <c r="AB138" i="5"/>
  <c r="AG132" i="5"/>
  <c r="AK144" i="5"/>
  <c r="AN144" i="5"/>
  <c r="AR156" i="5"/>
  <c r="B42" i="17"/>
  <c r="T138" i="5"/>
  <c r="AN26" i="5"/>
  <c r="AS110" i="5"/>
  <c r="BB110" i="5"/>
  <c r="BB109" i="5"/>
  <c r="AG126" i="5"/>
  <c r="AU70" i="5"/>
  <c r="AE110" i="5"/>
  <c r="B29" i="17"/>
  <c r="B34" i="17"/>
  <c r="H34" i="17" s="1"/>
  <c r="AB150" i="5"/>
  <c r="AJ144" i="5"/>
  <c r="AK150" i="5"/>
  <c r="AO144" i="5"/>
  <c r="AK132" i="5"/>
  <c r="D23" i="30"/>
  <c r="H23" i="30" s="1"/>
  <c r="AS163" i="5"/>
  <c r="AQ156" i="5"/>
  <c r="AQ144" i="5"/>
  <c r="BB92" i="5"/>
  <c r="BB93" i="5"/>
  <c r="AE109" i="5"/>
  <c r="AI138" i="5"/>
  <c r="AR162" i="5"/>
  <c r="Z100" i="5"/>
  <c r="D26" i="19"/>
  <c r="H26" i="19" s="1"/>
  <c r="D23" i="25"/>
  <c r="H23" i="25" s="1"/>
  <c r="BB138" i="5"/>
  <c r="BB150" i="5"/>
  <c r="BB144" i="5"/>
  <c r="BB132" i="5"/>
  <c r="BB156" i="5"/>
  <c r="BB162" i="5"/>
  <c r="M150" i="5"/>
  <c r="AF109" i="5"/>
  <c r="B32" i="17"/>
  <c r="H32" i="17" s="1"/>
  <c r="B36" i="17"/>
  <c r="B33" i="17"/>
  <c r="AC144" i="5"/>
  <c r="AJ156" i="5"/>
  <c r="AL138" i="5"/>
  <c r="AP150" i="5"/>
  <c r="AR132" i="5"/>
  <c r="X138" i="5"/>
  <c r="D9" i="30"/>
  <c r="H9" i="30" s="1"/>
  <c r="AH162" i="5"/>
  <c r="AJ132" i="5"/>
  <c r="AQ163" i="5"/>
  <c r="AT138" i="5"/>
  <c r="D45" i="24"/>
  <c r="H45" i="24" s="1"/>
  <c r="BB3" i="37"/>
  <c r="D35" i="38" s="1"/>
  <c r="H236" i="25"/>
  <c r="H424" i="25"/>
  <c r="D28" i="31"/>
  <c r="H28" i="31" s="1"/>
  <c r="BA25" i="5"/>
  <c r="D46" i="24"/>
  <c r="D24" i="25"/>
  <c r="H24" i="25" s="1"/>
  <c r="BA132" i="5"/>
  <c r="D46" i="17"/>
  <c r="BA92" i="5"/>
  <c r="D46" i="25"/>
  <c r="BA144" i="5"/>
  <c r="D34" i="32"/>
  <c r="N69" i="5"/>
  <c r="AV133" i="5"/>
  <c r="BA109" i="5"/>
  <c r="D171" i="25"/>
  <c r="BA138" i="5"/>
  <c r="D34" i="33"/>
  <c r="Y150" i="5"/>
  <c r="Y156" i="5"/>
  <c r="BA150" i="5"/>
  <c r="U26" i="5"/>
  <c r="AL69" i="5"/>
  <c r="BA156" i="5"/>
  <c r="D34" i="30"/>
  <c r="X162" i="5"/>
  <c r="AB110" i="5"/>
  <c r="D16" i="32"/>
  <c r="H16" i="32" s="1"/>
  <c r="AL56" i="5"/>
  <c r="AQ126" i="5"/>
  <c r="D45" i="17"/>
  <c r="H45" i="17" s="1"/>
  <c r="BA125" i="5"/>
  <c r="D46" i="19"/>
  <c r="BA162" i="5"/>
  <c r="D34" i="31"/>
  <c r="H227" i="25"/>
  <c r="H221" i="25"/>
  <c r="H228" i="25"/>
  <c r="H218" i="25"/>
  <c r="H225" i="25"/>
  <c r="H233" i="25"/>
  <c r="K40" i="43"/>
  <c r="K41" i="43" s="1"/>
  <c r="K42" i="43" s="1"/>
  <c r="K43" i="43" s="1"/>
  <c r="K44" i="43" s="1"/>
  <c r="K45" i="43" s="1"/>
  <c r="AW3" i="37"/>
  <c r="D30" i="38" s="1"/>
  <c r="AV3" i="37"/>
  <c r="D29" i="38" s="1"/>
  <c r="S40" i="41"/>
  <c r="S41" i="41" s="1"/>
  <c r="S42" i="41" s="1"/>
  <c r="S43" i="41" s="1"/>
  <c r="S44" i="41" s="1"/>
  <c r="I40" i="43"/>
  <c r="I41" i="43" s="1"/>
  <c r="I42" i="43" s="1"/>
  <c r="I43" i="43" s="1"/>
  <c r="I44" i="43" s="1"/>
  <c r="I45" i="43" s="1"/>
  <c r="K40" i="45"/>
  <c r="K41" i="45" s="1"/>
  <c r="K42" i="45" s="1"/>
  <c r="K43" i="45" s="1"/>
  <c r="K44" i="45" s="1"/>
  <c r="K45" i="45" s="1"/>
  <c r="K46" i="45" s="1"/>
  <c r="K47" i="45" s="1"/>
  <c r="BA3" i="37"/>
  <c r="D34" i="38" s="1"/>
  <c r="AZ3" i="37"/>
  <c r="D33" i="38" s="1"/>
  <c r="Q40" i="41"/>
  <c r="Q41" i="41" s="1"/>
  <c r="Q42" i="41" s="1"/>
  <c r="Q43" i="41" s="1"/>
  <c r="Q44" i="41" s="1"/>
  <c r="O40" i="41"/>
  <c r="O41" i="41" s="1"/>
  <c r="O42" i="41" s="1"/>
  <c r="O43" i="41" s="1"/>
  <c r="O44" i="41" s="1"/>
  <c r="AY3" i="37"/>
  <c r="D32" i="38" s="1"/>
  <c r="G40" i="43"/>
  <c r="G41" i="43" s="1"/>
  <c r="G42" i="43" s="1"/>
  <c r="G43" i="43" s="1"/>
  <c r="G44" i="43" s="1"/>
  <c r="G45" i="43" s="1"/>
  <c r="E27" i="41"/>
  <c r="BA133" i="5"/>
  <c r="BA110" i="5"/>
  <c r="BA93" i="5"/>
  <c r="BA69" i="5"/>
  <c r="BA56" i="5"/>
  <c r="BA26" i="5"/>
  <c r="BA157" i="5"/>
  <c r="BA163" i="5"/>
  <c r="BA151" i="5"/>
  <c r="BA145" i="5"/>
  <c r="BA139" i="5"/>
  <c r="D45" i="19"/>
  <c r="BA119" i="5"/>
  <c r="BA3" i="5"/>
  <c r="H33" i="32"/>
  <c r="H33" i="30"/>
  <c r="H33" i="31"/>
  <c r="H33" i="33"/>
  <c r="M100" i="5"/>
  <c r="M157" i="5"/>
  <c r="D10" i="19"/>
  <c r="H10" i="19" s="1"/>
  <c r="H237" i="25"/>
  <c r="T55" i="5"/>
  <c r="V69" i="5"/>
  <c r="AC132" i="5"/>
  <c r="AG150" i="5"/>
  <c r="AR150" i="5"/>
  <c r="AC70" i="5"/>
  <c r="AD119" i="5"/>
  <c r="D27" i="25"/>
  <c r="H27" i="25" s="1"/>
  <c r="AJ55" i="5"/>
  <c r="D18" i="33"/>
  <c r="H18" i="33" s="1"/>
  <c r="AM26" i="5"/>
  <c r="AP70" i="5"/>
  <c r="AC25" i="5"/>
  <c r="J69" i="5"/>
  <c r="AD110" i="5"/>
  <c r="Q125" i="5"/>
  <c r="AQ109" i="5"/>
  <c r="H231" i="25"/>
  <c r="AG156" i="5"/>
  <c r="D13" i="31"/>
  <c r="H13" i="31" s="1"/>
  <c r="D20" i="17"/>
  <c r="H20" i="17" s="1"/>
  <c r="D30" i="19"/>
  <c r="H30" i="19" s="1"/>
  <c r="D23" i="33"/>
  <c r="H23" i="33" s="1"/>
  <c r="AR55" i="5"/>
  <c r="AM133" i="5"/>
  <c r="X110" i="5"/>
  <c r="AA150" i="5"/>
  <c r="AH156" i="5"/>
  <c r="Z119" i="5"/>
  <c r="AG157" i="5"/>
  <c r="AZ144" i="5"/>
  <c r="H33" i="34"/>
  <c r="D22" i="17"/>
  <c r="AG56" i="5"/>
  <c r="AS26" i="5"/>
  <c r="H45" i="35"/>
  <c r="AD109" i="5"/>
  <c r="W119" i="5"/>
  <c r="L101" i="5"/>
  <c r="AF110" i="5"/>
  <c r="AN110" i="5"/>
  <c r="S139" i="5"/>
  <c r="U150" i="5"/>
  <c r="AF162" i="5"/>
  <c r="AP138" i="5"/>
  <c r="AS132" i="5"/>
  <c r="AB118" i="5"/>
  <c r="AB3" i="5" s="1"/>
  <c r="AF56" i="5"/>
  <c r="H341" i="25"/>
  <c r="O126" i="5"/>
  <c r="N101" i="5"/>
  <c r="D207" i="25"/>
  <c r="H207" i="25" s="1"/>
  <c r="AM109" i="5"/>
  <c r="AD150" i="5"/>
  <c r="AN132" i="5"/>
  <c r="AA133" i="5"/>
  <c r="D33" i="19"/>
  <c r="H33" i="19" s="1"/>
  <c r="AP133" i="5"/>
  <c r="D24" i="30"/>
  <c r="H24" i="30" s="1"/>
  <c r="AD144" i="5"/>
  <c r="AQ138" i="5"/>
  <c r="AF145" i="5"/>
  <c r="S109" i="5"/>
  <c r="AC109" i="5"/>
  <c r="AM110" i="5"/>
  <c r="T139" i="5"/>
  <c r="Z156" i="5"/>
  <c r="AF144" i="5"/>
  <c r="AL132" i="5"/>
  <c r="AO162" i="5"/>
  <c r="X119" i="5"/>
  <c r="AA145" i="5"/>
  <c r="AE70" i="5"/>
  <c r="AE100" i="5"/>
  <c r="D151" i="25"/>
  <c r="H151" i="25" s="1"/>
  <c r="AG163" i="5"/>
  <c r="D17" i="30"/>
  <c r="H17" i="30" s="1"/>
  <c r="AH163" i="5"/>
  <c r="AI125" i="5"/>
  <c r="H229" i="25"/>
  <c r="N118" i="5"/>
  <c r="N3" i="5" s="1"/>
  <c r="N133" i="5"/>
  <c r="AC110" i="5"/>
  <c r="AH150" i="5"/>
  <c r="AB139" i="5"/>
  <c r="AF26" i="5"/>
  <c r="AG118" i="5"/>
  <c r="AG3" i="5" s="1"/>
  <c r="AI151" i="5"/>
  <c r="AL126" i="5"/>
  <c r="AG110" i="5"/>
  <c r="AF150" i="5"/>
  <c r="AE93" i="5"/>
  <c r="AK25" i="5"/>
  <c r="AM69" i="5"/>
  <c r="AW125" i="5"/>
  <c r="D31" i="19"/>
  <c r="H31" i="19" s="1"/>
  <c r="M125" i="5"/>
  <c r="L108" i="5"/>
  <c r="D130" i="25" s="1"/>
  <c r="AA110" i="5"/>
  <c r="AO110" i="5"/>
  <c r="V162" i="5"/>
  <c r="Y144" i="5"/>
  <c r="AM156" i="5"/>
  <c r="D12" i="25"/>
  <c r="H12" i="25" s="1"/>
  <c r="AH26" i="5"/>
  <c r="AN56" i="5"/>
  <c r="AP125" i="5"/>
  <c r="AL118" i="5"/>
  <c r="AL3" i="5" s="1"/>
  <c r="AO109" i="5"/>
  <c r="S156" i="5"/>
  <c r="AI156" i="5"/>
  <c r="W151" i="5"/>
  <c r="AG25" i="5"/>
  <c r="AS93" i="5"/>
  <c r="AT125" i="5"/>
  <c r="D164" i="25"/>
  <c r="H164" i="25" s="1"/>
  <c r="AJ109" i="5"/>
  <c r="I2" i="5"/>
  <c r="L2" i="5"/>
  <c r="Q2" i="5"/>
  <c r="Z2" i="5"/>
  <c r="AD2" i="5"/>
  <c r="AJ110" i="5"/>
  <c r="AM2" i="5"/>
  <c r="AO2" i="5"/>
  <c r="AR110" i="5"/>
  <c r="R70" i="5"/>
  <c r="R156" i="5"/>
  <c r="B3" i="25"/>
  <c r="U119" i="5"/>
  <c r="W138" i="5"/>
  <c r="W26" i="5"/>
  <c r="AG162" i="5"/>
  <c r="U101" i="5"/>
  <c r="Y118" i="5"/>
  <c r="Y3" i="5" s="1"/>
  <c r="Y92" i="5"/>
  <c r="AD133" i="5"/>
  <c r="D28" i="19"/>
  <c r="H28" i="19" s="1"/>
  <c r="B65" i="25"/>
  <c r="B58" i="25"/>
  <c r="B67" i="25"/>
  <c r="B100" i="25"/>
  <c r="B93" i="25"/>
  <c r="B94" i="25"/>
  <c r="B55" i="25"/>
  <c r="H55" i="25" s="1"/>
  <c r="B72" i="25"/>
  <c r="B83" i="25"/>
  <c r="AQ70" i="5"/>
  <c r="AD70" i="5"/>
  <c r="B4" i="25"/>
  <c r="U138" i="5"/>
  <c r="AE132" i="5"/>
  <c r="AF132" i="5"/>
  <c r="AH132" i="5"/>
  <c r="AN150" i="5"/>
  <c r="AP132" i="5"/>
  <c r="X92" i="5"/>
  <c r="AB92" i="5"/>
  <c r="AJ118" i="5"/>
  <c r="AJ3" i="5" s="1"/>
  <c r="B73" i="25"/>
  <c r="B66" i="25"/>
  <c r="B115" i="25"/>
  <c r="B116" i="25"/>
  <c r="B109" i="25"/>
  <c r="B102" i="25"/>
  <c r="B71" i="25"/>
  <c r="B88" i="25"/>
  <c r="B107" i="25"/>
  <c r="B33" i="25"/>
  <c r="H33" i="25" s="1"/>
  <c r="D22" i="33"/>
  <c r="H22" i="33" s="1"/>
  <c r="AR119" i="5"/>
  <c r="AS3" i="5"/>
  <c r="AU110" i="5"/>
  <c r="AV139" i="5"/>
  <c r="H340" i="25"/>
  <c r="AK156" i="5"/>
  <c r="D19" i="30"/>
  <c r="H19" i="30" s="1"/>
  <c r="J26" i="5"/>
  <c r="O2" i="5"/>
  <c r="Q132" i="5"/>
  <c r="X2" i="5"/>
  <c r="AI2" i="5"/>
  <c r="B5" i="25"/>
  <c r="S119" i="5"/>
  <c r="T101" i="5"/>
  <c r="U139" i="5"/>
  <c r="AB132" i="5"/>
  <c r="B81" i="25"/>
  <c r="B74" i="25"/>
  <c r="B36" i="25"/>
  <c r="H36" i="25" s="1"/>
  <c r="B124" i="25"/>
  <c r="B117" i="25"/>
  <c r="B110" i="25"/>
  <c r="B87" i="25"/>
  <c r="B96" i="25"/>
  <c r="B123" i="25"/>
  <c r="AL93" i="5"/>
  <c r="AN93" i="5"/>
  <c r="AQ157" i="5"/>
  <c r="AU109" i="5"/>
  <c r="W92" i="5"/>
  <c r="K92" i="5"/>
  <c r="K55" i="5"/>
  <c r="P2" i="5"/>
  <c r="Y2" i="5"/>
  <c r="AB2" i="5"/>
  <c r="AK109" i="5"/>
  <c r="AP2" i="5"/>
  <c r="B6" i="25"/>
  <c r="H230" i="25"/>
  <c r="T132" i="5"/>
  <c r="D15" i="19"/>
  <c r="H15" i="19" s="1"/>
  <c r="AM138" i="5"/>
  <c r="D5" i="33"/>
  <c r="H5" i="33" s="1"/>
  <c r="Z25" i="5"/>
  <c r="AE92" i="5"/>
  <c r="Z125" i="5"/>
  <c r="D15" i="31"/>
  <c r="H15" i="31" s="1"/>
  <c r="B97" i="25"/>
  <c r="B90" i="25"/>
  <c r="B52" i="25"/>
  <c r="B45" i="25"/>
  <c r="B38" i="25"/>
  <c r="H38" i="25" s="1"/>
  <c r="B29" i="25"/>
  <c r="B95" i="25"/>
  <c r="B104" i="25"/>
  <c r="AL92" i="5"/>
  <c r="AO93" i="5"/>
  <c r="AT25" i="5"/>
  <c r="D22" i="31"/>
  <c r="H22" i="31" s="1"/>
  <c r="AU119" i="5"/>
  <c r="AL156" i="5"/>
  <c r="X56" i="5"/>
  <c r="M92" i="5"/>
  <c r="T2" i="5"/>
  <c r="AE2" i="5"/>
  <c r="N56" i="5"/>
  <c r="N126" i="5"/>
  <c r="M163" i="5"/>
  <c r="P26" i="5"/>
  <c r="T109" i="5"/>
  <c r="U2" i="5"/>
  <c r="AC2" i="5"/>
  <c r="AK110" i="5"/>
  <c r="AQ2" i="5"/>
  <c r="Q3" i="5"/>
  <c r="B7" i="25"/>
  <c r="V126" i="5"/>
  <c r="AD132" i="5"/>
  <c r="AO132" i="5"/>
  <c r="V92" i="5"/>
  <c r="X139" i="5"/>
  <c r="AH133" i="5"/>
  <c r="B105" i="25"/>
  <c r="B98" i="25"/>
  <c r="B60" i="25"/>
  <c r="B53" i="25"/>
  <c r="B46" i="25"/>
  <c r="B79" i="25"/>
  <c r="B111" i="25"/>
  <c r="B120" i="25"/>
  <c r="AO92" i="5"/>
  <c r="AO25" i="5"/>
  <c r="AT56" i="5"/>
  <c r="D41" i="24"/>
  <c r="H41" i="24" s="1"/>
  <c r="AX109" i="5"/>
  <c r="Q109" i="5"/>
  <c r="AJ2" i="5"/>
  <c r="S92" i="5"/>
  <c r="J56" i="5"/>
  <c r="J2" i="5"/>
  <c r="D7" i="24"/>
  <c r="H7" i="24" s="1"/>
  <c r="L132" i="5"/>
  <c r="K156" i="5"/>
  <c r="W110" i="5"/>
  <c r="AG2" i="5"/>
  <c r="AK2" i="5"/>
  <c r="AN2" i="5"/>
  <c r="Q100" i="5"/>
  <c r="B8" i="25"/>
  <c r="U132" i="5"/>
  <c r="W139" i="5"/>
  <c r="Y138" i="5"/>
  <c r="AL162" i="5"/>
  <c r="AO138" i="5"/>
  <c r="AS150" i="5"/>
  <c r="V151" i="5"/>
  <c r="AB55" i="5"/>
  <c r="D24" i="17"/>
  <c r="H24" i="17" s="1"/>
  <c r="B113" i="25"/>
  <c r="B106" i="25"/>
  <c r="B68" i="25"/>
  <c r="B61" i="25"/>
  <c r="B62" i="25"/>
  <c r="B119" i="25"/>
  <c r="B32" i="25"/>
  <c r="B35" i="25"/>
  <c r="H35" i="25" s="1"/>
  <c r="AP93" i="5"/>
  <c r="D20" i="32"/>
  <c r="H20" i="32" s="1"/>
  <c r="D39" i="24"/>
  <c r="H39" i="24" s="1"/>
  <c r="AW118" i="5"/>
  <c r="AW3" i="5" s="1"/>
  <c r="K144" i="5"/>
  <c r="K145" i="5"/>
  <c r="D4" i="25"/>
  <c r="I108" i="5"/>
  <c r="I109" i="5" s="1"/>
  <c r="K101" i="5"/>
  <c r="I157" i="5"/>
  <c r="D2" i="36"/>
  <c r="H2" i="36" s="1"/>
  <c r="P109" i="5"/>
  <c r="AI109" i="5"/>
  <c r="Q156" i="5"/>
  <c r="D15" i="25"/>
  <c r="H15" i="25" s="1"/>
  <c r="U144" i="5"/>
  <c r="AG138" i="5"/>
  <c r="AN156" i="5"/>
  <c r="Y139" i="5"/>
  <c r="D19" i="25"/>
  <c r="H19" i="25" s="1"/>
  <c r="D21" i="17"/>
  <c r="AH125" i="5"/>
  <c r="AI119" i="5"/>
  <c r="D16" i="30"/>
  <c r="H16" i="30" s="1"/>
  <c r="D29" i="17"/>
  <c r="D18" i="30"/>
  <c r="H18" i="30" s="1"/>
  <c r="AQ93" i="5"/>
  <c r="AO145" i="5"/>
  <c r="D36" i="19"/>
  <c r="H36" i="19" s="1"/>
  <c r="D33" i="24"/>
  <c r="H33" i="24" s="1"/>
  <c r="AV56" i="5"/>
  <c r="AV93" i="5"/>
  <c r="AW150" i="5"/>
  <c r="AZ138" i="5"/>
  <c r="AZ132" i="5"/>
  <c r="AD25" i="5"/>
  <c r="AJ133" i="5"/>
  <c r="D19" i="32"/>
  <c r="H19" i="32" s="1"/>
  <c r="D45" i="25"/>
  <c r="D11" i="25"/>
  <c r="H11" i="25" s="1"/>
  <c r="H226" i="25"/>
  <c r="D206" i="25"/>
  <c r="H206" i="25" s="1"/>
  <c r="AI110" i="5"/>
  <c r="T144" i="5"/>
  <c r="V93" i="5"/>
  <c r="D18" i="25"/>
  <c r="H18" i="25" s="1"/>
  <c r="D11" i="31"/>
  <c r="H11" i="31" s="1"/>
  <c r="Z93" i="5"/>
  <c r="AS92" i="5"/>
  <c r="D32" i="24"/>
  <c r="H32" i="24" s="1"/>
  <c r="AV156" i="5"/>
  <c r="AU93" i="5"/>
  <c r="AX150" i="5"/>
  <c r="AW109" i="5"/>
  <c r="AZ150" i="5"/>
  <c r="BN104" i="5"/>
  <c r="J101" i="5"/>
  <c r="D2" i="24"/>
  <c r="H2" i="24" s="1"/>
  <c r="D4" i="36"/>
  <c r="H4" i="36" s="1"/>
  <c r="BP104" i="5"/>
  <c r="P101" i="5"/>
  <c r="R125" i="5"/>
  <c r="X144" i="5"/>
  <c r="V119" i="5"/>
  <c r="V157" i="5"/>
  <c r="Y126" i="5"/>
  <c r="X133" i="5"/>
  <c r="AA157" i="5"/>
  <c r="AE157" i="5"/>
  <c r="Z133" i="5"/>
  <c r="H222" i="25"/>
  <c r="D27" i="19"/>
  <c r="H27" i="19" s="1"/>
  <c r="D33" i="17"/>
  <c r="AS119" i="5"/>
  <c r="AL133" i="5"/>
  <c r="AO69" i="5"/>
  <c r="D37" i="19"/>
  <c r="H37" i="19" s="1"/>
  <c r="AT118" i="5"/>
  <c r="AT3" i="5" s="1"/>
  <c r="AV70" i="5"/>
  <c r="D29" i="30"/>
  <c r="H29" i="30" s="1"/>
  <c r="AZ156" i="5"/>
  <c r="H246" i="25"/>
  <c r="L26" i="5"/>
  <c r="I26" i="5"/>
  <c r="H31" i="25"/>
  <c r="AZ93" i="5"/>
  <c r="AZ162" i="5"/>
  <c r="AQ150" i="5"/>
  <c r="D7" i="25"/>
  <c r="J162" i="5"/>
  <c r="BO104" i="5"/>
  <c r="L69" i="5"/>
  <c r="P144" i="5"/>
  <c r="R92" i="5"/>
  <c r="U55" i="5"/>
  <c r="X156" i="5"/>
  <c r="T151" i="5"/>
  <c r="Y125" i="5"/>
  <c r="AB100" i="5"/>
  <c r="AC56" i="5"/>
  <c r="AA69" i="5"/>
  <c r="AQ56" i="5"/>
  <c r="AS145" i="5"/>
  <c r="D20" i="30"/>
  <c r="H20" i="30" s="1"/>
  <c r="AT157" i="5"/>
  <c r="AZ109" i="5"/>
  <c r="D170" i="25"/>
  <c r="K93" i="5"/>
  <c r="K163" i="5"/>
  <c r="O26" i="5"/>
  <c r="D8" i="19"/>
  <c r="H8" i="19" s="1"/>
  <c r="D5" i="36"/>
  <c r="H5" i="36" s="1"/>
  <c r="O144" i="5"/>
  <c r="H224" i="25"/>
  <c r="AA156" i="5"/>
  <c r="AL144" i="5"/>
  <c r="X126" i="5"/>
  <c r="H26" i="17"/>
  <c r="AJ145" i="5"/>
  <c r="AN157" i="5"/>
  <c r="AO133" i="5"/>
  <c r="D167" i="25"/>
  <c r="H167" i="25" s="1"/>
  <c r="D179" i="5"/>
  <c r="I56" i="5"/>
  <c r="AZ110" i="5"/>
  <c r="AZ92" i="5"/>
  <c r="AZ70" i="5"/>
  <c r="AZ56" i="5"/>
  <c r="H32" i="30"/>
  <c r="AZ157" i="5"/>
  <c r="AZ163" i="5"/>
  <c r="AZ151" i="5"/>
  <c r="AZ145" i="5"/>
  <c r="H32" i="33"/>
  <c r="AZ139" i="5"/>
  <c r="H44" i="35"/>
  <c r="AZ119" i="5"/>
  <c r="AZ126" i="5"/>
  <c r="AZ3" i="5"/>
  <c r="AZ26" i="5"/>
  <c r="I138" i="5"/>
  <c r="I139" i="5"/>
  <c r="K138" i="5"/>
  <c r="K139" i="5"/>
  <c r="L118" i="5"/>
  <c r="L119" i="5"/>
  <c r="O55" i="5"/>
  <c r="O56" i="5"/>
  <c r="X100" i="5"/>
  <c r="X101" i="5"/>
  <c r="Y70" i="5"/>
  <c r="Y69" i="5"/>
  <c r="AJ151" i="5"/>
  <c r="AJ150" i="5"/>
  <c r="AP145" i="5"/>
  <c r="D23" i="32"/>
  <c r="H23" i="32" s="1"/>
  <c r="AW55" i="5"/>
  <c r="AW56" i="5"/>
  <c r="X151" i="5"/>
  <c r="X150" i="5"/>
  <c r="D34" i="19"/>
  <c r="H34" i="19" s="1"/>
  <c r="AO125" i="5"/>
  <c r="G426" i="25"/>
  <c r="I425" i="25"/>
  <c r="AO55" i="5"/>
  <c r="AO56" i="5"/>
  <c r="AQ118" i="5"/>
  <c r="AQ3" i="5" s="1"/>
  <c r="AQ119" i="5"/>
  <c r="D28" i="33"/>
  <c r="H28" i="33" s="1"/>
  <c r="AU139" i="5"/>
  <c r="AA126" i="5"/>
  <c r="D20" i="19"/>
  <c r="H20" i="19" s="1"/>
  <c r="AA125" i="5"/>
  <c r="AA56" i="5"/>
  <c r="AA55" i="5"/>
  <c r="T70" i="5"/>
  <c r="T69" i="5"/>
  <c r="D16" i="25"/>
  <c r="H16" i="25" s="1"/>
  <c r="W100" i="5"/>
  <c r="I125" i="5"/>
  <c r="M25" i="5"/>
  <c r="I424" i="25"/>
  <c r="D12" i="19"/>
  <c r="H12" i="19" s="1"/>
  <c r="S126" i="5"/>
  <c r="AD92" i="5"/>
  <c r="AD93" i="5"/>
  <c r="AH118" i="5"/>
  <c r="AH3" i="5" s="1"/>
  <c r="AH119" i="5"/>
  <c r="N92" i="5"/>
  <c r="M132" i="5"/>
  <c r="J157" i="5"/>
  <c r="I132" i="5"/>
  <c r="I133" i="5"/>
  <c r="O109" i="5"/>
  <c r="O110" i="5"/>
  <c r="D133" i="25"/>
  <c r="H133" i="25" s="1"/>
  <c r="O156" i="5"/>
  <c r="R55" i="5"/>
  <c r="S132" i="5"/>
  <c r="W156" i="5"/>
  <c r="AA144" i="5"/>
  <c r="AP144" i="5"/>
  <c r="D17" i="24"/>
  <c r="H17" i="24" s="1"/>
  <c r="X3" i="5"/>
  <c r="X26" i="5"/>
  <c r="AA93" i="5"/>
  <c r="AA92" i="5"/>
  <c r="AB144" i="5"/>
  <c r="AB145" i="5"/>
  <c r="H223" i="25"/>
  <c r="AD138" i="5"/>
  <c r="AD139" i="5"/>
  <c r="D11" i="33"/>
  <c r="H11" i="33" s="1"/>
  <c r="AM93" i="5"/>
  <c r="D32" i="25"/>
  <c r="AM92" i="5"/>
  <c r="AP55" i="5"/>
  <c r="AP56" i="5"/>
  <c r="AS70" i="5"/>
  <c r="AS69" i="5"/>
  <c r="D30" i="32"/>
  <c r="H30" i="32" s="1"/>
  <c r="AW145" i="5"/>
  <c r="I126" i="5"/>
  <c r="M70" i="5"/>
  <c r="N25" i="5"/>
  <c r="K150" i="5"/>
  <c r="R150" i="5"/>
  <c r="R151" i="5"/>
  <c r="V138" i="5"/>
  <c r="V139" i="5"/>
  <c r="D8" i="31"/>
  <c r="H8" i="31" s="1"/>
  <c r="AA162" i="5"/>
  <c r="AA163" i="5"/>
  <c r="AE55" i="5"/>
  <c r="AE56" i="5"/>
  <c r="H32" i="31"/>
  <c r="D9" i="25"/>
  <c r="H9" i="25" s="1"/>
  <c r="P92" i="5"/>
  <c r="R126" i="5"/>
  <c r="O93" i="5"/>
  <c r="Q25" i="5"/>
  <c r="Q56" i="5"/>
  <c r="Q55" i="5"/>
  <c r="R138" i="5"/>
  <c r="D13" i="24"/>
  <c r="H13" i="24" s="1"/>
  <c r="U69" i="5"/>
  <c r="V3" i="5"/>
  <c r="U92" i="5"/>
  <c r="H148" i="25"/>
  <c r="K147" i="25"/>
  <c r="AL139" i="5"/>
  <c r="D19" i="33"/>
  <c r="H19" i="33" s="1"/>
  <c r="AQ26" i="5"/>
  <c r="D36" i="24"/>
  <c r="H36" i="24" s="1"/>
  <c r="AQ25" i="5"/>
  <c r="AY132" i="5"/>
  <c r="D44" i="17"/>
  <c r="T118" i="5"/>
  <c r="T3" i="5" s="1"/>
  <c r="T119" i="5"/>
  <c r="Y133" i="5"/>
  <c r="Y132" i="5"/>
  <c r="W125" i="5"/>
  <c r="D16" i="19"/>
  <c r="H16" i="19" s="1"/>
  <c r="AC100" i="5"/>
  <c r="AC101" i="5"/>
  <c r="D15" i="32"/>
  <c r="H15" i="32" s="1"/>
  <c r="AH145" i="5"/>
  <c r="AL25" i="5"/>
  <c r="AL26" i="5"/>
  <c r="AN118" i="5"/>
  <c r="AN3" i="5" s="1"/>
  <c r="AN119" i="5"/>
  <c r="I92" i="5"/>
  <c r="AC150" i="5"/>
  <c r="W133" i="5"/>
  <c r="W132" i="5"/>
  <c r="AD126" i="5"/>
  <c r="D23" i="19"/>
  <c r="H23" i="19" s="1"/>
  <c r="AD125" i="5"/>
  <c r="AN70" i="5"/>
  <c r="AP118" i="5"/>
  <c r="AP3" i="5" s="1"/>
  <c r="AP119" i="5"/>
  <c r="L125" i="5"/>
  <c r="D6" i="25"/>
  <c r="AR109" i="5"/>
  <c r="N93" i="5"/>
  <c r="M126" i="5"/>
  <c r="O70" i="5"/>
  <c r="D10" i="24"/>
  <c r="H10" i="24" s="1"/>
  <c r="N125" i="5"/>
  <c r="D3" i="24"/>
  <c r="H3" i="24" s="1"/>
  <c r="K108" i="5"/>
  <c r="K109" i="5" s="1"/>
  <c r="L138" i="5"/>
  <c r="J139" i="5"/>
  <c r="J138" i="5"/>
  <c r="M118" i="5"/>
  <c r="N138" i="5"/>
  <c r="J133" i="5"/>
  <c r="D8" i="24"/>
  <c r="H8" i="24" s="1"/>
  <c r="S125" i="5"/>
  <c r="X25" i="5"/>
  <c r="Z162" i="5"/>
  <c r="Z163" i="5"/>
  <c r="AB26" i="5"/>
  <c r="AB25" i="5"/>
  <c r="AD157" i="5"/>
  <c r="D11" i="30"/>
  <c r="H11" i="30" s="1"/>
  <c r="AF139" i="5"/>
  <c r="AF138" i="5"/>
  <c r="AH56" i="5"/>
  <c r="AH55" i="5"/>
  <c r="D156" i="25"/>
  <c r="H156" i="25" s="1"/>
  <c r="AL110" i="5"/>
  <c r="D21" i="32"/>
  <c r="H21" i="32" s="1"/>
  <c r="AN145" i="5"/>
  <c r="AO157" i="5"/>
  <c r="D22" i="30"/>
  <c r="H22" i="30" s="1"/>
  <c r="AO156" i="5"/>
  <c r="D26" i="30"/>
  <c r="H26" i="30" s="1"/>
  <c r="AS157" i="5"/>
  <c r="AS156" i="5"/>
  <c r="AA119" i="5"/>
  <c r="D10" i="30"/>
  <c r="H10" i="30" s="1"/>
  <c r="AJ70" i="5"/>
  <c r="D25" i="33"/>
  <c r="H25" i="33" s="1"/>
  <c r="AY138" i="5"/>
  <c r="B43" i="17"/>
  <c r="P55" i="5"/>
  <c r="P126" i="5"/>
  <c r="Z144" i="5"/>
  <c r="AE150" i="5"/>
  <c r="D12" i="24"/>
  <c r="H12" i="24" s="1"/>
  <c r="AD145" i="5"/>
  <c r="AH157" i="5"/>
  <c r="D29" i="24"/>
  <c r="H29" i="24" s="1"/>
  <c r="D29" i="25"/>
  <c r="AS126" i="5"/>
  <c r="D31" i="24"/>
  <c r="H31" i="24" s="1"/>
  <c r="AM118" i="5"/>
  <c r="AM3" i="5" s="1"/>
  <c r="AT126" i="5"/>
  <c r="AU156" i="5"/>
  <c r="D41" i="19"/>
  <c r="H41" i="19" s="1"/>
  <c r="AY144" i="5"/>
  <c r="H169" i="25"/>
  <c r="D44" i="24"/>
  <c r="H44" i="36"/>
  <c r="D32" i="32"/>
  <c r="B44" i="17"/>
  <c r="AJ92" i="5"/>
  <c r="AK56" i="5"/>
  <c r="D18" i="32"/>
  <c r="H18" i="32" s="1"/>
  <c r="D19" i="31"/>
  <c r="H19" i="31" s="1"/>
  <c r="AN139" i="5"/>
  <c r="D38" i="24"/>
  <c r="H38" i="24" s="1"/>
  <c r="AR70" i="5"/>
  <c r="AU126" i="5"/>
  <c r="AV145" i="5"/>
  <c r="D30" i="33"/>
  <c r="H30" i="33" s="1"/>
  <c r="AY150" i="5"/>
  <c r="AC156" i="5"/>
  <c r="AE156" i="5"/>
  <c r="D17" i="19"/>
  <c r="H17" i="19" s="1"/>
  <c r="D21" i="25"/>
  <c r="H21" i="25" s="1"/>
  <c r="D24" i="19"/>
  <c r="H24" i="19" s="1"/>
  <c r="D7" i="33"/>
  <c r="H7" i="33" s="1"/>
  <c r="AG133" i="5"/>
  <c r="D28" i="17"/>
  <c r="H28" i="17" s="1"/>
  <c r="AI163" i="5"/>
  <c r="AK69" i="5"/>
  <c r="D34" i="24"/>
  <c r="H34" i="24" s="1"/>
  <c r="AS125" i="5"/>
  <c r="AV125" i="5"/>
  <c r="AU145" i="5"/>
  <c r="AW26" i="5"/>
  <c r="AW163" i="5"/>
  <c r="D43" i="24"/>
  <c r="H43" i="24" s="1"/>
  <c r="AY92" i="5"/>
  <c r="AY156" i="5"/>
  <c r="AO151" i="5"/>
  <c r="H235" i="25"/>
  <c r="AQ139" i="5"/>
  <c r="AU125" i="5"/>
  <c r="AV163" i="5"/>
  <c r="D27" i="33"/>
  <c r="H27" i="33" s="1"/>
  <c r="AY109" i="5"/>
  <c r="AY162" i="5"/>
  <c r="H31" i="17"/>
  <c r="H27" i="17"/>
  <c r="Y56" i="5"/>
  <c r="AE126" i="5"/>
  <c r="AG139" i="5"/>
  <c r="AB93" i="5"/>
  <c r="AB163" i="5"/>
  <c r="AF133" i="5"/>
  <c r="D16" i="33"/>
  <c r="H16" i="33" s="1"/>
  <c r="D40" i="17"/>
  <c r="D44" i="19"/>
  <c r="H25" i="17"/>
  <c r="G40" i="45"/>
  <c r="G41" i="45" s="1"/>
  <c r="G42" i="45" s="1"/>
  <c r="G43" i="45" s="1"/>
  <c r="G44" i="45" s="1"/>
  <c r="G45" i="45" s="1"/>
  <c r="G46" i="45" s="1"/>
  <c r="G47" i="45" s="1"/>
  <c r="AY163" i="5"/>
  <c r="AY157" i="5"/>
  <c r="AY151" i="5"/>
  <c r="AY145" i="5"/>
  <c r="AY139" i="5"/>
  <c r="AY133" i="5"/>
  <c r="AY126" i="5"/>
  <c r="AY119" i="5"/>
  <c r="AY110" i="5"/>
  <c r="AY93" i="5"/>
  <c r="AY69" i="5"/>
  <c r="AY56" i="5"/>
  <c r="AY3" i="5"/>
  <c r="AY26" i="5"/>
  <c r="L156" i="5"/>
  <c r="L157" i="5"/>
  <c r="K133" i="5"/>
  <c r="K132" i="5"/>
  <c r="K118" i="5"/>
  <c r="K119" i="5"/>
  <c r="P162" i="5"/>
  <c r="P163" i="5"/>
  <c r="D21" i="24"/>
  <c r="H21" i="24" s="1"/>
  <c r="AB69" i="5"/>
  <c r="D26" i="24"/>
  <c r="H26" i="24" s="1"/>
  <c r="AG70" i="5"/>
  <c r="AG69" i="5"/>
  <c r="AJ163" i="5"/>
  <c r="D17" i="31"/>
  <c r="H17" i="31" s="1"/>
  <c r="M56" i="5"/>
  <c r="J145" i="5"/>
  <c r="M144" i="5"/>
  <c r="M145" i="5"/>
  <c r="D8" i="25"/>
  <c r="O101" i="5"/>
  <c r="P132" i="5"/>
  <c r="O132" i="5"/>
  <c r="O133" i="5"/>
  <c r="Z150" i="5"/>
  <c r="T157" i="5"/>
  <c r="U125" i="5"/>
  <c r="D14" i="19"/>
  <c r="H14" i="19" s="1"/>
  <c r="U126" i="5"/>
  <c r="D18" i="24"/>
  <c r="H18" i="24" s="1"/>
  <c r="Y25" i="5"/>
  <c r="AB70" i="5"/>
  <c r="Z55" i="5"/>
  <c r="Z3" i="5"/>
  <c r="D19" i="24"/>
  <c r="H19" i="24" s="1"/>
  <c r="Z56" i="5"/>
  <c r="AC126" i="5"/>
  <c r="D24" i="24"/>
  <c r="H24" i="24" s="1"/>
  <c r="AE26" i="5"/>
  <c r="AE25" i="5"/>
  <c r="AE119" i="5"/>
  <c r="AE118" i="5"/>
  <c r="AE3" i="5" s="1"/>
  <c r="D29" i="19"/>
  <c r="H29" i="19" s="1"/>
  <c r="AJ125" i="5"/>
  <c r="AJ126" i="5"/>
  <c r="L92" i="5"/>
  <c r="D5" i="25"/>
  <c r="D5" i="24"/>
  <c r="H5" i="24" s="1"/>
  <c r="T93" i="5"/>
  <c r="T92" i="5"/>
  <c r="AI69" i="5"/>
  <c r="AI70" i="5"/>
  <c r="AI3" i="5"/>
  <c r="AX156" i="5"/>
  <c r="D31" i="30"/>
  <c r="K25" i="5"/>
  <c r="D4" i="24"/>
  <c r="H4" i="24" s="1"/>
  <c r="P93" i="5"/>
  <c r="AC118" i="5"/>
  <c r="AC3" i="5" s="1"/>
  <c r="AC119" i="5"/>
  <c r="J93" i="5"/>
  <c r="D3" i="25"/>
  <c r="D3" i="19"/>
  <c r="H3" i="19" s="1"/>
  <c r="J125" i="5"/>
  <c r="I163" i="5"/>
  <c r="I162" i="5"/>
  <c r="Q150" i="5"/>
  <c r="Q151" i="5"/>
  <c r="I69" i="5"/>
  <c r="I70" i="5"/>
  <c r="N163" i="5"/>
  <c r="V110" i="5"/>
  <c r="O151" i="5"/>
  <c r="U110" i="5"/>
  <c r="J92" i="5"/>
  <c r="L126" i="5"/>
  <c r="L163" i="5"/>
  <c r="L162" i="5"/>
  <c r="O118" i="5"/>
  <c r="O3" i="5" s="1"/>
  <c r="P69" i="5"/>
  <c r="P3" i="5"/>
  <c r="P151" i="5"/>
  <c r="P150" i="5"/>
  <c r="Q93" i="5"/>
  <c r="Q92" i="5"/>
  <c r="D10" i="25"/>
  <c r="H10" i="25" s="1"/>
  <c r="Q163" i="5"/>
  <c r="Q162" i="5"/>
  <c r="R100" i="5"/>
  <c r="D11" i="24"/>
  <c r="H11" i="24" s="1"/>
  <c r="R25" i="5"/>
  <c r="D12" i="33"/>
  <c r="H12" i="33" s="1"/>
  <c r="AE138" i="5"/>
  <c r="H150" i="25"/>
  <c r="K149" i="25"/>
  <c r="AG92" i="5"/>
  <c r="D26" i="25"/>
  <c r="H26" i="25" s="1"/>
  <c r="AG93" i="5"/>
  <c r="D6" i="24"/>
  <c r="H6" i="24" s="1"/>
  <c r="J108" i="5"/>
  <c r="M139" i="5"/>
  <c r="M138" i="5"/>
  <c r="R118" i="5"/>
  <c r="R3" i="5" s="1"/>
  <c r="R119" i="5"/>
  <c r="D13" i="25"/>
  <c r="H13" i="25" s="1"/>
  <c r="W3" i="5"/>
  <c r="H152" i="25"/>
  <c r="K125" i="5"/>
  <c r="Q70" i="5"/>
  <c r="R145" i="5"/>
  <c r="R162" i="5"/>
  <c r="R163" i="5"/>
  <c r="D14" i="25"/>
  <c r="H14" i="25" s="1"/>
  <c r="U157" i="5"/>
  <c r="U156" i="5"/>
  <c r="AH138" i="5"/>
  <c r="D15" i="33"/>
  <c r="H15" i="33" s="1"/>
  <c r="I101" i="5"/>
  <c r="L56" i="5"/>
  <c r="I118" i="5"/>
  <c r="N109" i="5"/>
  <c r="D132" i="25"/>
  <c r="N110" i="5"/>
  <c r="L150" i="5"/>
  <c r="I144" i="5"/>
  <c r="I145" i="5"/>
  <c r="N150" i="5"/>
  <c r="N151" i="5"/>
  <c r="J117" i="5"/>
  <c r="D3" i="36"/>
  <c r="H3" i="36" s="1"/>
  <c r="D9" i="24"/>
  <c r="H9" i="24" s="1"/>
  <c r="P157" i="5"/>
  <c r="Q119" i="5"/>
  <c r="V55" i="5"/>
  <c r="D13" i="19"/>
  <c r="H13" i="19" s="1"/>
  <c r="W55" i="5"/>
  <c r="D16" i="24"/>
  <c r="H16" i="24" s="1"/>
  <c r="W56" i="5"/>
  <c r="Y101" i="5"/>
  <c r="Y100" i="5"/>
  <c r="D145" i="25"/>
  <c r="D28" i="24"/>
  <c r="H28" i="24" s="1"/>
  <c r="I151" i="5"/>
  <c r="I150" i="5"/>
  <c r="P138" i="5"/>
  <c r="P139" i="5"/>
  <c r="R109" i="5"/>
  <c r="R110" i="5"/>
  <c r="V25" i="5"/>
  <c r="D15" i="24"/>
  <c r="H15" i="24" s="1"/>
  <c r="K69" i="5"/>
  <c r="S55" i="5"/>
  <c r="S56" i="5"/>
  <c r="S162" i="5"/>
  <c r="S163" i="5"/>
  <c r="W163" i="5"/>
  <c r="W162" i="5"/>
  <c r="Z69" i="5"/>
  <c r="D22" i="25"/>
  <c r="H22" i="25" s="1"/>
  <c r="AC92" i="5"/>
  <c r="AC93" i="5"/>
  <c r="AG145" i="5"/>
  <c r="D14" i="32"/>
  <c r="H14" i="32" s="1"/>
  <c r="AG144" i="5"/>
  <c r="AH110" i="5"/>
  <c r="AH109" i="5"/>
  <c r="J126" i="5"/>
  <c r="D4" i="19"/>
  <c r="H4" i="19" s="1"/>
  <c r="L93" i="5"/>
  <c r="M108" i="5"/>
  <c r="N157" i="5"/>
  <c r="N156" i="5"/>
  <c r="O162" i="5"/>
  <c r="O138" i="5"/>
  <c r="O139" i="5"/>
  <c r="Q138" i="5"/>
  <c r="Q139" i="5"/>
  <c r="T125" i="5"/>
  <c r="S144" i="5"/>
  <c r="S145" i="5"/>
  <c r="V145" i="5"/>
  <c r="V144" i="5"/>
  <c r="W70" i="5"/>
  <c r="D17" i="25"/>
  <c r="H17" i="25" s="1"/>
  <c r="X93" i="5"/>
  <c r="Y109" i="5"/>
  <c r="Y110" i="5"/>
  <c r="D22" i="19"/>
  <c r="H22" i="19" s="1"/>
  <c r="D20" i="24"/>
  <c r="H20" i="24" s="1"/>
  <c r="AA3" i="5"/>
  <c r="AA25" i="5"/>
  <c r="AA26" i="5"/>
  <c r="AB126" i="5"/>
  <c r="AB125" i="5"/>
  <c r="K148" i="25"/>
  <c r="H149" i="25"/>
  <c r="AE145" i="5"/>
  <c r="AE144" i="5"/>
  <c r="D13" i="30"/>
  <c r="H13" i="30" s="1"/>
  <c r="AF156" i="5"/>
  <c r="AI93" i="5"/>
  <c r="AI92" i="5"/>
  <c r="D28" i="25"/>
  <c r="H28" i="25" s="1"/>
  <c r="H168" i="25"/>
  <c r="D2" i="25"/>
  <c r="H2" i="25" s="1"/>
  <c r="U163" i="5"/>
  <c r="U162" i="5"/>
  <c r="AC163" i="5"/>
  <c r="AC162" i="5"/>
  <c r="AD3" i="5"/>
  <c r="AD56" i="5"/>
  <c r="D23" i="24"/>
  <c r="H23" i="24" s="1"/>
  <c r="AF126" i="5"/>
  <c r="AF125" i="5"/>
  <c r="D20" i="31"/>
  <c r="H20" i="31" s="1"/>
  <c r="AO118" i="5"/>
  <c r="AO3" i="5" s="1"/>
  <c r="AO119" i="5"/>
  <c r="AP25" i="5"/>
  <c r="D23" i="31"/>
  <c r="H23" i="31" s="1"/>
  <c r="AP162" i="5"/>
  <c r="D37" i="25"/>
  <c r="AR93" i="5"/>
  <c r="D24" i="32"/>
  <c r="H24" i="32" s="1"/>
  <c r="AQ145" i="5"/>
  <c r="D25" i="32"/>
  <c r="H25" i="32" s="1"/>
  <c r="AR144" i="5"/>
  <c r="T26" i="5"/>
  <c r="T25" i="5"/>
  <c r="Y163" i="5"/>
  <c r="Y162" i="5"/>
  <c r="Z126" i="5"/>
  <c r="K146" i="25"/>
  <c r="H146" i="25"/>
  <c r="D8" i="33"/>
  <c r="H8" i="33" s="1"/>
  <c r="AA139" i="5"/>
  <c r="AA138" i="5"/>
  <c r="AQ92" i="5"/>
  <c r="AR145" i="5"/>
  <c r="AT69" i="5"/>
  <c r="AT70" i="5"/>
  <c r="H31" i="32"/>
  <c r="AM162" i="5"/>
  <c r="S25" i="5"/>
  <c r="S3" i="5"/>
  <c r="U3" i="5"/>
  <c r="D14" i="24"/>
  <c r="H14" i="24" s="1"/>
  <c r="X70" i="5"/>
  <c r="D25" i="19"/>
  <c r="H25" i="19" s="1"/>
  <c r="D10" i="32"/>
  <c r="H10" i="32" s="1"/>
  <c r="AE163" i="5"/>
  <c r="D12" i="31"/>
  <c r="H12" i="31" s="1"/>
  <c r="AF69" i="5"/>
  <c r="D25" i="24"/>
  <c r="H25" i="24" s="1"/>
  <c r="AF3" i="5"/>
  <c r="AJ25" i="5"/>
  <c r="AJ26" i="5"/>
  <c r="AR92" i="5"/>
  <c r="D20" i="33"/>
  <c r="H20" i="33" s="1"/>
  <c r="AK119" i="5"/>
  <c r="AK118" i="5"/>
  <c r="AK3" i="5" s="1"/>
  <c r="AA100" i="5"/>
  <c r="AA101" i="5"/>
  <c r="D20" i="25"/>
  <c r="H20" i="25" s="1"/>
  <c r="AF92" i="5"/>
  <c r="AF93" i="5"/>
  <c r="D35" i="24"/>
  <c r="H35" i="24" s="1"/>
  <c r="AV118" i="5"/>
  <c r="AV3" i="5" s="1"/>
  <c r="AV119" i="5"/>
  <c r="D27" i="24"/>
  <c r="H27" i="24" s="1"/>
  <c r="AK125" i="5"/>
  <c r="D37" i="24"/>
  <c r="H37" i="24" s="1"/>
  <c r="AR3" i="5"/>
  <c r="AR26" i="5"/>
  <c r="AV109" i="5"/>
  <c r="D166" i="25"/>
  <c r="H166" i="25" s="1"/>
  <c r="D39" i="17"/>
  <c r="H244" i="25"/>
  <c r="AK163" i="5"/>
  <c r="D18" i="31"/>
  <c r="H18" i="31" s="1"/>
  <c r="AX125" i="5"/>
  <c r="D43" i="19"/>
  <c r="AX126" i="5"/>
  <c r="AK133" i="5"/>
  <c r="D30" i="17"/>
  <c r="H30" i="17" s="1"/>
  <c r="D38" i="17"/>
  <c r="H38" i="17" s="1"/>
  <c r="AU26" i="5"/>
  <c r="D40" i="24"/>
  <c r="H40" i="24" s="1"/>
  <c r="AU3" i="5"/>
  <c r="AW70" i="5"/>
  <c r="D42" i="24"/>
  <c r="H42" i="24" s="1"/>
  <c r="H43" i="36"/>
  <c r="D17" i="33"/>
  <c r="H17" i="33" s="1"/>
  <c r="D30" i="24"/>
  <c r="H30" i="24" s="1"/>
  <c r="B40" i="25"/>
  <c r="H40" i="25" s="1"/>
  <c r="AT93" i="5"/>
  <c r="AP92" i="5"/>
  <c r="B51" i="25"/>
  <c r="H51" i="25" s="1"/>
  <c r="B80" i="25"/>
  <c r="B103" i="25"/>
  <c r="B86" i="25"/>
  <c r="B30" i="25"/>
  <c r="H30" i="25" s="1"/>
  <c r="B69" i="25"/>
  <c r="B108" i="25"/>
  <c r="B44" i="25"/>
  <c r="H44" i="25" s="1"/>
  <c r="B114" i="25"/>
  <c r="B50" i="25"/>
  <c r="H50" i="25" s="1"/>
  <c r="B89" i="25"/>
  <c r="B39" i="25"/>
  <c r="H39" i="25" s="1"/>
  <c r="AW92" i="5"/>
  <c r="B41" i="25"/>
  <c r="H41" i="25" s="1"/>
  <c r="AU92" i="5"/>
  <c r="AT92" i="5"/>
  <c r="AN92" i="5"/>
  <c r="AN4" i="5" s="1"/>
  <c r="AK92" i="5"/>
  <c r="B99" i="25"/>
  <c r="B112" i="25"/>
  <c r="B48" i="25"/>
  <c r="H48" i="25" s="1"/>
  <c r="B63" i="25"/>
  <c r="B118" i="25"/>
  <c r="B54" i="25"/>
  <c r="B101" i="25"/>
  <c r="B37" i="25"/>
  <c r="B76" i="25"/>
  <c r="B91" i="25"/>
  <c r="B82" i="25"/>
  <c r="B121" i="25"/>
  <c r="B57" i="25"/>
  <c r="AH92" i="5"/>
  <c r="AV92" i="5"/>
  <c r="D42" i="25"/>
  <c r="H42" i="25" s="1"/>
  <c r="AW93" i="5"/>
  <c r="D30" i="30"/>
  <c r="H30" i="30" s="1"/>
  <c r="D22" i="24"/>
  <c r="H22" i="24" s="1"/>
  <c r="AM126" i="5"/>
  <c r="D32" i="19"/>
  <c r="H32" i="19" s="1"/>
  <c r="AM125" i="5"/>
  <c r="D21" i="31"/>
  <c r="H21" i="31" s="1"/>
  <c r="AN163" i="5"/>
  <c r="AW132" i="5"/>
  <c r="B40" i="17"/>
  <c r="AU162" i="5"/>
  <c r="AU144" i="5"/>
  <c r="AU132" i="5"/>
  <c r="AT150" i="5"/>
  <c r="AW162" i="5"/>
  <c r="AV162" i="5"/>
  <c r="AV144" i="5"/>
  <c r="AV132" i="5"/>
  <c r="AW144" i="5"/>
  <c r="AT156" i="5"/>
  <c r="AW156" i="5"/>
  <c r="B41" i="17"/>
  <c r="H41" i="17" s="1"/>
  <c r="AU150" i="5"/>
  <c r="AU138" i="5"/>
  <c r="B39" i="17"/>
  <c r="AT132" i="5"/>
  <c r="AT162" i="5"/>
  <c r="AT144" i="5"/>
  <c r="AX162" i="5"/>
  <c r="AW138" i="5"/>
  <c r="AV150" i="5"/>
  <c r="AV138" i="5"/>
  <c r="D27" i="31"/>
  <c r="H27" i="31" s="1"/>
  <c r="AT163" i="5"/>
  <c r="AW133" i="5"/>
  <c r="D42" i="17"/>
  <c r="AO126" i="5"/>
  <c r="AW126" i="5"/>
  <c r="AX132" i="5"/>
  <c r="D31" i="33"/>
  <c r="AT110" i="5"/>
  <c r="H339" i="25"/>
  <c r="D43" i="17"/>
  <c r="AU157" i="5"/>
  <c r="AX92" i="5"/>
  <c r="AX144" i="5"/>
  <c r="D43" i="25"/>
  <c r="D31" i="31"/>
  <c r="AX110" i="5"/>
  <c r="AX138" i="5"/>
  <c r="AX133" i="5"/>
  <c r="AX118" i="5"/>
  <c r="AX3" i="5" s="1"/>
  <c r="AX93" i="5"/>
  <c r="AX70" i="5"/>
  <c r="AX56" i="5"/>
  <c r="AX157" i="5"/>
  <c r="AX151" i="5"/>
  <c r="AX145" i="5"/>
  <c r="AX26" i="5"/>
  <c r="BL2" i="5" l="1"/>
  <c r="H21" i="17"/>
  <c r="BL4" i="5"/>
  <c r="I57" i="25"/>
  <c r="H57" i="25"/>
  <c r="H56" i="25"/>
  <c r="BJ4" i="5"/>
  <c r="BK4" i="5"/>
  <c r="L110" i="5"/>
  <c r="L109" i="5"/>
  <c r="L4" i="5" s="1"/>
  <c r="H54" i="25"/>
  <c r="H53" i="25"/>
  <c r="L3" i="5"/>
  <c r="H52" i="25"/>
  <c r="H42" i="17"/>
  <c r="X4" i="5"/>
  <c r="AL4" i="5"/>
  <c r="H7" i="25"/>
  <c r="H36" i="17"/>
  <c r="H33" i="17"/>
  <c r="D127" i="25"/>
  <c r="H127" i="25" s="1"/>
  <c r="I3" i="5"/>
  <c r="I110" i="5"/>
  <c r="AD4" i="5"/>
  <c r="BB4" i="5"/>
  <c r="AX4" i="5"/>
  <c r="H22" i="17"/>
  <c r="K110" i="5"/>
  <c r="H29" i="17"/>
  <c r="H46" i="25"/>
  <c r="G44" i="38"/>
  <c r="G45" i="38" s="1"/>
  <c r="G46" i="38" s="1"/>
  <c r="G47" i="38" s="1"/>
  <c r="G48" i="38" s="1"/>
  <c r="G49" i="38" s="1"/>
  <c r="G50" i="38" s="1"/>
  <c r="G51" i="38" s="1"/>
  <c r="G52" i="38" s="1"/>
  <c r="G53" i="38" s="1"/>
  <c r="G54" i="38" s="1"/>
  <c r="G55" i="38" s="1"/>
  <c r="G56" i="38" s="1"/>
  <c r="G57" i="38" s="1"/>
  <c r="G58" i="38" s="1"/>
  <c r="G59" i="38" s="1"/>
  <c r="G60" i="38" s="1"/>
  <c r="G61" i="38" s="1"/>
  <c r="G62" i="38" s="1"/>
  <c r="G63" i="38" s="1"/>
  <c r="G64" i="38" s="1"/>
  <c r="G65" i="38" s="1"/>
  <c r="G66" i="38" s="1"/>
  <c r="G67" i="38" s="1"/>
  <c r="G68" i="38" s="1"/>
  <c r="G69" i="38" s="1"/>
  <c r="G70" i="38" s="1"/>
  <c r="G71" i="38" s="1"/>
  <c r="G72" i="38" s="1"/>
  <c r="G73" i="38" s="1"/>
  <c r="G74" i="38" s="1"/>
  <c r="G75" i="38" s="1"/>
  <c r="G76" i="38" s="1"/>
  <c r="G77" i="38" s="1"/>
  <c r="G78" i="38" s="1"/>
  <c r="G79" i="38" s="1"/>
  <c r="G80" i="38" s="1"/>
  <c r="G81" i="38" s="1"/>
  <c r="G82" i="38" s="1"/>
  <c r="G83" i="38" s="1"/>
  <c r="G84" i="38" s="1"/>
  <c r="G85" i="38" s="1"/>
  <c r="G86" i="38" s="1"/>
  <c r="G87" i="38" s="1"/>
  <c r="G88" i="38" s="1"/>
  <c r="G89" i="38" s="1"/>
  <c r="G90" i="38" s="1"/>
  <c r="G91" i="38" s="1"/>
  <c r="G92" i="38" s="1"/>
  <c r="G93" i="38" s="1"/>
  <c r="G94" i="38" s="1"/>
  <c r="G95" i="38" s="1"/>
  <c r="G96" i="38" s="1"/>
  <c r="G97" i="38" s="1"/>
  <c r="H46" i="19"/>
  <c r="H34" i="30"/>
  <c r="H171" i="25"/>
  <c r="H46" i="17"/>
  <c r="H34" i="32"/>
  <c r="H46" i="24"/>
  <c r="BA4" i="5"/>
  <c r="H34" i="31"/>
  <c r="H34" i="33"/>
  <c r="K150" i="25"/>
  <c r="H4" i="25"/>
  <c r="K151" i="25"/>
  <c r="H3" i="25"/>
  <c r="H45" i="19"/>
  <c r="U4" i="5"/>
  <c r="AU4" i="5"/>
  <c r="H40" i="17"/>
  <c r="H6" i="25"/>
  <c r="AJ4" i="5"/>
  <c r="H8" i="25"/>
  <c r="AW4" i="5"/>
  <c r="AI4" i="5"/>
  <c r="H29" i="25"/>
  <c r="W4" i="5"/>
  <c r="AK4" i="5"/>
  <c r="AS4" i="5"/>
  <c r="AE4" i="5"/>
  <c r="D129" i="25"/>
  <c r="H129" i="25" s="1"/>
  <c r="K3" i="5"/>
  <c r="AM4" i="5"/>
  <c r="H32" i="25"/>
  <c r="Y4" i="5"/>
  <c r="V4" i="5"/>
  <c r="AO4" i="5"/>
  <c r="S4" i="5"/>
  <c r="T4" i="5"/>
  <c r="AA4" i="5"/>
  <c r="H5" i="25"/>
  <c r="AZ4" i="5"/>
  <c r="Q4" i="5"/>
  <c r="AY4" i="5"/>
  <c r="AR4" i="5"/>
  <c r="AC4" i="5"/>
  <c r="K133" i="25"/>
  <c r="N4" i="5"/>
  <c r="H170" i="25"/>
  <c r="H45" i="25"/>
  <c r="AV4" i="5"/>
  <c r="O4" i="5"/>
  <c r="H44" i="24"/>
  <c r="H44" i="19"/>
  <c r="AT4" i="5"/>
  <c r="AP4" i="5"/>
  <c r="AB4" i="5"/>
  <c r="AF4" i="5"/>
  <c r="AQ4" i="5"/>
  <c r="P4" i="5"/>
  <c r="H44" i="17"/>
  <c r="AG4" i="5"/>
  <c r="H32" i="32"/>
  <c r="G427" i="25"/>
  <c r="I426" i="25"/>
  <c r="M109" i="5"/>
  <c r="M4" i="5" s="1"/>
  <c r="D131" i="25"/>
  <c r="K131" i="25" s="1"/>
  <c r="M110" i="5"/>
  <c r="M3" i="5"/>
  <c r="H39" i="17"/>
  <c r="H132" i="25"/>
  <c r="H31" i="30"/>
  <c r="H37" i="25"/>
  <c r="J118" i="5"/>
  <c r="J3" i="5" s="1"/>
  <c r="J119" i="5"/>
  <c r="J110" i="5"/>
  <c r="D128" i="25"/>
  <c r="J109" i="5"/>
  <c r="J4" i="5" s="1"/>
  <c r="Z4" i="5"/>
  <c r="H31" i="33"/>
  <c r="K4" i="5"/>
  <c r="R4" i="5"/>
  <c r="H31" i="31"/>
  <c r="AH4" i="5"/>
  <c r="I4" i="5"/>
  <c r="H130" i="25"/>
  <c r="H43" i="17"/>
  <c r="H43" i="19"/>
  <c r="H145" i="25"/>
  <c r="K144" i="25"/>
  <c r="K145" i="25"/>
  <c r="H43" i="25"/>
  <c r="K132" i="25"/>
  <c r="K129" i="25" l="1"/>
  <c r="K128" i="25"/>
  <c r="G428" i="25"/>
  <c r="I428" i="25" s="1"/>
  <c r="I427" i="25"/>
  <c r="K127" i="25"/>
  <c r="H128" i="25"/>
  <c r="H131" i="25"/>
  <c r="K130" i="25"/>
  <c r="G354" i="25" l="1"/>
  <c r="G355" i="25" l="1"/>
  <c r="I354" i="25"/>
  <c r="G356" i="25" l="1"/>
  <c r="I355" i="25"/>
  <c r="G357" i="25" l="1"/>
  <c r="I356" i="25"/>
  <c r="K40" i="41"/>
  <c r="G358" i="25" l="1"/>
  <c r="I357" i="25"/>
  <c r="K41" i="41"/>
  <c r="G359" i="25" l="1"/>
  <c r="I358" i="25"/>
  <c r="K42" i="41"/>
  <c r="G360" i="25" l="1"/>
  <c r="I359" i="25"/>
  <c r="K43" i="41"/>
  <c r="G34" i="39"/>
  <c r="G361" i="25" l="1"/>
  <c r="I360" i="25"/>
  <c r="K44" i="41"/>
  <c r="G58" i="36"/>
  <c r="G35" i="39"/>
  <c r="I34" i="39"/>
  <c r="G362" i="25" l="1"/>
  <c r="I361" i="25"/>
  <c r="I40" i="41"/>
  <c r="F39" i="41"/>
  <c r="G59" i="36"/>
  <c r="I58" i="36"/>
  <c r="I35" i="39"/>
  <c r="G36" i="39"/>
  <c r="G363" i="25" l="1"/>
  <c r="I362" i="25"/>
  <c r="I41" i="41"/>
  <c r="F40" i="41"/>
  <c r="G58" i="35"/>
  <c r="I59" i="36"/>
  <c r="G60" i="36"/>
  <c r="G37" i="39"/>
  <c r="I36" i="39"/>
  <c r="G364" i="25" l="1"/>
  <c r="I363" i="25"/>
  <c r="I42" i="41"/>
  <c r="F41" i="41"/>
  <c r="G46" i="34"/>
  <c r="I58" i="35"/>
  <c r="G59" i="35"/>
  <c r="G61" i="36"/>
  <c r="I60" i="36"/>
  <c r="I37" i="39"/>
  <c r="G38" i="39"/>
  <c r="G365" i="25" l="1"/>
  <c r="I364" i="25"/>
  <c r="I43" i="41"/>
  <c r="F42" i="41"/>
  <c r="G259" i="25"/>
  <c r="I46" i="34"/>
  <c r="G47" i="34"/>
  <c r="I56" i="19"/>
  <c r="G46" i="32"/>
  <c r="G183" i="25"/>
  <c r="G60" i="35"/>
  <c r="I59" i="35"/>
  <c r="G62" i="36"/>
  <c r="I61" i="36"/>
  <c r="G39" i="39"/>
  <c r="I38" i="39"/>
  <c r="G366" i="25" l="1"/>
  <c r="I365" i="25"/>
  <c r="I44" i="41"/>
  <c r="F44" i="41" s="1"/>
  <c r="F43" i="41"/>
  <c r="G260" i="25"/>
  <c r="I259" i="25"/>
  <c r="I183" i="25"/>
  <c r="G184" i="25"/>
  <c r="G48" i="34"/>
  <c r="I47" i="34"/>
  <c r="G59" i="24"/>
  <c r="G58" i="19"/>
  <c r="I46" i="32"/>
  <c r="G47" i="32"/>
  <c r="G46" i="31"/>
  <c r="G46" i="30"/>
  <c r="G46" i="33"/>
  <c r="G58" i="25"/>
  <c r="G58" i="17"/>
  <c r="G61" i="35"/>
  <c r="I60" i="35"/>
  <c r="G63" i="36"/>
  <c r="I62" i="36"/>
  <c r="G40" i="39"/>
  <c r="I39" i="39"/>
  <c r="G367" i="25" l="1"/>
  <c r="I366" i="25"/>
  <c r="G261" i="25"/>
  <c r="I260" i="25"/>
  <c r="I184" i="25"/>
  <c r="G185" i="25"/>
  <c r="G49" i="34"/>
  <c r="I48" i="34"/>
  <c r="I59" i="24"/>
  <c r="G60" i="24"/>
  <c r="I58" i="17"/>
  <c r="G59" i="17"/>
  <c r="I46" i="31"/>
  <c r="G47" i="31"/>
  <c r="G59" i="25"/>
  <c r="I58" i="25"/>
  <c r="G47" i="33"/>
  <c r="I46" i="33"/>
  <c r="I58" i="19"/>
  <c r="G59" i="19"/>
  <c r="G47" i="30"/>
  <c r="I46" i="30"/>
  <c r="G48" i="32"/>
  <c r="I47" i="32"/>
  <c r="G62" i="35"/>
  <c r="I61" i="35"/>
  <c r="I63" i="36"/>
  <c r="G64" i="36"/>
  <c r="G41" i="39"/>
  <c r="I40" i="39"/>
  <c r="G368" i="25" l="1"/>
  <c r="I367" i="25"/>
  <c r="G262" i="25"/>
  <c r="I261" i="25"/>
  <c r="I185" i="25"/>
  <c r="G186" i="25"/>
  <c r="I49" i="34"/>
  <c r="G50" i="34"/>
  <c r="G61" i="24"/>
  <c r="I60" i="24"/>
  <c r="G48" i="33"/>
  <c r="I47" i="33"/>
  <c r="I48" i="32"/>
  <c r="G49" i="32"/>
  <c r="G60" i="25"/>
  <c r="I59" i="25"/>
  <c r="G48" i="30"/>
  <c r="I47" i="30"/>
  <c r="G60" i="19"/>
  <c r="I59" i="19"/>
  <c r="I59" i="17"/>
  <c r="G60" i="17"/>
  <c r="I47" i="31"/>
  <c r="G48" i="31"/>
  <c r="I62" i="35"/>
  <c r="G63" i="35"/>
  <c r="G65" i="36"/>
  <c r="I64" i="36"/>
  <c r="I41" i="39"/>
  <c r="G42" i="39"/>
  <c r="G369" i="25" l="1"/>
  <c r="I368" i="25"/>
  <c r="G263" i="25"/>
  <c r="I262" i="25"/>
  <c r="I186" i="25"/>
  <c r="G187" i="25"/>
  <c r="I50" i="34"/>
  <c r="G51" i="34"/>
  <c r="G62" i="24"/>
  <c r="I61" i="24"/>
  <c r="G49" i="30"/>
  <c r="I48" i="30"/>
  <c r="G49" i="31"/>
  <c r="I48" i="31"/>
  <c r="I60" i="25"/>
  <c r="G61" i="25"/>
  <c r="I49" i="32"/>
  <c r="G50" i="32"/>
  <c r="I60" i="17"/>
  <c r="G61" i="17"/>
  <c r="G61" i="19"/>
  <c r="I60" i="19"/>
  <c r="I48" i="33"/>
  <c r="G49" i="33"/>
  <c r="G64" i="35"/>
  <c r="I63" i="35"/>
  <c r="G66" i="36"/>
  <c r="I65" i="36"/>
  <c r="G43" i="39"/>
  <c r="I42" i="39"/>
  <c r="G370" i="25" l="1"/>
  <c r="I369" i="25"/>
  <c r="G264" i="25"/>
  <c r="I263" i="25"/>
  <c r="I187" i="25"/>
  <c r="G188" i="25"/>
  <c r="G52" i="34"/>
  <c r="I51" i="34"/>
  <c r="G63" i="24"/>
  <c r="I62" i="24"/>
  <c r="G51" i="32"/>
  <c r="I50" i="32"/>
  <c r="G50" i="33"/>
  <c r="I49" i="33"/>
  <c r="G62" i="25"/>
  <c r="I61" i="25"/>
  <c r="I61" i="19"/>
  <c r="G62" i="19"/>
  <c r="I49" i="31"/>
  <c r="G50" i="31"/>
  <c r="I61" i="17"/>
  <c r="G62" i="17"/>
  <c r="G50" i="30"/>
  <c r="I49" i="30"/>
  <c r="G65" i="35"/>
  <c r="I64" i="35"/>
  <c r="G67" i="36"/>
  <c r="I66" i="36"/>
  <c r="G44" i="39"/>
  <c r="I43" i="39"/>
  <c r="G371" i="25" l="1"/>
  <c r="I370" i="25"/>
  <c r="G265" i="25"/>
  <c r="I264" i="25"/>
  <c r="I188" i="25"/>
  <c r="G189" i="25"/>
  <c r="G53" i="34"/>
  <c r="I52" i="34"/>
  <c r="G64" i="24"/>
  <c r="I63" i="24"/>
  <c r="G51" i="30"/>
  <c r="I50" i="30"/>
  <c r="I62" i="25"/>
  <c r="G63" i="25"/>
  <c r="I62" i="19"/>
  <c r="G63" i="19"/>
  <c r="G51" i="33"/>
  <c r="I50" i="33"/>
  <c r="I62" i="17"/>
  <c r="G63" i="17"/>
  <c r="G51" i="31"/>
  <c r="I50" i="31"/>
  <c r="I51" i="32"/>
  <c r="G52" i="32"/>
  <c r="I65" i="35"/>
  <c r="G66" i="35"/>
  <c r="I67" i="36"/>
  <c r="G68" i="36"/>
  <c r="G45" i="39"/>
  <c r="I44" i="39"/>
  <c r="G372" i="25" l="1"/>
  <c r="I371" i="25"/>
  <c r="G266" i="25"/>
  <c r="I265" i="25"/>
  <c r="I189" i="25"/>
  <c r="G190" i="25"/>
  <c r="I53" i="34"/>
  <c r="G54" i="34"/>
  <c r="I64" i="24"/>
  <c r="G65" i="24"/>
  <c r="I52" i="32"/>
  <c r="G53" i="32"/>
  <c r="G64" i="25"/>
  <c r="I63" i="25"/>
  <c r="I51" i="31"/>
  <c r="G52" i="31"/>
  <c r="G52" i="33"/>
  <c r="I51" i="33"/>
  <c r="I63" i="19"/>
  <c r="G64" i="19"/>
  <c r="G64" i="17"/>
  <c r="I63" i="17"/>
  <c r="G52" i="30"/>
  <c r="I51" i="30"/>
  <c r="G67" i="35"/>
  <c r="I66" i="35"/>
  <c r="I68" i="36"/>
  <c r="G69" i="36"/>
  <c r="I45" i="39"/>
  <c r="G46" i="39"/>
  <c r="G373" i="25" l="1"/>
  <c r="I372" i="25"/>
  <c r="G267" i="25"/>
  <c r="I266" i="25"/>
  <c r="I190" i="25"/>
  <c r="G191" i="25"/>
  <c r="G55" i="34"/>
  <c r="I54" i="34"/>
  <c r="I65" i="24"/>
  <c r="G66" i="24"/>
  <c r="G53" i="30"/>
  <c r="I52" i="30"/>
  <c r="I52" i="33"/>
  <c r="G53" i="33"/>
  <c r="I52" i="31"/>
  <c r="G53" i="31"/>
  <c r="G65" i="17"/>
  <c r="I64" i="17"/>
  <c r="G65" i="25"/>
  <c r="I64" i="25"/>
  <c r="I64" i="19"/>
  <c r="G65" i="19"/>
  <c r="G54" i="32"/>
  <c r="I53" i="32"/>
  <c r="I67" i="35"/>
  <c r="G68" i="35"/>
  <c r="G70" i="36"/>
  <c r="I69" i="36"/>
  <c r="G47" i="39"/>
  <c r="I46" i="39"/>
  <c r="G374" i="25" l="1"/>
  <c r="I373" i="25"/>
  <c r="G268" i="25"/>
  <c r="I267" i="25"/>
  <c r="G192" i="25"/>
  <c r="I191" i="25"/>
  <c r="G56" i="34"/>
  <c r="I55" i="34"/>
  <c r="I66" i="24"/>
  <c r="G67" i="24"/>
  <c r="I53" i="31"/>
  <c r="G54" i="31"/>
  <c r="G66" i="19"/>
  <c r="I65" i="19"/>
  <c r="G54" i="33"/>
  <c r="I53" i="33"/>
  <c r="G66" i="17"/>
  <c r="I65" i="17"/>
  <c r="I54" i="32"/>
  <c r="G55" i="32"/>
  <c r="I65" i="25"/>
  <c r="G66" i="25"/>
  <c r="I53" i="30"/>
  <c r="G54" i="30"/>
  <c r="I68" i="35"/>
  <c r="G69" i="35"/>
  <c r="G71" i="36"/>
  <c r="I70" i="36"/>
  <c r="G48" i="39"/>
  <c r="I47" i="39"/>
  <c r="G375" i="25" l="1"/>
  <c r="I374" i="25"/>
  <c r="G269" i="25"/>
  <c r="I268" i="25"/>
  <c r="G193" i="25"/>
  <c r="I192" i="25"/>
  <c r="G57" i="34"/>
  <c r="I56" i="34"/>
  <c r="I67" i="24"/>
  <c r="G68" i="24"/>
  <c r="G67" i="17"/>
  <c r="I66" i="17"/>
  <c r="G55" i="30"/>
  <c r="I54" i="30"/>
  <c r="I54" i="33"/>
  <c r="G55" i="33"/>
  <c r="I66" i="25"/>
  <c r="G67" i="25"/>
  <c r="I66" i="19"/>
  <c r="G67" i="19"/>
  <c r="G56" i="32"/>
  <c r="I55" i="32"/>
  <c r="I54" i="31"/>
  <c r="G55" i="31"/>
  <c r="G70" i="35"/>
  <c r="I69" i="35"/>
  <c r="I71" i="36"/>
  <c r="G72" i="36"/>
  <c r="I48" i="39"/>
  <c r="G49" i="39"/>
  <c r="G376" i="25" l="1"/>
  <c r="I375" i="25"/>
  <c r="G270" i="25"/>
  <c r="I269" i="25"/>
  <c r="G194" i="25"/>
  <c r="I193" i="25"/>
  <c r="I57" i="34"/>
  <c r="G58" i="34"/>
  <c r="I68" i="24"/>
  <c r="G69" i="24"/>
  <c r="G68" i="19"/>
  <c r="I67" i="19"/>
  <c r="G68" i="25"/>
  <c r="I67" i="25"/>
  <c r="G56" i="31"/>
  <c r="I55" i="31"/>
  <c r="I67" i="17"/>
  <c r="G68" i="17"/>
  <c r="I55" i="33"/>
  <c r="G56" i="33"/>
  <c r="G57" i="32"/>
  <c r="I56" i="32"/>
  <c r="G56" i="30"/>
  <c r="I55" i="30"/>
  <c r="I70" i="35"/>
  <c r="G71" i="35"/>
  <c r="I72" i="36"/>
  <c r="G73" i="36"/>
  <c r="G50" i="39"/>
  <c r="I49" i="39"/>
  <c r="G377" i="25" l="1"/>
  <c r="I376" i="25"/>
  <c r="G271" i="25"/>
  <c r="I270" i="25"/>
  <c r="I194" i="25"/>
  <c r="G195" i="25"/>
  <c r="G59" i="34"/>
  <c r="I58" i="34"/>
  <c r="G70" i="24"/>
  <c r="I69" i="24"/>
  <c r="I68" i="17"/>
  <c r="G69" i="17"/>
  <c r="I56" i="31"/>
  <c r="G57" i="31"/>
  <c r="G58" i="32"/>
  <c r="I57" i="32"/>
  <c r="G69" i="25"/>
  <c r="I68" i="25"/>
  <c r="I56" i="30"/>
  <c r="G57" i="30"/>
  <c r="G57" i="33"/>
  <c r="I56" i="33"/>
  <c r="I68" i="19"/>
  <c r="G69" i="19"/>
  <c r="G72" i="35"/>
  <c r="I71" i="35"/>
  <c r="G74" i="36"/>
  <c r="I73" i="36"/>
  <c r="I50" i="39"/>
  <c r="G51" i="39"/>
  <c r="G378" i="25" l="1"/>
  <c r="I377" i="25"/>
  <c r="G272" i="25"/>
  <c r="I271" i="25"/>
  <c r="I195" i="25"/>
  <c r="G196" i="25"/>
  <c r="G60" i="34"/>
  <c r="I59" i="34"/>
  <c r="I70" i="24"/>
  <c r="G71" i="24"/>
  <c r="G70" i="19"/>
  <c r="I69" i="19"/>
  <c r="G59" i="32"/>
  <c r="I58" i="32"/>
  <c r="G58" i="31"/>
  <c r="I57" i="31"/>
  <c r="I69" i="25"/>
  <c r="G70" i="25"/>
  <c r="G58" i="33"/>
  <c r="I57" i="33"/>
  <c r="I57" i="30"/>
  <c r="G58" i="30"/>
  <c r="G70" i="17"/>
  <c r="I69" i="17"/>
  <c r="I72" i="35"/>
  <c r="G73" i="35"/>
  <c r="G75" i="36"/>
  <c r="I74" i="36"/>
  <c r="G52" i="39"/>
  <c r="I51" i="39"/>
  <c r="G379" i="25" l="1"/>
  <c r="I378" i="25"/>
  <c r="G273" i="25"/>
  <c r="I272" i="25"/>
  <c r="I196" i="25"/>
  <c r="G197" i="25"/>
  <c r="G61" i="34"/>
  <c r="I60" i="34"/>
  <c r="G72" i="24"/>
  <c r="I71" i="24"/>
  <c r="I58" i="30"/>
  <c r="G59" i="30"/>
  <c r="G59" i="31"/>
  <c r="I58" i="31"/>
  <c r="I59" i="32"/>
  <c r="G60" i="32"/>
  <c r="G71" i="25"/>
  <c r="I70" i="25"/>
  <c r="I70" i="17"/>
  <c r="G71" i="17"/>
  <c r="G59" i="33"/>
  <c r="I58" i="33"/>
  <c r="G71" i="19"/>
  <c r="I70" i="19"/>
  <c r="I73" i="35"/>
  <c r="G74" i="35"/>
  <c r="I75" i="36"/>
  <c r="G76" i="36"/>
  <c r="G53" i="39"/>
  <c r="I52" i="39"/>
  <c r="G380" i="25" l="1"/>
  <c r="I379" i="25"/>
  <c r="G274" i="25"/>
  <c r="I273" i="25"/>
  <c r="I197" i="25"/>
  <c r="G198" i="25"/>
  <c r="I198" i="25" s="1"/>
  <c r="I61" i="34"/>
  <c r="G62" i="34"/>
  <c r="G73" i="24"/>
  <c r="I72" i="24"/>
  <c r="I71" i="25"/>
  <c r="G72" i="25"/>
  <c r="G61" i="32"/>
  <c r="I60" i="32"/>
  <c r="G72" i="19"/>
  <c r="I71" i="19"/>
  <c r="G60" i="33"/>
  <c r="I59" i="33"/>
  <c r="I59" i="31"/>
  <c r="G60" i="31"/>
  <c r="I71" i="17"/>
  <c r="G72" i="17"/>
  <c r="G60" i="30"/>
  <c r="I59" i="30"/>
  <c r="I74" i="35"/>
  <c r="G75" i="35"/>
  <c r="G77" i="36"/>
  <c r="I76" i="36"/>
  <c r="G54" i="39"/>
  <c r="I53" i="39"/>
  <c r="G381" i="25" l="1"/>
  <c r="I381" i="25" s="1"/>
  <c r="I380" i="25"/>
  <c r="G275" i="25"/>
  <c r="I274" i="25"/>
  <c r="G63" i="34"/>
  <c r="I62" i="34"/>
  <c r="G74" i="24"/>
  <c r="I73" i="24"/>
  <c r="G61" i="30"/>
  <c r="I60" i="30"/>
  <c r="G73" i="19"/>
  <c r="I72" i="19"/>
  <c r="G62" i="32"/>
  <c r="I61" i="32"/>
  <c r="G73" i="17"/>
  <c r="I72" i="17"/>
  <c r="G61" i="31"/>
  <c r="I60" i="31"/>
  <c r="G73" i="25"/>
  <c r="I72" i="25"/>
  <c r="I60" i="33"/>
  <c r="G61" i="33"/>
  <c r="G76" i="35"/>
  <c r="I75" i="35"/>
  <c r="G78" i="36"/>
  <c r="I77" i="36"/>
  <c r="G55" i="39"/>
  <c r="I54" i="39"/>
  <c r="G276" i="25" l="1"/>
  <c r="I275" i="25"/>
  <c r="G64" i="34"/>
  <c r="I63" i="34"/>
  <c r="I74" i="24"/>
  <c r="G75" i="24"/>
  <c r="I61" i="31"/>
  <c r="G62" i="31"/>
  <c r="G74" i="17"/>
  <c r="I73" i="17"/>
  <c r="G63" i="32"/>
  <c r="I62" i="32"/>
  <c r="I61" i="30"/>
  <c r="G62" i="30"/>
  <c r="I61" i="33"/>
  <c r="G62" i="33"/>
  <c r="I73" i="25"/>
  <c r="G74" i="25"/>
  <c r="I73" i="19"/>
  <c r="G74" i="19"/>
  <c r="I76" i="35"/>
  <c r="G77" i="35"/>
  <c r="G79" i="36"/>
  <c r="I78" i="36"/>
  <c r="G56" i="39"/>
  <c r="I55" i="39"/>
  <c r="G277" i="25" l="1"/>
  <c r="I276" i="25"/>
  <c r="G65" i="34"/>
  <c r="I64" i="34"/>
  <c r="G76" i="24"/>
  <c r="I75" i="24"/>
  <c r="I63" i="32"/>
  <c r="G64" i="32"/>
  <c r="G75" i="25"/>
  <c r="I74" i="25"/>
  <c r="G75" i="17"/>
  <c r="I74" i="17"/>
  <c r="G63" i="30"/>
  <c r="I62" i="30"/>
  <c r="G75" i="19"/>
  <c r="I74" i="19"/>
  <c r="G63" i="33"/>
  <c r="I62" i="33"/>
  <c r="I62" i="31"/>
  <c r="G63" i="31"/>
  <c r="G78" i="35"/>
  <c r="I77" i="35"/>
  <c r="I79" i="36"/>
  <c r="G80" i="36"/>
  <c r="G57" i="39"/>
  <c r="I56" i="39"/>
  <c r="G278" i="25" l="1"/>
  <c r="I277" i="25"/>
  <c r="I65" i="34"/>
  <c r="G66" i="34"/>
  <c r="G77" i="24"/>
  <c r="I76" i="24"/>
  <c r="I75" i="17"/>
  <c r="G76" i="17"/>
  <c r="I63" i="33"/>
  <c r="G64" i="33"/>
  <c r="I75" i="25"/>
  <c r="G76" i="25"/>
  <c r="G64" i="31"/>
  <c r="I63" i="31"/>
  <c r="G65" i="32"/>
  <c r="I64" i="32"/>
  <c r="I63" i="30"/>
  <c r="G64" i="30"/>
  <c r="G76" i="19"/>
  <c r="I75" i="19"/>
  <c r="I78" i="35"/>
  <c r="G79" i="35"/>
  <c r="G81" i="36"/>
  <c r="I80" i="36"/>
  <c r="I57" i="39"/>
  <c r="G58" i="39"/>
  <c r="G279" i="25" l="1"/>
  <c r="I278" i="25"/>
  <c r="I66" i="34"/>
  <c r="G67" i="34"/>
  <c r="G78" i="24"/>
  <c r="I77" i="24"/>
  <c r="G65" i="31"/>
  <c r="I64" i="31"/>
  <c r="I76" i="19"/>
  <c r="G77" i="19"/>
  <c r="I64" i="30"/>
  <c r="G65" i="30"/>
  <c r="I64" i="33"/>
  <c r="G65" i="33"/>
  <c r="I76" i="25"/>
  <c r="G77" i="25"/>
  <c r="G77" i="17"/>
  <c r="I76" i="17"/>
  <c r="G66" i="32"/>
  <c r="I65" i="32"/>
  <c r="G80" i="35"/>
  <c r="I79" i="35"/>
  <c r="G82" i="36"/>
  <c r="I81" i="36"/>
  <c r="G59" i="39"/>
  <c r="I58" i="39"/>
  <c r="G280" i="25" l="1"/>
  <c r="I279" i="25"/>
  <c r="G68" i="34"/>
  <c r="I67" i="34"/>
  <c r="I78" i="24"/>
  <c r="G79" i="24"/>
  <c r="G66" i="30"/>
  <c r="I65" i="30"/>
  <c r="I65" i="33"/>
  <c r="G66" i="33"/>
  <c r="G67" i="32"/>
  <c r="I66" i="32"/>
  <c r="I77" i="17"/>
  <c r="G78" i="17"/>
  <c r="G78" i="25"/>
  <c r="I77" i="25"/>
  <c r="I77" i="19"/>
  <c r="G78" i="19"/>
  <c r="G66" i="31"/>
  <c r="I65" i="31"/>
  <c r="I80" i="35"/>
  <c r="G81" i="35"/>
  <c r="G83" i="36"/>
  <c r="I82" i="36"/>
  <c r="G60" i="39"/>
  <c r="I59" i="39"/>
  <c r="G281" i="25" l="1"/>
  <c r="I280" i="25"/>
  <c r="G69" i="34"/>
  <c r="I68" i="34"/>
  <c r="I79" i="24"/>
  <c r="G80" i="24"/>
  <c r="I80" i="24" s="1"/>
  <c r="I66" i="31"/>
  <c r="G67" i="31"/>
  <c r="G68" i="32"/>
  <c r="I67" i="32"/>
  <c r="I78" i="17"/>
  <c r="G79" i="17"/>
  <c r="I78" i="19"/>
  <c r="G79" i="19"/>
  <c r="G67" i="33"/>
  <c r="I66" i="33"/>
  <c r="G79" i="25"/>
  <c r="I78" i="25"/>
  <c r="I66" i="30"/>
  <c r="G67" i="30"/>
  <c r="I81" i="35"/>
  <c r="G82" i="35"/>
  <c r="I83" i="36"/>
  <c r="G84" i="36"/>
  <c r="G61" i="39"/>
  <c r="I60" i="39"/>
  <c r="G282" i="25" l="1"/>
  <c r="I281" i="25"/>
  <c r="I69" i="34"/>
  <c r="G70" i="34"/>
  <c r="G80" i="17"/>
  <c r="I79" i="17"/>
  <c r="G80" i="19"/>
  <c r="I79" i="19"/>
  <c r="I67" i="30"/>
  <c r="G68" i="30"/>
  <c r="G80" i="25"/>
  <c r="I79" i="25"/>
  <c r="I68" i="32"/>
  <c r="G69" i="32"/>
  <c r="I67" i="31"/>
  <c r="G68" i="31"/>
  <c r="I67" i="33"/>
  <c r="G68" i="33"/>
  <c r="I82" i="35"/>
  <c r="G83" i="35"/>
  <c r="I84" i="36"/>
  <c r="G85" i="36"/>
  <c r="I61" i="39"/>
  <c r="G62" i="39"/>
  <c r="G283" i="25" l="1"/>
  <c r="I282" i="25"/>
  <c r="G71" i="34"/>
  <c r="I70" i="34"/>
  <c r="I80" i="25"/>
  <c r="G81" i="25"/>
  <c r="I68" i="30"/>
  <c r="G69" i="30"/>
  <c r="I68" i="33"/>
  <c r="G69" i="33"/>
  <c r="I68" i="31"/>
  <c r="G69" i="31"/>
  <c r="G81" i="19"/>
  <c r="I80" i="19"/>
  <c r="I69" i="32"/>
  <c r="G70" i="32"/>
  <c r="G81" i="17"/>
  <c r="I80" i="17"/>
  <c r="G84" i="35"/>
  <c r="I83" i="35"/>
  <c r="G86" i="36"/>
  <c r="I85" i="36"/>
  <c r="G63" i="39"/>
  <c r="I62" i="39"/>
  <c r="G284" i="25" l="1"/>
  <c r="I283" i="25"/>
  <c r="G72" i="34"/>
  <c r="I71" i="34"/>
  <c r="G70" i="33"/>
  <c r="I69" i="33"/>
  <c r="G82" i="17"/>
  <c r="I81" i="17"/>
  <c r="I69" i="31"/>
  <c r="G70" i="31"/>
  <c r="I70" i="32"/>
  <c r="G71" i="32"/>
  <c r="G70" i="30"/>
  <c r="I69" i="30"/>
  <c r="G82" i="25"/>
  <c r="I81" i="25"/>
  <c r="I81" i="19"/>
  <c r="G82" i="19"/>
  <c r="G85" i="35"/>
  <c r="I84" i="35"/>
  <c r="G87" i="36"/>
  <c r="I86" i="36"/>
  <c r="G64" i="39"/>
  <c r="I63" i="39"/>
  <c r="G285" i="25" l="1"/>
  <c r="I284" i="25"/>
  <c r="G73" i="34"/>
  <c r="I72" i="34"/>
  <c r="G72" i="32"/>
  <c r="I71" i="32"/>
  <c r="I82" i="19"/>
  <c r="G83" i="19"/>
  <c r="G83" i="25"/>
  <c r="I82" i="25"/>
  <c r="I82" i="17"/>
  <c r="G83" i="17"/>
  <c r="G71" i="31"/>
  <c r="I70" i="31"/>
  <c r="I70" i="30"/>
  <c r="G71" i="30"/>
  <c r="I70" i="33"/>
  <c r="G71" i="33"/>
  <c r="I85" i="35"/>
  <c r="G86" i="35"/>
  <c r="I87" i="36"/>
  <c r="G88" i="36"/>
  <c r="G65" i="39"/>
  <c r="I64" i="39"/>
  <c r="G286" i="25" l="1"/>
  <c r="I286" i="25" s="1"/>
  <c r="I285" i="25"/>
  <c r="I73" i="34"/>
  <c r="G74" i="34"/>
  <c r="G72" i="33"/>
  <c r="I71" i="33"/>
  <c r="I83" i="25"/>
  <c r="G84" i="25"/>
  <c r="I83" i="19"/>
  <c r="G84" i="19"/>
  <c r="I83" i="17"/>
  <c r="G84" i="17"/>
  <c r="I71" i="30"/>
  <c r="G72" i="30"/>
  <c r="G72" i="31"/>
  <c r="I71" i="31"/>
  <c r="I72" i="32"/>
  <c r="G73" i="32"/>
  <c r="G87" i="35"/>
  <c r="I86" i="35"/>
  <c r="I88" i="36"/>
  <c r="G89" i="36"/>
  <c r="I65" i="39"/>
  <c r="G66" i="39"/>
  <c r="G75" i="34" l="1"/>
  <c r="I74" i="34"/>
  <c r="G74" i="32"/>
  <c r="I73" i="32"/>
  <c r="G85" i="19"/>
  <c r="I84" i="19"/>
  <c r="I84" i="17"/>
  <c r="G85" i="17"/>
  <c r="I84" i="25"/>
  <c r="G85" i="25"/>
  <c r="G73" i="30"/>
  <c r="I72" i="30"/>
  <c r="I72" i="31"/>
  <c r="G73" i="31"/>
  <c r="G73" i="33"/>
  <c r="I72" i="33"/>
  <c r="G88" i="35"/>
  <c r="I87" i="35"/>
  <c r="G90" i="36"/>
  <c r="I89" i="36"/>
  <c r="G67" i="39"/>
  <c r="I66" i="39"/>
  <c r="G76" i="34" l="1"/>
  <c r="I75" i="34"/>
  <c r="G74" i="30"/>
  <c r="I73" i="30"/>
  <c r="G74" i="33"/>
  <c r="I73" i="33"/>
  <c r="G75" i="32"/>
  <c r="I74" i="32"/>
  <c r="I85" i="25"/>
  <c r="G86" i="25"/>
  <c r="G74" i="31"/>
  <c r="I73" i="31"/>
  <c r="G86" i="19"/>
  <c r="I85" i="19"/>
  <c r="I85" i="17"/>
  <c r="G86" i="17"/>
  <c r="G89" i="35"/>
  <c r="I88" i="35"/>
  <c r="G91" i="36"/>
  <c r="I90" i="36"/>
  <c r="G68" i="39"/>
  <c r="I67" i="39"/>
  <c r="G77" i="34" l="1"/>
  <c r="I76" i="34"/>
  <c r="I86" i="17"/>
  <c r="G87" i="17"/>
  <c r="G76" i="32"/>
  <c r="I75" i="32"/>
  <c r="I86" i="19"/>
  <c r="G87" i="19"/>
  <c r="G75" i="33"/>
  <c r="I74" i="33"/>
  <c r="G87" i="25"/>
  <c r="I86" i="25"/>
  <c r="I74" i="31"/>
  <c r="G75" i="31"/>
  <c r="G75" i="30"/>
  <c r="I74" i="30"/>
  <c r="G90" i="35"/>
  <c r="I89" i="35"/>
  <c r="I91" i="36"/>
  <c r="G92" i="36"/>
  <c r="G69" i="39"/>
  <c r="I68" i="39"/>
  <c r="I77" i="34" l="1"/>
  <c r="G78" i="34"/>
  <c r="I87" i="19"/>
  <c r="G88" i="19"/>
  <c r="G76" i="30"/>
  <c r="I75" i="30"/>
  <c r="I75" i="33"/>
  <c r="G76" i="33"/>
  <c r="G77" i="32"/>
  <c r="I76" i="32"/>
  <c r="I75" i="31"/>
  <c r="G76" i="31"/>
  <c r="G88" i="17"/>
  <c r="I87" i="17"/>
  <c r="G88" i="25"/>
  <c r="I87" i="25"/>
  <c r="I90" i="35"/>
  <c r="G91" i="35"/>
  <c r="I92" i="36"/>
  <c r="G93" i="36"/>
  <c r="I69" i="39"/>
  <c r="G70" i="39"/>
  <c r="G79" i="34" l="1"/>
  <c r="I78" i="34"/>
  <c r="I77" i="32"/>
  <c r="G78" i="32"/>
  <c r="G77" i="33"/>
  <c r="I76" i="33"/>
  <c r="I88" i="25"/>
  <c r="G89" i="25"/>
  <c r="I88" i="17"/>
  <c r="G89" i="17"/>
  <c r="G77" i="30"/>
  <c r="I76" i="30"/>
  <c r="I88" i="19"/>
  <c r="G89" i="19"/>
  <c r="I76" i="31"/>
  <c r="G77" i="31"/>
  <c r="I91" i="35"/>
  <c r="G92" i="35"/>
  <c r="G94" i="36"/>
  <c r="I93" i="36"/>
  <c r="G71" i="39"/>
  <c r="I70" i="39"/>
  <c r="G80" i="34" l="1"/>
  <c r="I79" i="34"/>
  <c r="I78" i="32"/>
  <c r="G79" i="32"/>
  <c r="G78" i="30"/>
  <c r="I77" i="30"/>
  <c r="G90" i="17"/>
  <c r="I89" i="17"/>
  <c r="I77" i="31"/>
  <c r="G78" i="31"/>
  <c r="G90" i="25"/>
  <c r="I89" i="25"/>
  <c r="G90" i="19"/>
  <c r="I89" i="19"/>
  <c r="I77" i="33"/>
  <c r="G78" i="33"/>
  <c r="I92" i="35"/>
  <c r="G93" i="35"/>
  <c r="G95" i="36"/>
  <c r="I94" i="36"/>
  <c r="G72" i="39"/>
  <c r="I71" i="39"/>
  <c r="G81" i="34" l="1"/>
  <c r="I80" i="34"/>
  <c r="G80" i="32"/>
  <c r="I79" i="32"/>
  <c r="G91" i="25"/>
  <c r="I90" i="25"/>
  <c r="G79" i="31"/>
  <c r="I78" i="31"/>
  <c r="G79" i="33"/>
  <c r="I78" i="33"/>
  <c r="G91" i="17"/>
  <c r="I90" i="17"/>
  <c r="G91" i="19"/>
  <c r="I90" i="19"/>
  <c r="G79" i="30"/>
  <c r="I78" i="30"/>
  <c r="G94" i="35"/>
  <c r="I93" i="35"/>
  <c r="I95" i="36"/>
  <c r="G96" i="36"/>
  <c r="G73" i="39"/>
  <c r="I72" i="39"/>
  <c r="I81" i="34" l="1"/>
  <c r="G82" i="34"/>
  <c r="I91" i="17"/>
  <c r="G92" i="17"/>
  <c r="G81" i="32"/>
  <c r="I80" i="32"/>
  <c r="G80" i="33"/>
  <c r="I79" i="33"/>
  <c r="G80" i="30"/>
  <c r="I79" i="30"/>
  <c r="G80" i="31"/>
  <c r="I79" i="31"/>
  <c r="G92" i="19"/>
  <c r="I91" i="19"/>
  <c r="G92" i="25"/>
  <c r="I91" i="25"/>
  <c r="I94" i="35"/>
  <c r="G95" i="35"/>
  <c r="I96" i="36"/>
  <c r="G97" i="36"/>
  <c r="I73" i="39"/>
  <c r="G74" i="39"/>
  <c r="G83" i="34" l="1"/>
  <c r="I82" i="34"/>
  <c r="I92" i="17"/>
  <c r="G93" i="17"/>
  <c r="G81" i="31"/>
  <c r="I80" i="31"/>
  <c r="I80" i="30"/>
  <c r="G81" i="30"/>
  <c r="I92" i="25"/>
  <c r="G93" i="25"/>
  <c r="I80" i="33"/>
  <c r="G81" i="33"/>
  <c r="I92" i="19"/>
  <c r="G93" i="19"/>
  <c r="G82" i="32"/>
  <c r="I81" i="32"/>
  <c r="G96" i="35"/>
  <c r="I95" i="35"/>
  <c r="G98" i="36"/>
  <c r="I97" i="36"/>
  <c r="G75" i="39"/>
  <c r="I74" i="39"/>
  <c r="G84" i="34" l="1"/>
  <c r="I83" i="34"/>
  <c r="G82" i="33"/>
  <c r="I81" i="33"/>
  <c r="I93" i="17"/>
  <c r="G94" i="17"/>
  <c r="G94" i="25"/>
  <c r="I93" i="25"/>
  <c r="G82" i="30"/>
  <c r="I81" i="30"/>
  <c r="G83" i="32"/>
  <c r="I82" i="32"/>
  <c r="G94" i="19"/>
  <c r="I93" i="19"/>
  <c r="I81" i="31"/>
  <c r="G82" i="31"/>
  <c r="I96" i="35"/>
  <c r="G97" i="35"/>
  <c r="G99" i="36"/>
  <c r="I98" i="36"/>
  <c r="G76" i="39"/>
  <c r="I75" i="39"/>
  <c r="G85" i="34" l="1"/>
  <c r="I84" i="34"/>
  <c r="G84" i="32"/>
  <c r="I83" i="32"/>
  <c r="G83" i="33"/>
  <c r="I82" i="33"/>
  <c r="I82" i="30"/>
  <c r="G83" i="30"/>
  <c r="I82" i="31"/>
  <c r="G83" i="31"/>
  <c r="G95" i="25"/>
  <c r="I94" i="25"/>
  <c r="I94" i="17"/>
  <c r="G95" i="17"/>
  <c r="G95" i="19"/>
  <c r="I94" i="19"/>
  <c r="I97" i="35"/>
  <c r="G98" i="35"/>
  <c r="I99" i="36"/>
  <c r="G100" i="36"/>
  <c r="G77" i="39"/>
  <c r="I76" i="39"/>
  <c r="I85" i="34" l="1"/>
  <c r="G86" i="34"/>
  <c r="G96" i="25"/>
  <c r="I95" i="25"/>
  <c r="G85" i="32"/>
  <c r="I84" i="32"/>
  <c r="G84" i="31"/>
  <c r="I83" i="31"/>
  <c r="G84" i="30"/>
  <c r="I83" i="30"/>
  <c r="G96" i="19"/>
  <c r="I95" i="19"/>
  <c r="I95" i="17"/>
  <c r="G96" i="17"/>
  <c r="G84" i="33"/>
  <c r="I83" i="33"/>
  <c r="I98" i="35"/>
  <c r="G99" i="35"/>
  <c r="G101" i="36"/>
  <c r="I100" i="36"/>
  <c r="I77" i="39"/>
  <c r="G78" i="39"/>
  <c r="I86" i="34" l="1"/>
  <c r="G87" i="34"/>
  <c r="G85" i="30"/>
  <c r="I84" i="30"/>
  <c r="G85" i="33"/>
  <c r="I84" i="33"/>
  <c r="I84" i="31"/>
  <c r="G85" i="31"/>
  <c r="G97" i="17"/>
  <c r="I96" i="17"/>
  <c r="G86" i="32"/>
  <c r="I85" i="32"/>
  <c r="I96" i="19"/>
  <c r="G97" i="19"/>
  <c r="G97" i="25"/>
  <c r="I96" i="25"/>
  <c r="I99" i="35"/>
  <c r="G100" i="35"/>
  <c r="G102" i="36"/>
  <c r="I101" i="36"/>
  <c r="G79" i="39"/>
  <c r="I78" i="39"/>
  <c r="G88" i="34" l="1"/>
  <c r="I87" i="34"/>
  <c r="G98" i="17"/>
  <c r="I97" i="17"/>
  <c r="G98" i="25"/>
  <c r="I97" i="25"/>
  <c r="G86" i="33"/>
  <c r="I85" i="33"/>
  <c r="I85" i="31"/>
  <c r="G86" i="31"/>
  <c r="G98" i="19"/>
  <c r="I97" i="19"/>
  <c r="G87" i="32"/>
  <c r="I86" i="32"/>
  <c r="I85" i="30"/>
  <c r="G86" i="30"/>
  <c r="G101" i="35"/>
  <c r="I100" i="35"/>
  <c r="G103" i="36"/>
  <c r="I102" i="36"/>
  <c r="G80" i="39"/>
  <c r="I79" i="39"/>
  <c r="G89" i="34" l="1"/>
  <c r="I88" i="34"/>
  <c r="G87" i="30"/>
  <c r="I86" i="30"/>
  <c r="G87" i="33"/>
  <c r="I86" i="33"/>
  <c r="G88" i="32"/>
  <c r="I87" i="32"/>
  <c r="G99" i="25"/>
  <c r="I98" i="25"/>
  <c r="I86" i="31"/>
  <c r="G87" i="31"/>
  <c r="G99" i="19"/>
  <c r="I98" i="19"/>
  <c r="G99" i="17"/>
  <c r="I98" i="17"/>
  <c r="I101" i="35"/>
  <c r="G102" i="35"/>
  <c r="I103" i="36"/>
  <c r="G104" i="36"/>
  <c r="G81" i="39"/>
  <c r="I80" i="39"/>
  <c r="I89" i="34" l="1"/>
  <c r="G90" i="34"/>
  <c r="I87" i="30"/>
  <c r="G88" i="30"/>
  <c r="G100" i="25"/>
  <c r="I99" i="25"/>
  <c r="G100" i="17"/>
  <c r="I99" i="17"/>
  <c r="I88" i="32"/>
  <c r="G89" i="32"/>
  <c r="G88" i="33"/>
  <c r="I87" i="33"/>
  <c r="I99" i="19"/>
  <c r="G100" i="19"/>
  <c r="G88" i="31"/>
  <c r="I87" i="31"/>
  <c r="G103" i="35"/>
  <c r="I102" i="35"/>
  <c r="I104" i="36"/>
  <c r="G105" i="36"/>
  <c r="I81" i="39"/>
  <c r="G82" i="39"/>
  <c r="G91" i="34" l="1"/>
  <c r="I90" i="34"/>
  <c r="G90" i="32"/>
  <c r="I89" i="32"/>
  <c r="I88" i="30"/>
  <c r="G89" i="30"/>
  <c r="I88" i="31"/>
  <c r="G89" i="31"/>
  <c r="G101" i="17"/>
  <c r="I100" i="17"/>
  <c r="I100" i="19"/>
  <c r="G101" i="19"/>
  <c r="G101" i="25"/>
  <c r="I100" i="25"/>
  <c r="I88" i="33"/>
  <c r="G89" i="33"/>
  <c r="I103" i="35"/>
  <c r="G104" i="35"/>
  <c r="G106" i="36"/>
  <c r="I105" i="36"/>
  <c r="G83" i="39"/>
  <c r="I82" i="39"/>
  <c r="G92" i="34" l="1"/>
  <c r="I91" i="34"/>
  <c r="G91" i="32"/>
  <c r="I90" i="32"/>
  <c r="G102" i="17"/>
  <c r="I101" i="17"/>
  <c r="G102" i="19"/>
  <c r="I101" i="19"/>
  <c r="I89" i="33"/>
  <c r="G90" i="33"/>
  <c r="G90" i="31"/>
  <c r="I89" i="31"/>
  <c r="G90" i="30"/>
  <c r="I89" i="30"/>
  <c r="I101" i="25"/>
  <c r="G102" i="25"/>
  <c r="I104" i="35"/>
  <c r="G105" i="35"/>
  <c r="G107" i="36"/>
  <c r="I106" i="36"/>
  <c r="G84" i="39"/>
  <c r="I83" i="39"/>
  <c r="G93" i="34" l="1"/>
  <c r="I92" i="34"/>
  <c r="I90" i="33"/>
  <c r="G91" i="33"/>
  <c r="I90" i="31"/>
  <c r="G91" i="31"/>
  <c r="I91" i="32"/>
  <c r="G92" i="32"/>
  <c r="I102" i="25"/>
  <c r="G103" i="25"/>
  <c r="G103" i="19"/>
  <c r="I102" i="19"/>
  <c r="G91" i="30"/>
  <c r="I90" i="30"/>
  <c r="I102" i="17"/>
  <c r="G103" i="17"/>
  <c r="I105" i="35"/>
  <c r="G106" i="35"/>
  <c r="G108" i="36"/>
  <c r="I107" i="36"/>
  <c r="G85" i="39"/>
  <c r="I85" i="39" s="1"/>
  <c r="I84" i="39"/>
  <c r="I93" i="34" l="1"/>
  <c r="G94" i="34"/>
  <c r="G104" i="17"/>
  <c r="I103" i="17"/>
  <c r="I92" i="32"/>
  <c r="G93" i="32"/>
  <c r="G104" i="25"/>
  <c r="I103" i="25"/>
  <c r="G92" i="31"/>
  <c r="I91" i="31"/>
  <c r="G92" i="30"/>
  <c r="I91" i="30"/>
  <c r="I91" i="33"/>
  <c r="G92" i="33"/>
  <c r="I103" i="19"/>
  <c r="G104" i="19"/>
  <c r="G107" i="35"/>
  <c r="I106" i="35"/>
  <c r="G109" i="36"/>
  <c r="I109" i="36" s="1"/>
  <c r="I108" i="36"/>
  <c r="G95" i="34" l="1"/>
  <c r="I94" i="34"/>
  <c r="G105" i="17"/>
  <c r="I105" i="17" s="1"/>
  <c r="I104" i="17"/>
  <c r="G93" i="31"/>
  <c r="I92" i="31"/>
  <c r="I104" i="19"/>
  <c r="G105" i="19"/>
  <c r="I92" i="30"/>
  <c r="G93" i="30"/>
  <c r="G105" i="25"/>
  <c r="I104" i="25"/>
  <c r="I92" i="33"/>
  <c r="G93" i="33"/>
  <c r="G94" i="32"/>
  <c r="I93" i="32"/>
  <c r="G108" i="35"/>
  <c r="I107" i="35"/>
  <c r="G96" i="34" l="1"/>
  <c r="I95" i="34"/>
  <c r="G106" i="19"/>
  <c r="I105" i="19"/>
  <c r="I94" i="32"/>
  <c r="G95" i="32"/>
  <c r="I93" i="31"/>
  <c r="G94" i="31"/>
  <c r="I93" i="30"/>
  <c r="G94" i="30"/>
  <c r="I93" i="33"/>
  <c r="G94" i="33"/>
  <c r="G106" i="25"/>
  <c r="I105" i="25"/>
  <c r="I108" i="35"/>
  <c r="G109" i="35"/>
  <c r="I109" i="35" s="1"/>
  <c r="G97" i="34" l="1"/>
  <c r="I97" i="34" s="1"/>
  <c r="I96" i="34"/>
  <c r="I94" i="31"/>
  <c r="G95" i="31"/>
  <c r="G95" i="30"/>
  <c r="I94" i="30"/>
  <c r="I95" i="32"/>
  <c r="G96" i="32"/>
  <c r="I106" i="25"/>
  <c r="G107" i="25"/>
  <c r="I94" i="33"/>
  <c r="G95" i="33"/>
  <c r="G107" i="19"/>
  <c r="I106" i="19"/>
  <c r="G97" i="32" l="1"/>
  <c r="I97" i="32" s="1"/>
  <c r="I96" i="32"/>
  <c r="G108" i="25"/>
  <c r="I107" i="25"/>
  <c r="G108" i="19"/>
  <c r="I107" i="19"/>
  <c r="G96" i="30"/>
  <c r="I95" i="30"/>
  <c r="G96" i="33"/>
  <c r="I95" i="33"/>
  <c r="G96" i="31"/>
  <c r="I95" i="31"/>
  <c r="I108" i="19" l="1"/>
  <c r="G109" i="19"/>
  <c r="I109" i="19" s="1"/>
  <c r="G97" i="31"/>
  <c r="I97" i="31" s="1"/>
  <c r="I96" i="31"/>
  <c r="G109" i="25"/>
  <c r="I108" i="25"/>
  <c r="G97" i="30"/>
  <c r="I97" i="30" s="1"/>
  <c r="I96" i="30"/>
  <c r="I96" i="33"/>
  <c r="G97" i="33"/>
  <c r="I97" i="33" s="1"/>
  <c r="I109" i="25" l="1"/>
  <c r="G110" i="25"/>
  <c r="I110" i="25" l="1"/>
  <c r="G111" i="25"/>
  <c r="G112" i="25" l="1"/>
  <c r="I111" i="25"/>
  <c r="G113" i="25" l="1"/>
  <c r="I112" i="25"/>
  <c r="I113" i="25" l="1"/>
  <c r="G114" i="25"/>
  <c r="I114" i="25" l="1"/>
  <c r="G115" i="25"/>
  <c r="I115" i="25" l="1"/>
  <c r="G116" i="25"/>
  <c r="I116" i="25" l="1"/>
  <c r="G117" i="25"/>
  <c r="G118" i="25" l="1"/>
  <c r="I117" i="25"/>
  <c r="I118" i="25" l="1"/>
  <c r="G119" i="25"/>
  <c r="G120" i="25" l="1"/>
  <c r="I119" i="25"/>
  <c r="G121" i="25" l="1"/>
  <c r="I120" i="25"/>
  <c r="I121" i="25" l="1"/>
  <c r="G122" i="25"/>
  <c r="I122" i="25" l="1"/>
  <c r="G123" i="25"/>
  <c r="G124" i="25" l="1"/>
  <c r="I124" i="25" s="1"/>
  <c r="AZ123" i="25"/>
  <c r="I123" i="2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Jan Willems</author>
    <author>tc={776AE718-40C0-461D-A75E-97F3169F1C88}</author>
  </authors>
  <commentList>
    <comment ref="G78" authorId="0" shapeId="0" xr:uid="{B42D5693-5019-4836-811E-8C70FAC38DAC}">
      <text>
        <r>
          <rPr>
            <b/>
            <sz val="9"/>
            <color indexed="81"/>
            <rFont val="Tahoma"/>
            <charset val="1"/>
          </rPr>
          <t>Jan Willems:</t>
        </r>
        <r>
          <rPr>
            <sz val="9"/>
            <color indexed="81"/>
            <rFont val="Tahoma"/>
            <charset val="1"/>
          </rPr>
          <t xml:space="preserve">
The array has 459,94 TB available but our agreement only allows us to use 198TB of it. When we go over, we will have to pay extra which we haven't bugetted for.
The contract will terminate in June '27. Invioces are being send by WWT to it-hosting-finops@cochlear.com DL.</t>
        </r>
      </text>
    </comment>
    <comment ref="E120" authorId="1" shapeId="0" xr:uid="{776AE718-40C0-461D-A75E-97F3169F1C88}">
      <text>
        <t>[Threaded comment]
Your version of Excel allows you to read this threaded comment; however, any edits to it will get removed if the file is opened in a newer version of Excel. Learn more: https://go.microsoft.com/fwlink/?linkid=870924
Comment:
    Pool1 utilization:
Captured from Jan 2024 onwards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Jan Willems</author>
  </authors>
  <commentList>
    <comment ref="A249" authorId="0" shapeId="0" xr:uid="{D7C3279F-1DE8-4E1F-BA81-B15D6DBC771E}">
      <text>
        <r>
          <rPr>
            <b/>
            <sz val="9"/>
            <color indexed="81"/>
            <rFont val="Tahoma"/>
            <charset val="1"/>
          </rPr>
          <t>Jan Willems:</t>
        </r>
        <r>
          <rPr>
            <sz val="9"/>
            <color indexed="81"/>
            <rFont val="Tahoma"/>
            <charset val="1"/>
          </rPr>
          <t xml:space="preserve">
10TB is PROD = 15 TB is nonPROD because of mirroring of drives is different between PROD &amp; nonPROD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tc={58046104-D9C1-4744-BB89-01D0008FDC52}</author>
  </authors>
  <commentList>
    <comment ref="E17" authorId="0" shapeId="0" xr:uid="{58046104-D9C1-4744-BB89-01D0008FDC52}">
      <text>
        <t>[Threaded comment]
Your version of Excel allows you to read this threaded comment; however, any edits to it will get removed if the file is opened in a newer version of Excel. Learn more: https://go.microsoft.com/fwlink/?linkid=870924
Comment:
    Cloud - EC2 has a different block size compared to on-prem</t>
      </text>
    </comment>
  </commentList>
</comments>
</file>

<file path=xl/sharedStrings.xml><?xml version="1.0" encoding="utf-8"?>
<sst xmlns="http://schemas.openxmlformats.org/spreadsheetml/2006/main" count="1027" uniqueCount="385">
  <si>
    <t>YoY growth =</t>
  </si>
  <si>
    <t>%</t>
  </si>
  <si>
    <t>Month</t>
  </si>
  <si>
    <t xml:space="preserve">Jan'22 </t>
  </si>
  <si>
    <t>Feb'22</t>
  </si>
  <si>
    <t>Mar'22</t>
  </si>
  <si>
    <t>Apr'22</t>
  </si>
  <si>
    <t>May'22</t>
  </si>
  <si>
    <t>Jun'22</t>
  </si>
  <si>
    <t>Jul'22</t>
  </si>
  <si>
    <t>Aug'22</t>
  </si>
  <si>
    <t>Sep'22</t>
  </si>
  <si>
    <t>Oct'22</t>
  </si>
  <si>
    <t>Nov'22</t>
  </si>
  <si>
    <t>Dec'22</t>
  </si>
  <si>
    <t>Jan'23</t>
  </si>
  <si>
    <t>Feb'23</t>
  </si>
  <si>
    <t>Mar'23</t>
  </si>
  <si>
    <t>Apr'23</t>
  </si>
  <si>
    <t>May'23</t>
  </si>
  <si>
    <t>Jun'23</t>
  </si>
  <si>
    <t>Jul'23</t>
  </si>
  <si>
    <t>Aug'23</t>
  </si>
  <si>
    <t>Sep'23</t>
  </si>
  <si>
    <t>Oct'23</t>
  </si>
  <si>
    <t>Nov'23</t>
  </si>
  <si>
    <t>Dec'23</t>
  </si>
  <si>
    <t>Jan'24</t>
  </si>
  <si>
    <t>TOTAL CAPACITY ON ARRAY (TB)</t>
  </si>
  <si>
    <t>TOTAL IN-USE ON ARRAY</t>
  </si>
  <si>
    <t>TOTAL AVAILABLE ON ARRAY</t>
  </si>
  <si>
    <t>Site</t>
  </si>
  <si>
    <t>Storage Unit</t>
  </si>
  <si>
    <t>Host group</t>
  </si>
  <si>
    <t>Workload type (Volume Group)</t>
  </si>
  <si>
    <r>
      <t xml:space="preserve">1.  From </t>
    </r>
    <r>
      <rPr>
        <b/>
        <sz val="11"/>
        <color rgb="FFFF0000"/>
        <rFont val="Calibri"/>
        <family val="2"/>
        <scheme val="minor"/>
      </rPr>
      <t>ARRAY</t>
    </r>
    <r>
      <rPr>
        <b/>
        <sz val="11"/>
        <color theme="1"/>
        <rFont val="Calibri"/>
        <family val="2"/>
        <scheme val="minor"/>
      </rPr>
      <t xml:space="preserve"> Level
2. Total </t>
    </r>
    <r>
      <rPr>
        <b/>
        <sz val="11"/>
        <color theme="7" tint="-0.249977111117893"/>
        <rFont val="Calibri"/>
        <family val="2"/>
        <scheme val="minor"/>
      </rPr>
      <t>USABLE</t>
    </r>
    <r>
      <rPr>
        <b/>
        <sz val="11"/>
        <color theme="1"/>
        <rFont val="Calibri"/>
        <family val="2"/>
        <scheme val="minor"/>
      </rPr>
      <t xml:space="preserve"> data
3. </t>
    </r>
    <r>
      <rPr>
        <b/>
        <sz val="11"/>
        <color rgb="FFFF0000"/>
        <rFont val="Calibri"/>
        <family val="2"/>
        <scheme val="minor"/>
      </rPr>
      <t>before</t>
    </r>
    <r>
      <rPr>
        <b/>
        <sz val="11"/>
        <color theme="1"/>
        <rFont val="Calibri"/>
        <family val="2"/>
        <scheme val="minor"/>
      </rPr>
      <t xml:space="preserve"> data-reduc.
4. in Tbyte</t>
    </r>
  </si>
  <si>
    <r>
      <t xml:space="preserve">1. Looking on </t>
    </r>
    <r>
      <rPr>
        <b/>
        <sz val="11"/>
        <color rgb="FFFF0000"/>
        <rFont val="Calibri"/>
        <family val="2"/>
        <scheme val="minor"/>
      </rPr>
      <t>Compute</t>
    </r>
    <r>
      <rPr>
        <b/>
        <sz val="11"/>
        <color theme="1"/>
        <rFont val="Calibri"/>
        <family val="2"/>
        <scheme val="minor"/>
      </rPr>
      <t xml:space="preserve"> level
2. Data-actual in-use
3. </t>
    </r>
    <r>
      <rPr>
        <b/>
        <sz val="11"/>
        <color rgb="FFFF0000"/>
        <rFont val="Calibri"/>
        <family val="2"/>
        <scheme val="minor"/>
      </rPr>
      <t>After</t>
    </r>
    <r>
      <rPr>
        <b/>
        <sz val="11"/>
        <color theme="1"/>
        <rFont val="Calibri"/>
        <family val="2"/>
        <scheme val="minor"/>
      </rPr>
      <t xml:space="preserve"> data-redu.
4. in Tbyte</t>
    </r>
  </si>
  <si>
    <t>MacPark</t>
  </si>
  <si>
    <t>M20</t>
  </si>
  <si>
    <t>CISCO-FlashStack (VMware)</t>
  </si>
  <si>
    <t>VMware - SQL - RDM</t>
  </si>
  <si>
    <t>aum-pc-prd01</t>
  </si>
  <si>
    <t>VMware - SRM</t>
  </si>
  <si>
    <t>VMware - VMFS</t>
  </si>
  <si>
    <t>CISCO-FlashStack (x86 RAC)</t>
  </si>
  <si>
    <t>X86-ORACLE-RAC-NWC-DR</t>
  </si>
  <si>
    <t>X86-ORACLE-RAC-NWC-NPRD</t>
  </si>
  <si>
    <t>X86-ORACLE-RAC-OS-APP-NPRD</t>
  </si>
  <si>
    <t>X86-ORACLE-RAC-WC-DEV</t>
  </si>
  <si>
    <t>X86-ORACLE-RAC-WC-DR</t>
  </si>
  <si>
    <t>X86-ORACLE-RAC-WC-TST</t>
  </si>
  <si>
    <t>11,6</t>
  </si>
  <si>
    <t>X86-ORACLE-RAC-WC-UAT</t>
  </si>
  <si>
    <t>SHARED</t>
  </si>
  <si>
    <t>SNAPSHOTS</t>
  </si>
  <si>
    <t>TOTAL IN-USE</t>
  </si>
  <si>
    <t>Story:</t>
  </si>
  <si>
    <t>TOTAL AVAILABLE</t>
  </si>
  <si>
    <t>* Dedup-rate isn't 4.5 due to "shared storage" Excluded. Including shared storage dedup-rate is 2.5</t>
  </si>
  <si>
    <t>% IN-USE Capacity</t>
  </si>
  <si>
    <t>* Cherwell UniCode - Environment required (CMS - SQL)</t>
  </si>
  <si>
    <t>* File-Services growing ==&gt; Read-Only and put new new stuff in TEAMS</t>
  </si>
  <si>
    <t>X50</t>
  </si>
  <si>
    <t>ORACLE-T8s</t>
  </si>
  <si>
    <t>ORACLE-ERPDEV01</t>
  </si>
  <si>
    <t>aum-pc-prd02</t>
  </si>
  <si>
    <t>ORACLE-T7s</t>
  </si>
  <si>
    <t>ORACLE-ERPDR01</t>
  </si>
  <si>
    <t>ORACLE-ERPEPE01</t>
  </si>
  <si>
    <t>ORACLE-ERPHRS01</t>
  </si>
  <si>
    <t>ORACLE-ERPHRS02</t>
  </si>
  <si>
    <t>ORACLE-ERPPRJ01</t>
  </si>
  <si>
    <t>ORACLE-ERPPRJ02</t>
  </si>
  <si>
    <t>ORACLE-ERPRES01 (Commvault ERP test lun)</t>
  </si>
  <si>
    <t>ORACLE-ERPRIM01</t>
  </si>
  <si>
    <t>ORACLE-ERPRIM02</t>
  </si>
  <si>
    <t>ORACLE-ERPSBX01</t>
  </si>
  <si>
    <t>ORACLE-NON-ERP-DEV</t>
  </si>
  <si>
    <t>ORACLE-NON-ERP-DR01</t>
  </si>
  <si>
    <t>ORACLE-NON-ERP-DR02</t>
  </si>
  <si>
    <t>ORACLE-T84-OS-APP</t>
  </si>
  <si>
    <t>VMWare - FILESERVERS</t>
  </si>
  <si>
    <t>DIRECT-FILESYSTEM (Software share + tests)</t>
  </si>
  <si>
    <t>MacPark (old NR)</t>
  </si>
  <si>
    <t>CISCO-FlashStack (VMWare)</t>
  </si>
  <si>
    <t>VMWare - SQL - RDM</t>
  </si>
  <si>
    <t>aum-pc-prd03</t>
  </si>
  <si>
    <t>Moved to MacPark in April</t>
  </si>
  <si>
    <t>CISCO-FlashStack (X86 RAC)</t>
  </si>
  <si>
    <t>X86-ORACLE-RAC-NWC-PRD</t>
  </si>
  <si>
    <t>X86-ORACLE-RAC-OS-APP-PRD</t>
  </si>
  <si>
    <t>X86-ORACLE-RAC-WC-PRD</t>
  </si>
  <si>
    <t>EQUINIX</t>
  </si>
  <si>
    <t>X20</t>
  </si>
  <si>
    <t>aus-pc-prd01</t>
  </si>
  <si>
    <t>X86-ORACLE-RAC-OS-AP-PRD</t>
  </si>
  <si>
    <t>Sep'22 &gt; from 17.2TiB to 35.50TiB</t>
  </si>
  <si>
    <t>CISCO-FlashStack</t>
  </si>
  <si>
    <t>aus-ps1</t>
  </si>
  <si>
    <t>SuperCluster</t>
  </si>
  <si>
    <t>ORACLE M7</t>
  </si>
  <si>
    <t>ORACLE ERP NON-PROD ausc01-dbdev01/02 (Max = 97TB)</t>
  </si>
  <si>
    <t>ORACLE ERP PROD ausc01-dbprd01/02 (Max = 43TB), 135.2TB after repartition</t>
  </si>
  <si>
    <t>Denver</t>
  </si>
  <si>
    <t>Unity NAS</t>
  </si>
  <si>
    <t>Type</t>
  </si>
  <si>
    <t>VMFS (Lenovo box)</t>
  </si>
  <si>
    <t>FileShare</t>
  </si>
  <si>
    <t>HyperFlex</t>
  </si>
  <si>
    <t>VMFS</t>
  </si>
  <si>
    <t>Mechelen</t>
  </si>
  <si>
    <t>VMFS - BEM-HX-PRD01</t>
  </si>
  <si>
    <t>VMFS - BEM-HX-PRD02</t>
  </si>
  <si>
    <t>Gothenburg</t>
  </si>
  <si>
    <t>Brisbane</t>
  </si>
  <si>
    <t>Weybridge</t>
  </si>
  <si>
    <t>Kuala Lumpur</t>
  </si>
  <si>
    <t>ChengDu</t>
  </si>
  <si>
    <t>Equinix  (12% YoY)</t>
  </si>
  <si>
    <t>Total Storage</t>
  </si>
  <si>
    <t>In Use</t>
  </si>
  <si>
    <t>Change (TB)</t>
  </si>
  <si>
    <t>Growth (%)</t>
  </si>
  <si>
    <t>Forecast</t>
  </si>
  <si>
    <t>In use (%)</t>
  </si>
  <si>
    <t>Forecast (%)</t>
  </si>
  <si>
    <t>Max %</t>
  </si>
  <si>
    <t>X20+M20</t>
  </si>
  <si>
    <t>NR Complete Migration (8.8TB migrated)</t>
  </si>
  <si>
    <t>Stabilized Data</t>
  </si>
  <si>
    <t>Order uplift to 35TB</t>
  </si>
  <si>
    <t>Implement X20 uplift to 35TB</t>
  </si>
  <si>
    <t>Renew maintenace M20 till Nov 24</t>
  </si>
  <si>
    <t>Remove M20- supported till Nov-23 (13TB)</t>
  </si>
  <si>
    <t xml:space="preserve">WChill DB 2 SQL - 1 Env. 15TB &gt; 5TB on disk </t>
  </si>
  <si>
    <t>Renew Support for M6</t>
  </si>
  <si>
    <t>From 12% to 8% increase (AWS)</t>
  </si>
  <si>
    <t>M6 End-of-Support not announced</t>
  </si>
  <si>
    <t>SuperCluster  (12% YoY)</t>
  </si>
  <si>
    <t>Changes</t>
  </si>
  <si>
    <t>EQ</t>
  </si>
  <si>
    <t>Jan-22</t>
  </si>
  <si>
    <t>Feb-22</t>
  </si>
  <si>
    <t>Mar-22</t>
  </si>
  <si>
    <t>Apr-22</t>
  </si>
  <si>
    <t>Some test environments werent refreshed</t>
  </si>
  <si>
    <t>May-22</t>
  </si>
  <si>
    <t>Jun-22</t>
  </si>
  <si>
    <t>Jul-22</t>
  </si>
  <si>
    <t>Aug-22</t>
  </si>
  <si>
    <t>Sep-22</t>
  </si>
  <si>
    <t>Oct-22</t>
  </si>
  <si>
    <t>Nov-22</t>
  </si>
  <si>
    <t>Dec-22</t>
  </si>
  <si>
    <t>Jan-23</t>
  </si>
  <si>
    <t>Feb-23</t>
  </si>
  <si>
    <t>Mar-23</t>
  </si>
  <si>
    <t>Apr-23</t>
  </si>
  <si>
    <t>May-23</t>
  </si>
  <si>
    <t>Jun-23</t>
  </si>
  <si>
    <t>Jul-23</t>
  </si>
  <si>
    <t>Aug-23</t>
  </si>
  <si>
    <t>Sep-23</t>
  </si>
  <si>
    <t>Oct-23</t>
  </si>
  <si>
    <t>Nov-23</t>
  </si>
  <si>
    <t>Dec-23</t>
  </si>
  <si>
    <t>Jan-24</t>
  </si>
  <si>
    <t>Feb-24</t>
  </si>
  <si>
    <t>Mar-24</t>
  </si>
  <si>
    <t>Apr-24</t>
  </si>
  <si>
    <t>May-24</t>
  </si>
  <si>
    <t>Jun-24</t>
  </si>
  <si>
    <t>Jul-24</t>
  </si>
  <si>
    <t>Aug-24</t>
  </si>
  <si>
    <t>Sep-24</t>
  </si>
  <si>
    <t>Oct-24</t>
  </si>
  <si>
    <t>Nov-24</t>
  </si>
  <si>
    <t>Dec-24</t>
  </si>
  <si>
    <t>Jan-25</t>
  </si>
  <si>
    <t>Feb-25</t>
  </si>
  <si>
    <t>Mar-25</t>
  </si>
  <si>
    <t>SuperCluster  data non-prod</t>
  </si>
  <si>
    <t>Oracle RAC Windchill Prod</t>
  </si>
  <si>
    <t>MacPark (12% YoY)</t>
  </si>
  <si>
    <t>X50+M20+M20</t>
  </si>
  <si>
    <t>Added NR M20</t>
  </si>
  <si>
    <t xml:space="preserve">Add Rimini ENV </t>
  </si>
  <si>
    <t>Removed staging Marketing Folder</t>
  </si>
  <si>
    <t>Migrate VNX - data1/MFG 10TB - Done</t>
  </si>
  <si>
    <t>Migrate VNX - data2/Marketing 15TB - sync 99%</t>
  </si>
  <si>
    <t>Migrate VNX - data2/Marketing 15TB - Done</t>
  </si>
  <si>
    <t>Remove EV Servers since re-hydration completed, -10TB - Done</t>
  </si>
  <si>
    <t>Move aun-nbm-prd01 &amp; coh-srv-nbm01 to MacPark</t>
  </si>
  <si>
    <t>Windchill 45TB front-end (3-DEV Env. each 9,3 TB on disk) (assum 1,6 compressed)</t>
  </si>
  <si>
    <t>from 15% to 8% increase</t>
  </si>
  <si>
    <t>End-support-contract AUM-PC-PRD03</t>
  </si>
  <si>
    <t>REPLACE FLASHSTACK</t>
  </si>
  <si>
    <t>Order new FlashStack</t>
  </si>
  <si>
    <t>End-support-contract AUM-PC-PRD01</t>
  </si>
  <si>
    <t>End-support-contract AUM-PC-PRD02</t>
  </si>
  <si>
    <t>Mechelen  (12% YoY)</t>
  </si>
  <si>
    <t>Order extra capacity</t>
  </si>
  <si>
    <t>Add 40 TB to HX</t>
  </si>
  <si>
    <t>Consolidate Toulouse 1TB</t>
  </si>
  <si>
    <t>Consolidate Vienna 1TB</t>
  </si>
  <si>
    <t>Consolidate Bologna 1TB</t>
  </si>
  <si>
    <t>Consolidate Istanbul 1TB</t>
  </si>
  <si>
    <t>Consolidate Dubai 1TB</t>
  </si>
  <si>
    <t>Consolidate Hanover 3TB</t>
  </si>
  <si>
    <t>Consolidate Basel 9TB</t>
  </si>
  <si>
    <t>from 12% to 8% increase</t>
  </si>
  <si>
    <t>Denver (12% YoY)</t>
  </si>
  <si>
    <t>Add 10TB Marketing (option-Consumer NAS)</t>
  </si>
  <si>
    <t>Rehydrate 8TB from CV-archive</t>
  </si>
  <si>
    <t>Move 7TB FileServices to AWS or HQ</t>
  </si>
  <si>
    <t>Initial HX is 8 years old</t>
  </si>
  <si>
    <t>USD-UNITY-PRD01 File service</t>
  </si>
  <si>
    <t>Gothenburg (12% YoY)</t>
  </si>
  <si>
    <t>Add OTICON GOT 3TB</t>
  </si>
  <si>
    <t>Move 10TB FileServices to AWS</t>
  </si>
  <si>
    <t>Does Cisco support till this date ?</t>
  </si>
  <si>
    <t>Brisbane (12% YoY)</t>
  </si>
  <si>
    <t>Kuala Lumpur (12% YoY)</t>
  </si>
  <si>
    <t>Chengdu (12% YoY)</t>
  </si>
  <si>
    <t>Weybridge (12% YoY)</t>
  </si>
  <si>
    <t>TOTAL Commavault S3 cost</t>
  </si>
  <si>
    <t>Region</t>
  </si>
  <si>
    <t>s3 bucket</t>
  </si>
  <si>
    <t>ap-southeast-2</t>
  </si>
  <si>
    <t>Sydney</t>
  </si>
  <si>
    <t>aum-backup-commvault-01</t>
  </si>
  <si>
    <t>aum-backup-commvault-02</t>
  </si>
  <si>
    <t>aub-backup-commvault-01</t>
  </si>
  <si>
    <t>aps2-commvault-backup-str-01</t>
  </si>
  <si>
    <t>aps2-commvault-backup-ltr-im-01</t>
  </si>
  <si>
    <t>aps2-commvault-backup-ltr-im-01-ddb512kb</t>
  </si>
  <si>
    <t>aps2-commvault-backup-ltr-yearly-7y-01</t>
  </si>
  <si>
    <t>aps2-commvault-backup-ltr-yearly-15y-01</t>
  </si>
  <si>
    <t>aps2-commvault-backup-ltr-yearly-infinite-01</t>
  </si>
  <si>
    <t>TOTAL cost</t>
  </si>
  <si>
    <t>ap-east-1</t>
  </si>
  <si>
    <t>Hong Kong</t>
  </si>
  <si>
    <t>ap-east-1-backup-commvault-01</t>
  </si>
  <si>
    <t>cnc-backup-commvault-01</t>
  </si>
  <si>
    <t>ap-southeast-1</t>
  </si>
  <si>
    <t>Singapore</t>
  </si>
  <si>
    <t>myk-backup-commvault-01</t>
  </si>
  <si>
    <t>eu-west-3</t>
  </si>
  <si>
    <t>Paris</t>
  </si>
  <si>
    <t>bem-backup-commvault-01</t>
  </si>
  <si>
    <t>eu-north-1</t>
  </si>
  <si>
    <t>Stockholm</t>
  </si>
  <si>
    <t>seg-backup-commvault-01</t>
  </si>
  <si>
    <t>eu-central-1</t>
  </si>
  <si>
    <t>Frankfurt</t>
  </si>
  <si>
    <t>euc1-commvault-backup-sf-01</t>
  </si>
  <si>
    <t>us-west-2</t>
  </si>
  <si>
    <t>Oregon</t>
  </si>
  <si>
    <t>usd-backup-commvault-01</t>
  </si>
  <si>
    <t>usd-backup-commvault-laptops-01</t>
  </si>
  <si>
    <t>usd-backup-commvault-usd-fps-prd01</t>
  </si>
  <si>
    <t>S3 All Regions (10% YoY)</t>
  </si>
  <si>
    <t>Cost ($)</t>
  </si>
  <si>
    <t>Change ($)</t>
  </si>
  <si>
    <t>Forecast ($)</t>
  </si>
  <si>
    <t>End of year ltr-2y and ltr-infinite copies happened in Dec. Expecting a higher rate of usage till 120 days since Nov, where thhe ramp up will stabilize in Marc</t>
  </si>
  <si>
    <t>Expecting 2 y quarter copies increase</t>
  </si>
  <si>
    <t>Expecting 2 y quarter copies increase + Expecting year end copies for ltr-7 + ltr-infinite</t>
  </si>
  <si>
    <t>% IN-USE Capacity (Raw data)</t>
  </si>
  <si>
    <t>% IN-USE Capacity (Dedup and compression)</t>
  </si>
  <si>
    <t>USD-UNITY-PRD01 POOL1</t>
  </si>
  <si>
    <t>USD-UNITY-PRD01 UNS</t>
  </si>
  <si>
    <t>AU Brisbane</t>
  </si>
  <si>
    <t>BE Mechelen</t>
  </si>
  <si>
    <t>MY KL</t>
  </si>
  <si>
    <t>US Denver</t>
  </si>
  <si>
    <t>usd-backup-commvault-01
usd-backup-commvault-usd-fps-prd01</t>
  </si>
  <si>
    <t>aum-backup-commvault-01
aum-backup-commvault-02</t>
  </si>
  <si>
    <t>Feb'24</t>
  </si>
  <si>
    <t>AU Equinix/AU MacPark</t>
  </si>
  <si>
    <t>CN Chengdu</t>
  </si>
  <si>
    <t>SE Gothenburg</t>
  </si>
  <si>
    <t>10% YOY growth</t>
  </si>
  <si>
    <t>Description</t>
  </si>
  <si>
    <t>Possible growth in BEM after Neuralik addition</t>
  </si>
  <si>
    <t>2year - quarterly increase</t>
  </si>
  <si>
    <t>2year - quarterly increase + Yearly Increase</t>
  </si>
  <si>
    <t>Increase in SQL + Oracle DB</t>
  </si>
  <si>
    <t>AWS EC2</t>
  </si>
  <si>
    <t>No significant AWS workload for Prod</t>
  </si>
  <si>
    <t>Will increase until 120 day lock. Ensure there is a sanity check - the old silo is deleted</t>
  </si>
  <si>
    <t>aps2-commvault-backup-quarterly-2y-01
aps2-commvault-backup-quarterly-2y-01-ddb512kb
aps2-commvault-backup-ltr-yearly-7y-01
aps2-commvault-backup-ltr-yearly-15y-01
aps2-commvault-backup-ltr-yearly-infinite-01</t>
  </si>
  <si>
    <t>Mar'24</t>
  </si>
  <si>
    <t>Apr'24</t>
  </si>
  <si>
    <t>May'24</t>
  </si>
  <si>
    <t>Jun'24</t>
  </si>
  <si>
    <t>July'24</t>
  </si>
  <si>
    <t>Aug'24</t>
  </si>
  <si>
    <t>Sep'24</t>
  </si>
  <si>
    <t>Oct'24</t>
  </si>
  <si>
    <t>Nov'24</t>
  </si>
  <si>
    <t>Dec'24</t>
  </si>
  <si>
    <t>Jan'25</t>
  </si>
  <si>
    <t>(retired on Nov'23)</t>
  </si>
  <si>
    <t>Monthly 
Expense</t>
  </si>
  <si>
    <t>Forecasted 
Monthly Expense</t>
  </si>
  <si>
    <t>AU Equinix/
AU MacPark</t>
  </si>
  <si>
    <t>eur-backup-commvault-sf-01</t>
  </si>
  <si>
    <t>Added more capacity with CR38226 (16TB)</t>
  </si>
  <si>
    <t>VMWare - VMFS</t>
  </si>
  <si>
    <t>VMWare - RDM</t>
  </si>
  <si>
    <t>Delete old SAP environment</t>
  </si>
  <si>
    <t>Jul'24</t>
  </si>
  <si>
    <t>Refreshed BIEUAT01 env and additional 2TB required</t>
  </si>
  <si>
    <t>Move AUM-FPS-PRD03 from aum-pc-prd02 to aum-pc-prd03. New ERPTST01 env with snapclone. Windchill DR env after re-vaulting.</t>
  </si>
  <si>
    <t>Jun'25</t>
  </si>
  <si>
    <t>ORACLE-ERPTST01</t>
  </si>
  <si>
    <t>Vmware - RDM</t>
  </si>
  <si>
    <t>Vmware - FILESERVER</t>
  </si>
  <si>
    <t>aps2-commvault-backup-ltr-quarterly-2y-01</t>
  </si>
  <si>
    <t>aps2-commvault-backup-ltr-quarterly-2y-01-ddb512kb</t>
  </si>
  <si>
    <t>euc1-commvault-backup-ltr-im-01</t>
  </si>
  <si>
    <t>euc1-commvault-backup-ltr-quarterly-2y-01</t>
  </si>
  <si>
    <t>euc1-commvault-backup-ltr-yearly-7y-01</t>
  </si>
  <si>
    <t>euc1-commvault-backup-ltr-yearly-infinite-01</t>
  </si>
  <si>
    <t>euc1-commvault-backup-ltr-yearly-15y-01</t>
  </si>
  <si>
    <t>usw2-commvault-backup-ltr-yearly-infinite-01</t>
  </si>
  <si>
    <t>usw2-commvault-backup-ltr-quarterly-2y-01</t>
  </si>
  <si>
    <t>usw2-commvault-backup-ltr-yearly-15y-01</t>
  </si>
  <si>
    <t>usw2-commvault-backup-ltr-yearly-7y-01</t>
  </si>
  <si>
    <t>usw2-commvault-backup-ltr-im-01</t>
  </si>
  <si>
    <t>euc1-commvault-backup-ltr-quarterly-2y-01
euc1-commvault-backup-ltr-yearly-7y-01
euc1-commvault-backup-ltr-yearly-infinite-01
euc1-commvault-backup-ltr-yearly-15y-01</t>
  </si>
  <si>
    <t>usw2-commvault-backup-ltr-yearly-infinite-01
usw2-commvault-backup-ltr-quarterly-2y-01
usw2-commvault-backup-ltr-yearly-15y-01
usw2-commvault-backup-ltr-yearly-7y-01</t>
  </si>
  <si>
    <t>EU BEM / EU SEG</t>
  </si>
  <si>
    <t>Sept'24</t>
  </si>
  <si>
    <t>ORACLE ACS to re-balance volumes on SC</t>
  </si>
  <si>
    <t>Renew Cisco HW to a Managed Service Vendor</t>
  </si>
  <si>
    <t>Feb'25</t>
  </si>
  <si>
    <t>Mar'25</t>
  </si>
  <si>
    <t>Apr'25</t>
  </si>
  <si>
    <t>May'25</t>
  </si>
  <si>
    <t>Jul'25</t>
  </si>
  <si>
    <t>Aug'25</t>
  </si>
  <si>
    <t>Sept'25</t>
  </si>
  <si>
    <t>Oct'25</t>
  </si>
  <si>
    <t>Nov'25</t>
  </si>
  <si>
    <t>Dec'25</t>
  </si>
  <si>
    <t>Add 10 TB to HX</t>
  </si>
  <si>
    <t>Added 11TB usable into DATA Volume</t>
  </si>
  <si>
    <t xml:space="preserve">Added drives (11TB), from 129 to 140 total available </t>
  </si>
  <si>
    <t>Remove the TST02 from non-prod</t>
  </si>
  <si>
    <t>Remove the Oracle Windchill RAC</t>
  </si>
  <si>
    <t>SuperCluster data prod</t>
  </si>
  <si>
    <t>Rimini has allocated an extra 2 TB data-file into DB.</t>
  </si>
  <si>
    <t>Vmware-FILESERVER</t>
  </si>
  <si>
    <t>Apr-25</t>
  </si>
  <si>
    <t>ORACLE-ERPUAT01</t>
  </si>
  <si>
    <t>May-25</t>
  </si>
  <si>
    <t>Jun-25</t>
  </si>
  <si>
    <t>Jul-25</t>
  </si>
  <si>
    <t>Aug-25</t>
  </si>
  <si>
    <t>Sep-25</t>
  </si>
  <si>
    <t>Oct-25</t>
  </si>
  <si>
    <t>Nov-25</t>
  </si>
  <si>
    <t>Dec-25</t>
  </si>
  <si>
    <t>Sep'25</t>
  </si>
  <si>
    <t>ACS rebalance &gt; 18 TB from NON-PROD to PROD Volume</t>
  </si>
  <si>
    <t>ACS rebalance &gt; remove 25 TB from NonProd to PROD</t>
  </si>
  <si>
    <t>Jan'26</t>
  </si>
  <si>
    <t>Feb'26</t>
  </si>
  <si>
    <t>Mar'26</t>
  </si>
  <si>
    <t>Apr'26</t>
  </si>
  <si>
    <t>May'26</t>
  </si>
  <si>
    <t>Jun'26</t>
  </si>
  <si>
    <t>Jul'26</t>
  </si>
  <si>
    <t>Aug'26</t>
  </si>
  <si>
    <t>Sept'26</t>
  </si>
  <si>
    <t>Oct'26</t>
  </si>
  <si>
    <t>Nov'26</t>
  </si>
  <si>
    <t>Dec'26</t>
  </si>
  <si>
    <t>ORACLE-T74-OS-APP</t>
  </si>
  <si>
    <t>Consolidate Mexico / Panama = 1TB each</t>
  </si>
  <si>
    <t>aum-pc-prd05</t>
  </si>
  <si>
    <t>C40</t>
  </si>
  <si>
    <t>Add aum-pc-prd05 - 459.94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</si>
</sst>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_(&quot;$&quot;* \(#,##0.00\);_(&quot;$&quot;* &quot;-&quot;??_);_(@_)"/>
    <numFmt numFmtId="164" formatCode="0.0"/>
    <numFmt numFmtId="165" formatCode="&quot;$&quot;#,##0"/>
    <numFmt numFmtId="166" formatCode="_(&quot;$&quot;* #,##0_);_(&quot;$&quot;* \(#,##0\);_(&quot;$&quot;* &quot;-&quot;??_);_(@_)"/>
    <numFmt numFmtId="167" formatCode="[$-409]mmm\-yy;@"/>
    <numFmt numFmtId="168" formatCode="0.0000"/>
  </numFmts>
  <fonts count="21" x14ac:knownFonts="1">
    <font>
      <sz val="11"/>
      <color theme="1"/>
      <name val="Calibri"/>
      <family val="2"/>
      <scheme val="minor"/>
    </font>
    <font>
      <b/>
      <sz val="11"/>
      <color theme="1"/>
      <name val="Calibri"/>
      <family val="2"/>
      <scheme val="minor"/>
    </font>
    <font>
      <b/>
      <sz val="11"/>
      <color rgb="FFFF0000"/>
      <name val="Calibri"/>
      <family val="2"/>
      <scheme val="minor"/>
    </font>
    <font>
      <sz val="11"/>
      <name val="Calibri"/>
      <family val="2"/>
      <scheme val="minor"/>
    </font>
    <font>
      <sz val="11"/>
      <color rgb="FF00B050"/>
      <name val="Calibri"/>
      <family val="2"/>
      <scheme val="minor"/>
    </font>
    <font>
      <b/>
      <sz val="11"/>
      <color theme="7" tint="-0.249977111117893"/>
      <name val="Calibri"/>
      <family val="2"/>
      <scheme val="minor"/>
    </font>
    <font>
      <sz val="11"/>
      <color rgb="FF7030A0"/>
      <name val="Calibri"/>
      <family val="2"/>
      <scheme val="minor"/>
    </font>
    <font>
      <sz val="11"/>
      <color theme="1"/>
      <name val="Calibri"/>
      <family val="2"/>
      <scheme val="minor"/>
    </font>
    <font>
      <sz val="11"/>
      <color rgb="FFFF0000"/>
      <name val="Calibri"/>
      <family val="2"/>
      <scheme val="minor"/>
    </font>
    <font>
      <sz val="8"/>
      <name val="Calibri"/>
      <family val="2"/>
      <scheme val="minor"/>
    </font>
    <font>
      <sz val="11"/>
      <color theme="7" tint="-0.499984740745262"/>
      <name val="Calibri"/>
      <family val="2"/>
      <scheme val="minor"/>
    </font>
    <font>
      <sz val="11"/>
      <color theme="8"/>
      <name val="Calibri"/>
      <family val="2"/>
      <scheme val="minor"/>
    </font>
    <font>
      <b/>
      <sz val="11"/>
      <color theme="8"/>
      <name val="Calibri"/>
      <family val="2"/>
      <scheme val="minor"/>
    </font>
    <font>
      <sz val="11"/>
      <color rgb="FF000000"/>
      <name val="Calibri"/>
      <family val="2"/>
    </font>
    <font>
      <sz val="8"/>
      <color rgb="FF000000"/>
      <name val="Arial"/>
      <family val="2"/>
    </font>
    <font>
      <sz val="8"/>
      <color theme="1"/>
      <name val="Calibri"/>
      <family val="2"/>
      <scheme val="minor"/>
    </font>
    <font>
      <sz val="10"/>
      <color rgb="FF000000"/>
      <name val="Arial"/>
      <family val="2"/>
    </font>
    <font>
      <sz val="10"/>
      <color rgb="FF000000"/>
      <name val="Arial"/>
    </font>
    <font>
      <b/>
      <sz val="9"/>
      <color indexed="81"/>
      <name val="Tahoma"/>
      <charset val="1"/>
    </font>
    <font>
      <sz val="9"/>
      <color indexed="81"/>
      <name val="Tahoma"/>
      <charset val="1"/>
    </font>
    <font>
      <sz val="11"/>
      <color theme="1"/>
      <name val="Arial"/>
      <family val="2"/>
    </font>
  </fonts>
  <fills count="9">
    <fill>
      <patternFill patternType="none"/>
    </fill>
    <fill>
      <patternFill patternType="gray125"/>
    </fill>
    <fill>
      <patternFill patternType="solid">
        <fgColor theme="0" tint="-0.14999847407452621"/>
        <bgColor indexed="64"/>
      </patternFill>
    </fill>
    <fill>
      <patternFill patternType="solid">
        <fgColor rgb="FFFFC000"/>
        <bgColor indexed="64"/>
      </patternFill>
    </fill>
    <fill>
      <patternFill patternType="solid">
        <fgColor theme="0" tint="-0.249977111117893"/>
        <bgColor indexed="64"/>
      </patternFill>
    </fill>
    <fill>
      <patternFill patternType="solid">
        <fgColor rgb="FFFFFF00"/>
        <bgColor indexed="64"/>
      </patternFill>
    </fill>
    <fill>
      <patternFill patternType="solid">
        <fgColor theme="7" tint="0.59999389629810485"/>
        <bgColor indexed="64"/>
      </patternFill>
    </fill>
    <fill>
      <patternFill patternType="solid">
        <fgColor theme="7" tint="0.79998168889431442"/>
        <bgColor indexed="64"/>
      </patternFill>
    </fill>
    <fill>
      <patternFill patternType="solid">
        <fgColor theme="0"/>
        <bgColor indexed="64"/>
      </patternFill>
    </fill>
  </fills>
  <borders count="11">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rgb="FF000000"/>
      </top>
      <bottom/>
      <diagonal/>
    </border>
    <border>
      <left/>
      <right/>
      <top style="medium">
        <color auto="1"/>
      </top>
      <bottom style="medium">
        <color auto="1"/>
      </bottom>
      <diagonal/>
    </border>
  </borders>
  <cellStyleXfs count="3">
    <xf numFmtId="0" fontId="0" fillId="0" borderId="0"/>
    <xf numFmtId="9" fontId="7" fillId="0" borderId="0" applyFont="0" applyFill="0" applyBorder="0" applyAlignment="0" applyProtection="0"/>
    <xf numFmtId="44" fontId="7" fillId="0" borderId="0" applyFont="0" applyFill="0" applyBorder="0" applyAlignment="0" applyProtection="0"/>
  </cellStyleXfs>
  <cellXfs count="127">
    <xf numFmtId="0" fontId="0" fillId="0" borderId="0" xfId="0"/>
    <xf numFmtId="164" fontId="0" fillId="0" borderId="0" xfId="0" applyNumberFormat="1" applyAlignment="1">
      <alignment horizontal="right"/>
    </xf>
    <xf numFmtId="0" fontId="0" fillId="0" borderId="0" xfId="0" applyAlignment="1">
      <alignment horizontal="right"/>
    </xf>
    <xf numFmtId="0" fontId="1" fillId="2" borderId="0" xfId="0" applyFont="1" applyFill="1" applyAlignment="1">
      <alignment vertical="top"/>
    </xf>
    <xf numFmtId="0" fontId="0" fillId="0" borderId="0" xfId="0" applyAlignment="1">
      <alignment vertical="top"/>
    </xf>
    <xf numFmtId="0" fontId="3" fillId="3" borderId="0" xfId="0" applyFont="1" applyFill="1"/>
    <xf numFmtId="0" fontId="3" fillId="3" borderId="0" xfId="0" applyFont="1" applyFill="1" applyAlignment="1">
      <alignment horizontal="right"/>
    </xf>
    <xf numFmtId="0" fontId="1" fillId="2" borderId="0" xfId="0" applyFont="1" applyFill="1" applyAlignment="1">
      <alignment horizontal="left" vertical="top" wrapText="1"/>
    </xf>
    <xf numFmtId="2" fontId="0" fillId="0" borderId="0" xfId="0" applyNumberFormat="1"/>
    <xf numFmtId="2" fontId="0" fillId="0" borderId="0" xfId="0" applyNumberFormat="1" applyAlignment="1">
      <alignment horizontal="right"/>
    </xf>
    <xf numFmtId="0" fontId="0" fillId="0" borderId="2" xfId="0" applyBorder="1"/>
    <xf numFmtId="2" fontId="0" fillId="0" borderId="2" xfId="0" applyNumberFormat="1" applyBorder="1" applyAlignment="1">
      <alignment horizontal="right"/>
    </xf>
    <xf numFmtId="164" fontId="0" fillId="0" borderId="2" xfId="0" applyNumberFormat="1" applyBorder="1" applyAlignment="1">
      <alignment horizontal="right"/>
    </xf>
    <xf numFmtId="164" fontId="0" fillId="0" borderId="3" xfId="0" applyNumberFormat="1" applyBorder="1" applyAlignment="1">
      <alignment horizontal="right"/>
    </xf>
    <xf numFmtId="0" fontId="0" fillId="0" borderId="4" xfId="0" applyBorder="1"/>
    <xf numFmtId="164" fontId="0" fillId="0" borderId="5" xfId="0" applyNumberFormat="1" applyBorder="1" applyAlignment="1">
      <alignment horizontal="right"/>
    </xf>
    <xf numFmtId="0" fontId="0" fillId="2" borderId="0" xfId="0" applyFill="1"/>
    <xf numFmtId="164" fontId="0" fillId="2" borderId="0" xfId="0" applyNumberFormat="1" applyFill="1" applyAlignment="1">
      <alignment horizontal="right"/>
    </xf>
    <xf numFmtId="164" fontId="0" fillId="2" borderId="5" xfId="0" applyNumberFormat="1" applyFill="1" applyBorder="1" applyAlignment="1">
      <alignment horizontal="right"/>
    </xf>
    <xf numFmtId="0" fontId="0" fillId="2" borderId="4" xfId="0" applyFill="1" applyBorder="1"/>
    <xf numFmtId="0" fontId="0" fillId="0" borderId="6" xfId="0" applyBorder="1"/>
    <xf numFmtId="0" fontId="0" fillId="0" borderId="7" xfId="0" applyBorder="1"/>
    <xf numFmtId="0" fontId="0" fillId="2" borderId="7" xfId="0" applyFill="1" applyBorder="1"/>
    <xf numFmtId="9" fontId="0" fillId="2" borderId="7" xfId="0" applyNumberFormat="1" applyFill="1" applyBorder="1" applyAlignment="1">
      <alignment horizontal="right"/>
    </xf>
    <xf numFmtId="164" fontId="0" fillId="2" borderId="7" xfId="0" applyNumberFormat="1" applyFill="1" applyBorder="1" applyAlignment="1">
      <alignment horizontal="right"/>
    </xf>
    <xf numFmtId="164" fontId="0" fillId="2" borderId="8" xfId="0" applyNumberFormat="1" applyFill="1" applyBorder="1" applyAlignment="1">
      <alignment horizontal="right"/>
    </xf>
    <xf numFmtId="0" fontId="4" fillId="0" borderId="2" xfId="0" applyFont="1" applyBorder="1" applyAlignment="1">
      <alignment vertical="center" wrapText="1"/>
    </xf>
    <xf numFmtId="0" fontId="0" fillId="0" borderId="2" xfId="0" applyBorder="1" applyAlignment="1">
      <alignment vertical="center" wrapText="1"/>
    </xf>
    <xf numFmtId="0" fontId="0" fillId="0" borderId="3" xfId="0" applyBorder="1"/>
    <xf numFmtId="0" fontId="0" fillId="0" borderId="5" xfId="0" applyBorder="1"/>
    <xf numFmtId="0" fontId="6" fillId="0" borderId="4" xfId="0" applyFont="1" applyBorder="1"/>
    <xf numFmtId="0" fontId="6" fillId="2" borderId="7" xfId="0" applyFont="1" applyFill="1" applyBorder="1" applyAlignment="1">
      <alignment horizontal="right"/>
    </xf>
    <xf numFmtId="0" fontId="3" fillId="3" borderId="0" xfId="0" applyFont="1" applyFill="1" applyAlignment="1">
      <alignment horizontal="left"/>
    </xf>
    <xf numFmtId="0" fontId="0" fillId="4" borderId="4" xfId="0" applyFill="1" applyBorder="1"/>
    <xf numFmtId="0" fontId="0" fillId="4" borderId="0" xfId="0" applyFill="1"/>
    <xf numFmtId="164" fontId="0" fillId="4" borderId="0" xfId="0" applyNumberFormat="1" applyFill="1" applyAlignment="1">
      <alignment horizontal="right"/>
    </xf>
    <xf numFmtId="164" fontId="0" fillId="4" borderId="5" xfId="0" applyNumberFormat="1" applyFill="1" applyBorder="1" applyAlignment="1">
      <alignment horizontal="right"/>
    </xf>
    <xf numFmtId="0" fontId="0" fillId="0" borderId="0" xfId="0" applyAlignment="1">
      <alignment horizontal="left" vertical="top"/>
    </xf>
    <xf numFmtId="164" fontId="0" fillId="0" borderId="0" xfId="0" applyNumberFormat="1"/>
    <xf numFmtId="0" fontId="0" fillId="3" borderId="0" xfId="0" applyFill="1"/>
    <xf numFmtId="164" fontId="0" fillId="3" borderId="0" xfId="0" applyNumberFormat="1" applyFill="1" applyAlignment="1">
      <alignment horizontal="right"/>
    </xf>
    <xf numFmtId="9" fontId="0" fillId="0" borderId="0" xfId="1" applyFont="1"/>
    <xf numFmtId="0" fontId="1" fillId="0" borderId="4" xfId="0" applyFont="1" applyBorder="1"/>
    <xf numFmtId="0" fontId="1" fillId="0" borderId="1" xfId="0" applyFont="1" applyBorder="1"/>
    <xf numFmtId="2" fontId="0" fillId="0" borderId="2" xfId="0" applyNumberFormat="1" applyBorder="1"/>
    <xf numFmtId="0" fontId="0" fillId="0" borderId="0" xfId="0" applyAlignment="1">
      <alignment vertical="center" wrapText="1"/>
    </xf>
    <xf numFmtId="0" fontId="4" fillId="0" borderId="0" xfId="0" applyFont="1" applyAlignment="1">
      <alignment vertical="center" wrapText="1"/>
    </xf>
    <xf numFmtId="2" fontId="0" fillId="4" borderId="0" xfId="0" applyNumberFormat="1" applyFill="1" applyAlignment="1">
      <alignment horizontal="right"/>
    </xf>
    <xf numFmtId="0" fontId="4" fillId="2" borderId="0" xfId="0" applyFont="1" applyFill="1" applyAlignment="1">
      <alignment vertical="center" wrapText="1"/>
    </xf>
    <xf numFmtId="0" fontId="1" fillId="2" borderId="0" xfId="0" applyFont="1" applyFill="1"/>
    <xf numFmtId="0" fontId="0" fillId="5" borderId="0" xfId="0" applyFill="1"/>
    <xf numFmtId="0" fontId="0" fillId="5" borderId="2" xfId="0" applyFill="1" applyBorder="1"/>
    <xf numFmtId="164" fontId="8" fillId="0" borderId="0" xfId="0" applyNumberFormat="1" applyFont="1"/>
    <xf numFmtId="49" fontId="0" fillId="0" borderId="0" xfId="0" applyNumberFormat="1"/>
    <xf numFmtId="0" fontId="1" fillId="2" borderId="0" xfId="0" applyFont="1" applyFill="1" applyAlignment="1">
      <alignment vertical="top" wrapText="1"/>
    </xf>
    <xf numFmtId="0" fontId="0" fillId="0" borderId="1" xfId="0" applyBorder="1"/>
    <xf numFmtId="0" fontId="0" fillId="0" borderId="9" xfId="0" applyBorder="1"/>
    <xf numFmtId="17" fontId="0" fillId="0" borderId="0" xfId="0" applyNumberFormat="1"/>
    <xf numFmtId="0" fontId="1" fillId="5" borderId="0" xfId="0" applyFont="1" applyFill="1"/>
    <xf numFmtId="164" fontId="0" fillId="5" borderId="0" xfId="0" applyNumberFormat="1" applyFill="1" applyAlignment="1">
      <alignment horizontal="right"/>
    </xf>
    <xf numFmtId="164" fontId="0" fillId="5" borderId="5" xfId="0" applyNumberFormat="1" applyFill="1" applyBorder="1" applyAlignment="1">
      <alignment horizontal="right"/>
    </xf>
    <xf numFmtId="0" fontId="1" fillId="0" borderId="0" xfId="0" applyFont="1"/>
    <xf numFmtId="2" fontId="0" fillId="5" borderId="2" xfId="0" applyNumberFormat="1" applyFill="1" applyBorder="1"/>
    <xf numFmtId="2" fontId="0" fillId="5" borderId="0" xfId="0" applyNumberFormat="1" applyFill="1"/>
    <xf numFmtId="2" fontId="0" fillId="2" borderId="0" xfId="0" applyNumberFormat="1" applyFill="1"/>
    <xf numFmtId="2" fontId="0" fillId="2" borderId="0" xfId="0" applyNumberFormat="1" applyFill="1" applyAlignment="1">
      <alignment horizontal="right"/>
    </xf>
    <xf numFmtId="0" fontId="1" fillId="0" borderId="0" xfId="0" applyFont="1" applyAlignment="1">
      <alignment wrapText="1"/>
    </xf>
    <xf numFmtId="0" fontId="0" fillId="0" borderId="0" xfId="0" applyAlignment="1">
      <alignment wrapText="1"/>
    </xf>
    <xf numFmtId="164" fontId="0" fillId="6" borderId="0" xfId="0" applyNumberFormat="1" applyFill="1"/>
    <xf numFmtId="164" fontId="10" fillId="0" borderId="0" xfId="0" applyNumberFormat="1" applyFont="1"/>
    <xf numFmtId="9" fontId="8" fillId="3" borderId="7" xfId="0" applyNumberFormat="1" applyFont="1" applyFill="1" applyBorder="1" applyAlignment="1">
      <alignment horizontal="right"/>
    </xf>
    <xf numFmtId="0" fontId="1" fillId="0" borderId="2" xfId="0" applyFont="1" applyBorder="1"/>
    <xf numFmtId="9" fontId="3" fillId="2" borderId="7" xfId="0" applyNumberFormat="1" applyFont="1" applyFill="1" applyBorder="1" applyAlignment="1">
      <alignment horizontal="right"/>
    </xf>
    <xf numFmtId="0" fontId="0" fillId="0" borderId="7" xfId="0" applyBorder="1" applyAlignment="1">
      <alignment horizontal="right"/>
    </xf>
    <xf numFmtId="164" fontId="0" fillId="7" borderId="0" xfId="0" applyNumberFormat="1" applyFill="1"/>
    <xf numFmtId="0" fontId="8" fillId="5" borderId="0" xfId="0" applyFont="1" applyFill="1"/>
    <xf numFmtId="0" fontId="12" fillId="2" borderId="0" xfId="0" applyFont="1" applyFill="1" applyAlignment="1">
      <alignment wrapText="1"/>
    </xf>
    <xf numFmtId="0" fontId="0" fillId="8" borderId="0" xfId="0" applyFill="1"/>
    <xf numFmtId="0" fontId="13" fillId="0" borderId="0" xfId="0" applyFont="1"/>
    <xf numFmtId="0" fontId="0" fillId="8" borderId="2" xfId="0" applyFill="1" applyBorder="1"/>
    <xf numFmtId="165" fontId="0" fillId="0" borderId="0" xfId="0" applyNumberFormat="1"/>
    <xf numFmtId="9" fontId="0" fillId="2" borderId="0" xfId="0" applyNumberFormat="1" applyFill="1" applyAlignment="1">
      <alignment horizontal="right"/>
    </xf>
    <xf numFmtId="0" fontId="14" fillId="0" borderId="0" xfId="0" applyFont="1"/>
    <xf numFmtId="0" fontId="15" fillId="0" borderId="0" xfId="0" applyFont="1"/>
    <xf numFmtId="0" fontId="15" fillId="0" borderId="0" xfId="0" applyFont="1" applyAlignment="1">
      <alignment wrapText="1"/>
    </xf>
    <xf numFmtId="0" fontId="1" fillId="0" borderId="0" xfId="0" applyFont="1" applyAlignment="1">
      <alignment horizontal="center" vertical="center"/>
    </xf>
    <xf numFmtId="0" fontId="0" fillId="0" borderId="0" xfId="0" applyAlignment="1">
      <alignment horizontal="left" vertical="center"/>
    </xf>
    <xf numFmtId="0" fontId="0" fillId="0" borderId="0" xfId="0" applyAlignment="1">
      <alignment horizontal="left" vertical="center" wrapText="1"/>
    </xf>
    <xf numFmtId="166" fontId="0" fillId="0" borderId="0" xfId="0" applyNumberFormat="1"/>
    <xf numFmtId="166" fontId="0" fillId="0" borderId="0" xfId="2" applyNumberFormat="1" applyFont="1"/>
    <xf numFmtId="167" fontId="0" fillId="0" borderId="0" xfId="0" applyNumberFormat="1"/>
    <xf numFmtId="167" fontId="1" fillId="0" borderId="0" xfId="0" applyNumberFormat="1" applyFont="1" applyAlignment="1">
      <alignment horizontal="center"/>
    </xf>
    <xf numFmtId="17" fontId="0" fillId="0" borderId="0" xfId="0" applyNumberFormat="1" applyAlignment="1">
      <alignment horizontal="left"/>
    </xf>
    <xf numFmtId="0" fontId="1" fillId="2" borderId="0" xfId="0" applyFont="1" applyFill="1" applyAlignment="1">
      <alignment wrapText="1"/>
    </xf>
    <xf numFmtId="164" fontId="1" fillId="2" borderId="0" xfId="0" applyNumberFormat="1" applyFont="1" applyFill="1"/>
    <xf numFmtId="168" fontId="0" fillId="0" borderId="0" xfId="0" applyNumberFormat="1"/>
    <xf numFmtId="164" fontId="0" fillId="5" borderId="0" xfId="0" applyNumberFormat="1" applyFill="1"/>
    <xf numFmtId="0" fontId="1" fillId="4" borderId="1" xfId="0" applyFont="1" applyFill="1" applyBorder="1"/>
    <xf numFmtId="0" fontId="0" fillId="4" borderId="2" xfId="0" applyFill="1" applyBorder="1"/>
    <xf numFmtId="0" fontId="0" fillId="4" borderId="2" xfId="0" applyFill="1" applyBorder="1" applyAlignment="1">
      <alignment vertical="center" wrapText="1"/>
    </xf>
    <xf numFmtId="0" fontId="0" fillId="4" borderId="3" xfId="0" applyFill="1" applyBorder="1"/>
    <xf numFmtId="0" fontId="0" fillId="4" borderId="0" xfId="0" applyFill="1" applyAlignment="1">
      <alignment vertical="center" wrapText="1"/>
    </xf>
    <xf numFmtId="0" fontId="0" fillId="4" borderId="5" xfId="0" applyFill="1" applyBorder="1"/>
    <xf numFmtId="0" fontId="4" fillId="4" borderId="0" xfId="0" applyFont="1" applyFill="1" applyAlignment="1">
      <alignment vertical="center" wrapText="1"/>
    </xf>
    <xf numFmtId="0" fontId="1" fillId="4" borderId="0" xfId="0" applyFont="1" applyFill="1"/>
    <xf numFmtId="0" fontId="0" fillId="4" borderId="6" xfId="0" applyFill="1" applyBorder="1"/>
    <xf numFmtId="0" fontId="0" fillId="4" borderId="7" xfId="0" applyFill="1" applyBorder="1"/>
    <xf numFmtId="9" fontId="0" fillId="4" borderId="7" xfId="0" applyNumberFormat="1" applyFill="1" applyBorder="1" applyAlignment="1">
      <alignment horizontal="right"/>
    </xf>
    <xf numFmtId="164" fontId="0" fillId="4" borderId="7" xfId="0" applyNumberFormat="1" applyFill="1" applyBorder="1" applyAlignment="1">
      <alignment horizontal="right"/>
    </xf>
    <xf numFmtId="164" fontId="0" fillId="4" borderId="8" xfId="0" applyNumberFormat="1" applyFill="1" applyBorder="1" applyAlignment="1">
      <alignment horizontal="right"/>
    </xf>
    <xf numFmtId="164" fontId="11" fillId="0" borderId="0" xfId="0" applyNumberFormat="1" applyFont="1"/>
    <xf numFmtId="0" fontId="12" fillId="0" borderId="0" xfId="0" applyFont="1" applyAlignment="1">
      <alignment wrapText="1"/>
    </xf>
    <xf numFmtId="0" fontId="16" fillId="0" borderId="0" xfId="0" applyFont="1"/>
    <xf numFmtId="0" fontId="17" fillId="0" borderId="0" xfId="0" applyFont="1"/>
    <xf numFmtId="9" fontId="3" fillId="0" borderId="7" xfId="0" applyNumberFormat="1" applyFont="1" applyBorder="1" applyAlignment="1">
      <alignment horizontal="right"/>
    </xf>
    <xf numFmtId="0" fontId="20" fillId="0" borderId="0" xfId="0" applyFont="1"/>
    <xf numFmtId="9" fontId="0" fillId="0" borderId="0" xfId="0" applyNumberFormat="1"/>
    <xf numFmtId="16" fontId="0" fillId="0" borderId="0" xfId="0" applyNumberFormat="1"/>
    <xf numFmtId="0" fontId="0" fillId="0" borderId="10" xfId="0" applyBorder="1"/>
    <xf numFmtId="164" fontId="0" fillId="0" borderId="2" xfId="0" applyNumberFormat="1" applyBorder="1"/>
    <xf numFmtId="9" fontId="0" fillId="0" borderId="0" xfId="0" applyNumberFormat="1" applyAlignment="1">
      <alignment horizontal="right"/>
    </xf>
    <xf numFmtId="9" fontId="8" fillId="0" borderId="0" xfId="0" applyNumberFormat="1" applyFont="1" applyAlignment="1">
      <alignment horizontal="right"/>
    </xf>
    <xf numFmtId="9" fontId="3" fillId="0" borderId="0" xfId="0" applyNumberFormat="1" applyFont="1" applyAlignment="1">
      <alignment horizontal="right"/>
    </xf>
    <xf numFmtId="9" fontId="8" fillId="2" borderId="7" xfId="0" applyNumberFormat="1" applyFont="1" applyFill="1" applyBorder="1" applyAlignment="1">
      <alignment horizontal="right"/>
    </xf>
    <xf numFmtId="0" fontId="1" fillId="2" borderId="0" xfId="0" applyFont="1" applyFill="1" applyAlignment="1">
      <alignment horizontal="left" vertical="top" wrapText="1"/>
    </xf>
    <xf numFmtId="0" fontId="0" fillId="0" borderId="0" xfId="0" applyAlignment="1">
      <alignment horizontal="center" wrapText="1"/>
    </xf>
    <xf numFmtId="0" fontId="1" fillId="0" borderId="0" xfId="0" applyFont="1" applyAlignment="1">
      <alignment horizontal="center" vertical="center"/>
    </xf>
  </cellXfs>
  <cellStyles count="3">
    <cellStyle name="Currency" xfId="2" builtinId="4"/>
    <cellStyle name="Normal" xfId="0" builtinId="0"/>
    <cellStyle name="Percent" xfId="1" builtinId="5"/>
  </cellStyles>
  <dxfs count="57">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ill>
        <patternFill>
          <bgColor theme="7" tint="0.59996337778862885"/>
        </patternFill>
      </fill>
    </dxf>
    <dxf>
      <fill>
        <patternFill>
          <bgColor theme="7" tint="0.59996337778862885"/>
        </patternFill>
      </fill>
    </dxf>
    <dxf>
      <fill>
        <patternFill>
          <bgColor theme="7" tint="0.59996337778862885"/>
        </patternFill>
      </fill>
    </dxf>
    <dxf>
      <fill>
        <patternFill>
          <bgColor theme="7" tint="0.59996337778862885"/>
        </patternFill>
      </fill>
    </dxf>
    <dxf>
      <font>
        <color rgb="FF9C5700"/>
      </font>
      <fill>
        <patternFill>
          <bgColor rgb="FFFFEB9C"/>
        </patternFill>
      </fill>
    </dxf>
    <dxf>
      <font>
        <color rgb="FF9C5700"/>
      </font>
      <fill>
        <patternFill>
          <bgColor rgb="FFFFEB9C"/>
        </patternFill>
      </fill>
    </dxf>
    <dxf>
      <font>
        <color rgb="FF9C5700"/>
      </font>
      <fill>
        <patternFill>
          <bgColor theme="5"/>
        </patternFill>
      </fill>
    </dxf>
    <dxf>
      <font>
        <color rgb="FF9C5700"/>
      </font>
      <fill>
        <patternFill>
          <bgColor rgb="FFFFEB9C"/>
        </patternFill>
      </fill>
    </dxf>
    <dxf>
      <font>
        <color rgb="FF9C5700"/>
      </font>
      <fill>
        <patternFill>
          <bgColor rgb="FFFFEB9C"/>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2135816898665001E-2"/>
          <c:y val="6.3231345819449614E-2"/>
          <c:w val="0.9509278280399861"/>
          <c:h val="0.79778478688671506"/>
        </c:manualLayout>
      </c:layout>
      <c:lineChart>
        <c:grouping val="standard"/>
        <c:varyColors val="0"/>
        <c:ser>
          <c:idx val="0"/>
          <c:order val="0"/>
          <c:tx>
            <c:strRef>
              <c:f>'EQUINIX DC'!$H$1</c:f>
              <c:strCache>
                <c:ptCount val="1"/>
                <c:pt idx="0">
                  <c:v>In use (%)</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numRef>
              <c:f>'EQUINIX DC'!$C$2:$C$74</c:f>
              <c:numCache>
                <c:formatCode>mmm\-yy</c:formatCode>
                <c:ptCount val="73"/>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pt idx="35">
                  <c:v>45627</c:v>
                </c:pt>
                <c:pt idx="36">
                  <c:v>45658</c:v>
                </c:pt>
                <c:pt idx="37">
                  <c:v>45689</c:v>
                </c:pt>
                <c:pt idx="38">
                  <c:v>45717</c:v>
                </c:pt>
                <c:pt idx="39">
                  <c:v>45748</c:v>
                </c:pt>
                <c:pt idx="40">
                  <c:v>45778</c:v>
                </c:pt>
                <c:pt idx="41">
                  <c:v>45809</c:v>
                </c:pt>
                <c:pt idx="42">
                  <c:v>45839</c:v>
                </c:pt>
                <c:pt idx="43">
                  <c:v>45870</c:v>
                </c:pt>
                <c:pt idx="44">
                  <c:v>45901</c:v>
                </c:pt>
                <c:pt idx="45">
                  <c:v>45931</c:v>
                </c:pt>
                <c:pt idx="46">
                  <c:v>45962</c:v>
                </c:pt>
                <c:pt idx="47">
                  <c:v>45992</c:v>
                </c:pt>
                <c:pt idx="48">
                  <c:v>46023</c:v>
                </c:pt>
                <c:pt idx="49">
                  <c:v>46054</c:v>
                </c:pt>
                <c:pt idx="50">
                  <c:v>46082</c:v>
                </c:pt>
                <c:pt idx="51">
                  <c:v>46113</c:v>
                </c:pt>
                <c:pt idx="52">
                  <c:v>46143</c:v>
                </c:pt>
                <c:pt idx="53">
                  <c:v>46174</c:v>
                </c:pt>
                <c:pt idx="54">
                  <c:v>46204</c:v>
                </c:pt>
                <c:pt idx="55">
                  <c:v>46235</c:v>
                </c:pt>
                <c:pt idx="56">
                  <c:v>46266</c:v>
                </c:pt>
                <c:pt idx="57">
                  <c:v>46296</c:v>
                </c:pt>
                <c:pt idx="58">
                  <c:v>46327</c:v>
                </c:pt>
                <c:pt idx="59">
                  <c:v>46357</c:v>
                </c:pt>
                <c:pt idx="60">
                  <c:v>46388</c:v>
                </c:pt>
                <c:pt idx="61">
                  <c:v>46419</c:v>
                </c:pt>
                <c:pt idx="62">
                  <c:v>46447</c:v>
                </c:pt>
                <c:pt idx="63">
                  <c:v>46478</c:v>
                </c:pt>
                <c:pt idx="64">
                  <c:v>46508</c:v>
                </c:pt>
                <c:pt idx="65">
                  <c:v>46539</c:v>
                </c:pt>
                <c:pt idx="66">
                  <c:v>46569</c:v>
                </c:pt>
                <c:pt idx="67">
                  <c:v>46600</c:v>
                </c:pt>
                <c:pt idx="68">
                  <c:v>46631</c:v>
                </c:pt>
                <c:pt idx="69">
                  <c:v>46661</c:v>
                </c:pt>
                <c:pt idx="70">
                  <c:v>46692</c:v>
                </c:pt>
                <c:pt idx="71">
                  <c:v>46722</c:v>
                </c:pt>
                <c:pt idx="72">
                  <c:v>46753</c:v>
                </c:pt>
              </c:numCache>
            </c:numRef>
          </c:cat>
          <c:val>
            <c:numRef>
              <c:f>'EQUINIX DC'!$H$2:$H$62</c:f>
              <c:numCache>
                <c:formatCode>0.0</c:formatCode>
                <c:ptCount val="61"/>
                <c:pt idx="0">
                  <c:v>19.4279982555604</c:v>
                </c:pt>
                <c:pt idx="1">
                  <c:v>21.515481901439159</c:v>
                </c:pt>
                <c:pt idx="2">
                  <c:v>40.726122982991711</c:v>
                </c:pt>
                <c:pt idx="3">
                  <c:v>39.337112952464018</c:v>
                </c:pt>
                <c:pt idx="4">
                  <c:v>39.751417357174006</c:v>
                </c:pt>
                <c:pt idx="5">
                  <c:v>40.449193196685556</c:v>
                </c:pt>
                <c:pt idx="6">
                  <c:v>41.506759703445269</c:v>
                </c:pt>
                <c:pt idx="7">
                  <c:v>41.779328390754472</c:v>
                </c:pt>
                <c:pt idx="8">
                  <c:v>31.507169576059852</c:v>
                </c:pt>
                <c:pt idx="9">
                  <c:v>43.165318398672461</c:v>
                </c:pt>
                <c:pt idx="10">
                  <c:v>43.393486828458826</c:v>
                </c:pt>
                <c:pt idx="11">
                  <c:v>44.285417963078203</c:v>
                </c:pt>
                <c:pt idx="12">
                  <c:v>44.555071561916613</c:v>
                </c:pt>
                <c:pt idx="13">
                  <c:v>44.575814146442653</c:v>
                </c:pt>
                <c:pt idx="14">
                  <c:v>45.301804604853764</c:v>
                </c:pt>
                <c:pt idx="15">
                  <c:v>45.737398879900439</c:v>
                </c:pt>
                <c:pt idx="16">
                  <c:v>46.629330014519816</c:v>
                </c:pt>
                <c:pt idx="17">
                  <c:v>46.380419000207425</c:v>
                </c:pt>
                <c:pt idx="18">
                  <c:v>46.857498444306152</c:v>
                </c:pt>
                <c:pt idx="19">
                  <c:v>47.376063057456953</c:v>
                </c:pt>
                <c:pt idx="20">
                  <c:v>43.683883011823269</c:v>
                </c:pt>
                <c:pt idx="21">
                  <c:v>44.160962455922018</c:v>
                </c:pt>
                <c:pt idx="22">
                  <c:v>62.6</c:v>
                </c:pt>
                <c:pt idx="23">
                  <c:v>62.628571428571419</c:v>
                </c:pt>
                <c:pt idx="24">
                  <c:v>62.857142857142854</c:v>
                </c:pt>
                <c:pt idx="25">
                  <c:v>63.914285714285725</c:v>
                </c:pt>
                <c:pt idx="26">
                  <c:v>66.399999999999991</c:v>
                </c:pt>
                <c:pt idx="27">
                  <c:v>46.958211856171047</c:v>
                </c:pt>
                <c:pt idx="28">
                  <c:v>47.774538386783291</c:v>
                </c:pt>
                <c:pt idx="29">
                  <c:v>64.373177842565596</c:v>
                </c:pt>
                <c:pt idx="30">
                  <c:v>66.122448979591837</c:v>
                </c:pt>
                <c:pt idx="31">
                  <c:v>65.81146744412051</c:v>
                </c:pt>
                <c:pt idx="32">
                  <c:v>66.666666666666657</c:v>
                </c:pt>
                <c:pt idx="33">
                  <c:v>67.61904761904762</c:v>
                </c:pt>
                <c:pt idx="34">
                  <c:v>68.474246841593782</c:v>
                </c:pt>
                <c:pt idx="35">
                  <c:v>46.744412050534507</c:v>
                </c:pt>
                <c:pt idx="36">
                  <c:v>54.246841593780374</c:v>
                </c:pt>
                <c:pt idx="37">
                  <c:v>51.622934888241012</c:v>
                </c:pt>
                <c:pt idx="38">
                  <c:v>51.622934888241012</c:v>
                </c:pt>
                <c:pt idx="39">
                  <c:v>55.160349854227405</c:v>
                </c:pt>
                <c:pt idx="40">
                  <c:v>56.423712342079689</c:v>
                </c:pt>
                <c:pt idx="41">
                  <c:v>57.337220602526727</c:v>
                </c:pt>
                <c:pt idx="42">
                  <c:v>58.445092322643347</c:v>
                </c:pt>
                <c:pt idx="43">
                  <c:v>59.552964042759967</c:v>
                </c:pt>
                <c:pt idx="44">
                  <c:v>59.475218658892125</c:v>
                </c:pt>
                <c:pt idx="45">
                  <c:v>60.758017492711367</c:v>
                </c:pt>
                <c:pt idx="46">
                  <c:v>61.55490767735666</c:v>
                </c:pt>
                <c:pt idx="47">
                  <c:v>61.652089407191447</c:v>
                </c:pt>
                <c:pt idx="48">
                  <c:v>61.088435374149654</c:v>
                </c:pt>
                <c:pt idx="49">
                  <c:v>58.872691933916435</c:v>
                </c:pt>
                <c:pt idx="50">
                  <c:v>60.136054421768705</c:v>
                </c:pt>
                <c:pt idx="51">
                  <c:v>61.535471331389715</c:v>
                </c:pt>
                <c:pt idx="52">
                  <c:v>62.973760932944614</c:v>
                </c:pt>
                <c:pt idx="53">
                  <c:v>63.965014577259481</c:v>
                </c:pt>
                <c:pt idx="54">
                  <c:v>63.984450923226447</c:v>
                </c:pt>
                <c:pt idx="55">
                  <c:v>63.343051506316804</c:v>
                </c:pt>
              </c:numCache>
            </c:numRef>
          </c:val>
          <c:smooth val="0"/>
          <c:extLst>
            <c:ext xmlns:c16="http://schemas.microsoft.com/office/drawing/2014/chart" uri="{C3380CC4-5D6E-409C-BE32-E72D297353CC}">
              <c16:uniqueId val="{00000000-FB25-4104-918C-A01FCF8316CF}"/>
            </c:ext>
          </c:extLst>
        </c:ser>
        <c:ser>
          <c:idx val="1"/>
          <c:order val="1"/>
          <c:tx>
            <c:strRef>
              <c:f>'EQUINIX DC'!$I$1:$I$32</c:f>
              <c:strCache>
                <c:ptCount val="32"/>
                <c:pt idx="0">
                  <c:v>Forecast (%)</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numRef>
              <c:f>'EQUINIX DC'!$C$2:$C$74</c:f>
              <c:numCache>
                <c:formatCode>mmm\-yy</c:formatCode>
                <c:ptCount val="73"/>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pt idx="35">
                  <c:v>45627</c:v>
                </c:pt>
                <c:pt idx="36">
                  <c:v>45658</c:v>
                </c:pt>
                <c:pt idx="37">
                  <c:v>45689</c:v>
                </c:pt>
                <c:pt idx="38">
                  <c:v>45717</c:v>
                </c:pt>
                <c:pt idx="39">
                  <c:v>45748</c:v>
                </c:pt>
                <c:pt idx="40">
                  <c:v>45778</c:v>
                </c:pt>
                <c:pt idx="41">
                  <c:v>45809</c:v>
                </c:pt>
                <c:pt idx="42">
                  <c:v>45839</c:v>
                </c:pt>
                <c:pt idx="43">
                  <c:v>45870</c:v>
                </c:pt>
                <c:pt idx="44">
                  <c:v>45901</c:v>
                </c:pt>
                <c:pt idx="45">
                  <c:v>45931</c:v>
                </c:pt>
                <c:pt idx="46">
                  <c:v>45962</c:v>
                </c:pt>
                <c:pt idx="47">
                  <c:v>45992</c:v>
                </c:pt>
                <c:pt idx="48">
                  <c:v>46023</c:v>
                </c:pt>
                <c:pt idx="49">
                  <c:v>46054</c:v>
                </c:pt>
                <c:pt idx="50">
                  <c:v>46082</c:v>
                </c:pt>
                <c:pt idx="51">
                  <c:v>46113</c:v>
                </c:pt>
                <c:pt idx="52">
                  <c:v>46143</c:v>
                </c:pt>
                <c:pt idx="53">
                  <c:v>46174</c:v>
                </c:pt>
                <c:pt idx="54">
                  <c:v>46204</c:v>
                </c:pt>
                <c:pt idx="55">
                  <c:v>46235</c:v>
                </c:pt>
                <c:pt idx="56">
                  <c:v>46266</c:v>
                </c:pt>
                <c:pt idx="57">
                  <c:v>46296</c:v>
                </c:pt>
                <c:pt idx="58">
                  <c:v>46327</c:v>
                </c:pt>
                <c:pt idx="59">
                  <c:v>46357</c:v>
                </c:pt>
                <c:pt idx="60">
                  <c:v>46388</c:v>
                </c:pt>
                <c:pt idx="61">
                  <c:v>46419</c:v>
                </c:pt>
                <c:pt idx="62">
                  <c:v>46447</c:v>
                </c:pt>
                <c:pt idx="63">
                  <c:v>46478</c:v>
                </c:pt>
                <c:pt idx="64">
                  <c:v>46508</c:v>
                </c:pt>
                <c:pt idx="65">
                  <c:v>46539</c:v>
                </c:pt>
                <c:pt idx="66">
                  <c:v>46569</c:v>
                </c:pt>
                <c:pt idx="67">
                  <c:v>46600</c:v>
                </c:pt>
                <c:pt idx="68">
                  <c:v>46631</c:v>
                </c:pt>
                <c:pt idx="69">
                  <c:v>46661</c:v>
                </c:pt>
                <c:pt idx="70">
                  <c:v>46692</c:v>
                </c:pt>
                <c:pt idx="71">
                  <c:v>46722</c:v>
                </c:pt>
                <c:pt idx="72">
                  <c:v>46753</c:v>
                </c:pt>
              </c:numCache>
            </c:numRef>
          </c:cat>
          <c:val>
            <c:numRef>
              <c:f>'EQUINIX DC'!$I$2:$I$74</c:f>
              <c:numCache>
                <c:formatCode>0.0</c:formatCode>
                <c:ptCount val="73"/>
                <c:pt idx="55">
                  <c:v>63.343051506316804</c:v>
                </c:pt>
                <c:pt idx="56">
                  <c:v>63.750602606967952</c:v>
                </c:pt>
                <c:pt idx="57">
                  <c:v>64.160775903672047</c:v>
                </c:pt>
                <c:pt idx="58">
                  <c:v>64.573588267717469</c:v>
                </c:pt>
                <c:pt idx="59">
                  <c:v>64.98905667894293</c:v>
                </c:pt>
                <c:pt idx="60">
                  <c:v>65.407198226435952</c:v>
                </c:pt>
                <c:pt idx="61">
                  <c:v>65.828030109235797</c:v>
                </c:pt>
                <c:pt idx="62">
                  <c:v>66.251569637040845</c:v>
                </c:pt>
                <c:pt idx="63">
                  <c:v>66.677834230920553</c:v>
                </c:pt>
                <c:pt idx="64">
                  <c:v>67.106841424032098</c:v>
                </c:pt>
                <c:pt idx="65">
                  <c:v>67.538608862341562</c:v>
                </c:pt>
                <c:pt idx="66">
                  <c:v>67.97315430534961</c:v>
                </c:pt>
                <c:pt idx="67">
                  <c:v>68.410495626822154</c:v>
                </c:pt>
                <c:pt idx="68">
                  <c:v>68.850650815525398</c:v>
                </c:pt>
                <c:pt idx="69">
                  <c:v>69.293637975965822</c:v>
                </c:pt>
                <c:pt idx="70">
                  <c:v>69.739475329134862</c:v>
                </c:pt>
                <c:pt idx="71">
                  <c:v>70.18818121325836</c:v>
                </c:pt>
                <c:pt idx="72">
                  <c:v>70.639774084550837</c:v>
                </c:pt>
              </c:numCache>
            </c:numRef>
          </c:val>
          <c:smooth val="0"/>
          <c:extLst>
            <c:ext xmlns:c16="http://schemas.microsoft.com/office/drawing/2014/chart" uri="{C3380CC4-5D6E-409C-BE32-E72D297353CC}">
              <c16:uniqueId val="{00000001-FB25-4104-918C-A01FCF8316CF}"/>
            </c:ext>
          </c:extLst>
        </c:ser>
        <c:ser>
          <c:idx val="2"/>
          <c:order val="2"/>
          <c:tx>
            <c:strRef>
              <c:f>'EQUINIX DC'!$J$1</c:f>
              <c:strCache>
                <c:ptCount val="1"/>
                <c:pt idx="0">
                  <c:v>Max %</c:v>
                </c:pt>
              </c:strCache>
            </c:strRef>
          </c:tx>
          <c:spPr>
            <a:ln w="12700" cap="rnd">
              <a:solidFill>
                <a:srgbClr val="C00000"/>
              </a:solidFill>
            </a:ln>
            <a:effectLst>
              <a:glow rad="139700">
                <a:schemeClr val="accent3">
                  <a:satMod val="175000"/>
                  <a:alpha val="14000"/>
                </a:schemeClr>
              </a:glow>
            </a:effectLst>
          </c:spPr>
          <c:marker>
            <c:symbol val="none"/>
          </c:marker>
          <c:cat>
            <c:numRef>
              <c:f>'EQUINIX DC'!$C$2:$C$74</c:f>
              <c:numCache>
                <c:formatCode>mmm\-yy</c:formatCode>
                <c:ptCount val="73"/>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pt idx="35">
                  <c:v>45627</c:v>
                </c:pt>
                <c:pt idx="36">
                  <c:v>45658</c:v>
                </c:pt>
                <c:pt idx="37">
                  <c:v>45689</c:v>
                </c:pt>
                <c:pt idx="38">
                  <c:v>45717</c:v>
                </c:pt>
                <c:pt idx="39">
                  <c:v>45748</c:v>
                </c:pt>
                <c:pt idx="40">
                  <c:v>45778</c:v>
                </c:pt>
                <c:pt idx="41">
                  <c:v>45809</c:v>
                </c:pt>
                <c:pt idx="42">
                  <c:v>45839</c:v>
                </c:pt>
                <c:pt idx="43">
                  <c:v>45870</c:v>
                </c:pt>
                <c:pt idx="44">
                  <c:v>45901</c:v>
                </c:pt>
                <c:pt idx="45">
                  <c:v>45931</c:v>
                </c:pt>
                <c:pt idx="46">
                  <c:v>45962</c:v>
                </c:pt>
                <c:pt idx="47">
                  <c:v>45992</c:v>
                </c:pt>
                <c:pt idx="48">
                  <c:v>46023</c:v>
                </c:pt>
                <c:pt idx="49">
                  <c:v>46054</c:v>
                </c:pt>
                <c:pt idx="50">
                  <c:v>46082</c:v>
                </c:pt>
                <c:pt idx="51">
                  <c:v>46113</c:v>
                </c:pt>
                <c:pt idx="52">
                  <c:v>46143</c:v>
                </c:pt>
                <c:pt idx="53">
                  <c:v>46174</c:v>
                </c:pt>
                <c:pt idx="54">
                  <c:v>46204</c:v>
                </c:pt>
                <c:pt idx="55">
                  <c:v>46235</c:v>
                </c:pt>
                <c:pt idx="56">
                  <c:v>46266</c:v>
                </c:pt>
                <c:pt idx="57">
                  <c:v>46296</c:v>
                </c:pt>
                <c:pt idx="58">
                  <c:v>46327</c:v>
                </c:pt>
                <c:pt idx="59">
                  <c:v>46357</c:v>
                </c:pt>
                <c:pt idx="60">
                  <c:v>46388</c:v>
                </c:pt>
                <c:pt idx="61">
                  <c:v>46419</c:v>
                </c:pt>
                <c:pt idx="62">
                  <c:v>46447</c:v>
                </c:pt>
                <c:pt idx="63">
                  <c:v>46478</c:v>
                </c:pt>
                <c:pt idx="64">
                  <c:v>46508</c:v>
                </c:pt>
                <c:pt idx="65">
                  <c:v>46539</c:v>
                </c:pt>
                <c:pt idx="66">
                  <c:v>46569</c:v>
                </c:pt>
                <c:pt idx="67">
                  <c:v>46600</c:v>
                </c:pt>
                <c:pt idx="68">
                  <c:v>46631</c:v>
                </c:pt>
                <c:pt idx="69">
                  <c:v>46661</c:v>
                </c:pt>
                <c:pt idx="70">
                  <c:v>46692</c:v>
                </c:pt>
                <c:pt idx="71">
                  <c:v>46722</c:v>
                </c:pt>
                <c:pt idx="72">
                  <c:v>46753</c:v>
                </c:pt>
              </c:numCache>
            </c:numRef>
          </c:cat>
          <c:val>
            <c:numRef>
              <c:f>'EQUINIX DC'!$J$2:$J$101</c:f>
              <c:numCache>
                <c:formatCode>General</c:formatCode>
                <c:ptCount val="100"/>
                <c:pt idx="0">
                  <c:v>90</c:v>
                </c:pt>
                <c:pt idx="1">
                  <c:v>90</c:v>
                </c:pt>
                <c:pt idx="2">
                  <c:v>90</c:v>
                </c:pt>
                <c:pt idx="3">
                  <c:v>90</c:v>
                </c:pt>
                <c:pt idx="4">
                  <c:v>90</c:v>
                </c:pt>
                <c:pt idx="5">
                  <c:v>90</c:v>
                </c:pt>
                <c:pt idx="6">
                  <c:v>90</c:v>
                </c:pt>
                <c:pt idx="7">
                  <c:v>90</c:v>
                </c:pt>
                <c:pt idx="8">
                  <c:v>90</c:v>
                </c:pt>
                <c:pt idx="9">
                  <c:v>90</c:v>
                </c:pt>
                <c:pt idx="10">
                  <c:v>90</c:v>
                </c:pt>
                <c:pt idx="11">
                  <c:v>90</c:v>
                </c:pt>
                <c:pt idx="12">
                  <c:v>90</c:v>
                </c:pt>
                <c:pt idx="13">
                  <c:v>90</c:v>
                </c:pt>
                <c:pt idx="14">
                  <c:v>90</c:v>
                </c:pt>
                <c:pt idx="15">
                  <c:v>90</c:v>
                </c:pt>
                <c:pt idx="16">
                  <c:v>90</c:v>
                </c:pt>
                <c:pt idx="17">
                  <c:v>90</c:v>
                </c:pt>
                <c:pt idx="18">
                  <c:v>90</c:v>
                </c:pt>
                <c:pt idx="19">
                  <c:v>90</c:v>
                </c:pt>
                <c:pt idx="20">
                  <c:v>90</c:v>
                </c:pt>
                <c:pt idx="21">
                  <c:v>90</c:v>
                </c:pt>
                <c:pt idx="22">
                  <c:v>90</c:v>
                </c:pt>
                <c:pt idx="23">
                  <c:v>90</c:v>
                </c:pt>
                <c:pt idx="24">
                  <c:v>90</c:v>
                </c:pt>
                <c:pt idx="25">
                  <c:v>90</c:v>
                </c:pt>
                <c:pt idx="26">
                  <c:v>90</c:v>
                </c:pt>
                <c:pt idx="27">
                  <c:v>90</c:v>
                </c:pt>
                <c:pt idx="28">
                  <c:v>90</c:v>
                </c:pt>
                <c:pt idx="29">
                  <c:v>90</c:v>
                </c:pt>
                <c:pt idx="30">
                  <c:v>90</c:v>
                </c:pt>
                <c:pt idx="31">
                  <c:v>90</c:v>
                </c:pt>
                <c:pt idx="32">
                  <c:v>90</c:v>
                </c:pt>
                <c:pt idx="33">
                  <c:v>90</c:v>
                </c:pt>
                <c:pt idx="34">
                  <c:v>90</c:v>
                </c:pt>
                <c:pt idx="35">
                  <c:v>90</c:v>
                </c:pt>
                <c:pt idx="36">
                  <c:v>90</c:v>
                </c:pt>
                <c:pt idx="37">
                  <c:v>90</c:v>
                </c:pt>
                <c:pt idx="38">
                  <c:v>90</c:v>
                </c:pt>
                <c:pt idx="39">
                  <c:v>90</c:v>
                </c:pt>
                <c:pt idx="40">
                  <c:v>90</c:v>
                </c:pt>
                <c:pt idx="41">
                  <c:v>90</c:v>
                </c:pt>
                <c:pt idx="42">
                  <c:v>90</c:v>
                </c:pt>
                <c:pt idx="43">
                  <c:v>90</c:v>
                </c:pt>
                <c:pt idx="44">
                  <c:v>90</c:v>
                </c:pt>
                <c:pt idx="45">
                  <c:v>90</c:v>
                </c:pt>
                <c:pt idx="46">
                  <c:v>90</c:v>
                </c:pt>
                <c:pt idx="47">
                  <c:v>90</c:v>
                </c:pt>
                <c:pt idx="48">
                  <c:v>90</c:v>
                </c:pt>
                <c:pt idx="49">
                  <c:v>90</c:v>
                </c:pt>
                <c:pt idx="50">
                  <c:v>90</c:v>
                </c:pt>
                <c:pt idx="51">
                  <c:v>90</c:v>
                </c:pt>
                <c:pt idx="52">
                  <c:v>90</c:v>
                </c:pt>
                <c:pt idx="53">
                  <c:v>90</c:v>
                </c:pt>
                <c:pt idx="54">
                  <c:v>90</c:v>
                </c:pt>
                <c:pt idx="55">
                  <c:v>90</c:v>
                </c:pt>
                <c:pt idx="56">
                  <c:v>90</c:v>
                </c:pt>
                <c:pt idx="57">
                  <c:v>90</c:v>
                </c:pt>
                <c:pt idx="58">
                  <c:v>90</c:v>
                </c:pt>
                <c:pt idx="59">
                  <c:v>90</c:v>
                </c:pt>
                <c:pt idx="60">
                  <c:v>90</c:v>
                </c:pt>
                <c:pt idx="61">
                  <c:v>90</c:v>
                </c:pt>
                <c:pt idx="62">
                  <c:v>90</c:v>
                </c:pt>
                <c:pt idx="63">
                  <c:v>90</c:v>
                </c:pt>
                <c:pt idx="64">
                  <c:v>90</c:v>
                </c:pt>
                <c:pt idx="65">
                  <c:v>90</c:v>
                </c:pt>
                <c:pt idx="66">
                  <c:v>90</c:v>
                </c:pt>
                <c:pt idx="67">
                  <c:v>90</c:v>
                </c:pt>
                <c:pt idx="68">
                  <c:v>90</c:v>
                </c:pt>
                <c:pt idx="69">
                  <c:v>90</c:v>
                </c:pt>
                <c:pt idx="70">
                  <c:v>90</c:v>
                </c:pt>
                <c:pt idx="71">
                  <c:v>90</c:v>
                </c:pt>
                <c:pt idx="72">
                  <c:v>90</c:v>
                </c:pt>
                <c:pt idx="73">
                  <c:v>90</c:v>
                </c:pt>
                <c:pt idx="74">
                  <c:v>90</c:v>
                </c:pt>
                <c:pt idx="75">
                  <c:v>90</c:v>
                </c:pt>
                <c:pt idx="76">
                  <c:v>90</c:v>
                </c:pt>
                <c:pt idx="77">
                  <c:v>90</c:v>
                </c:pt>
                <c:pt idx="78">
                  <c:v>90</c:v>
                </c:pt>
                <c:pt idx="79">
                  <c:v>90</c:v>
                </c:pt>
                <c:pt idx="80">
                  <c:v>90</c:v>
                </c:pt>
                <c:pt idx="81">
                  <c:v>90</c:v>
                </c:pt>
                <c:pt idx="82">
                  <c:v>90</c:v>
                </c:pt>
                <c:pt idx="83">
                  <c:v>90</c:v>
                </c:pt>
                <c:pt idx="84">
                  <c:v>90</c:v>
                </c:pt>
                <c:pt idx="85">
                  <c:v>90</c:v>
                </c:pt>
                <c:pt idx="86">
                  <c:v>90</c:v>
                </c:pt>
                <c:pt idx="87">
                  <c:v>90</c:v>
                </c:pt>
                <c:pt idx="88">
                  <c:v>90</c:v>
                </c:pt>
                <c:pt idx="89">
                  <c:v>90</c:v>
                </c:pt>
                <c:pt idx="90">
                  <c:v>90</c:v>
                </c:pt>
                <c:pt idx="91">
                  <c:v>90</c:v>
                </c:pt>
                <c:pt idx="92">
                  <c:v>90</c:v>
                </c:pt>
                <c:pt idx="93">
                  <c:v>90</c:v>
                </c:pt>
                <c:pt idx="94">
                  <c:v>90</c:v>
                </c:pt>
                <c:pt idx="95">
                  <c:v>90</c:v>
                </c:pt>
                <c:pt idx="96">
                  <c:v>90</c:v>
                </c:pt>
                <c:pt idx="97">
                  <c:v>90</c:v>
                </c:pt>
                <c:pt idx="98">
                  <c:v>90</c:v>
                </c:pt>
                <c:pt idx="99">
                  <c:v>90</c:v>
                </c:pt>
              </c:numCache>
            </c:numRef>
          </c:val>
          <c:smooth val="0"/>
          <c:extLst>
            <c:ext xmlns:c16="http://schemas.microsoft.com/office/drawing/2014/chart" uri="{C3380CC4-5D6E-409C-BE32-E72D297353CC}">
              <c16:uniqueId val="{00000002-FB25-4104-918C-A01FCF8316CF}"/>
            </c:ext>
          </c:extLst>
        </c:ser>
        <c:dLbls>
          <c:showLegendKey val="0"/>
          <c:showVal val="0"/>
          <c:showCatName val="0"/>
          <c:showSerName val="0"/>
          <c:showPercent val="0"/>
          <c:showBubbleSize val="0"/>
        </c:dLbls>
        <c:marker val="1"/>
        <c:smooth val="0"/>
        <c:axId val="1544809759"/>
        <c:axId val="1544805599"/>
      </c:lineChart>
      <c:dateAx>
        <c:axId val="1544809759"/>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mmm\-yy" sourceLinked="1"/>
        <c:majorTickMark val="none"/>
        <c:minorTickMark val="none"/>
        <c:tickLblPos val="nextTo"/>
        <c:spPr>
          <a:noFill/>
          <a:ln>
            <a:noFill/>
          </a:ln>
          <a:effectLst/>
        </c:spPr>
        <c:txPr>
          <a:bodyPr rot="5400000" spcFirstLastPara="1" vertOverflow="ellipsis"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44805599"/>
        <c:crosses val="autoZero"/>
        <c:auto val="1"/>
        <c:lblOffset val="100"/>
        <c:baseTimeUnit val="months"/>
      </c:dateAx>
      <c:valAx>
        <c:axId val="1544805599"/>
        <c:scaling>
          <c:orientation val="minMax"/>
          <c:min val="20"/>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44809759"/>
        <c:crosses val="autoZero"/>
        <c:crossBetween val="between"/>
      </c:valAx>
      <c:spPr>
        <a:noFill/>
        <a:ln>
          <a:noFill/>
        </a:ln>
        <a:effectLst/>
      </c:spPr>
    </c:plotArea>
    <c:legend>
      <c:legendPos val="r"/>
      <c:layout>
        <c:manualLayout>
          <c:xMode val="edge"/>
          <c:yMode val="edge"/>
          <c:x val="0.10004798149914293"/>
          <c:y val="0.33736045960872191"/>
          <c:w val="9.7123876566008557E-2"/>
          <c:h val="0.23437664041994752"/>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166390195002029E-2"/>
          <c:y val="4.8203128743630044E-2"/>
          <c:w val="0.94833609804997976"/>
          <c:h val="0.84584535050933529"/>
        </c:manualLayout>
      </c:layout>
      <c:lineChart>
        <c:grouping val="standard"/>
        <c:varyColors val="0"/>
        <c:ser>
          <c:idx val="0"/>
          <c:order val="0"/>
          <c:tx>
            <c:strRef>
              <c:f>'EQUINIX DC'!$H$126</c:f>
              <c:strCache>
                <c:ptCount val="1"/>
                <c:pt idx="0">
                  <c:v>In use (%)</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'EQUINIX DC'!$C$127:$C$183</c:f>
              <c:strCache>
                <c:ptCount val="57"/>
                <c:pt idx="0">
                  <c:v>Jan-22</c:v>
                </c:pt>
                <c:pt idx="1">
                  <c:v>Feb-22</c:v>
                </c:pt>
                <c:pt idx="2">
                  <c:v>Mar-22</c:v>
                </c:pt>
                <c:pt idx="3">
                  <c:v>Apr-22</c:v>
                </c:pt>
                <c:pt idx="4">
                  <c:v>May-22</c:v>
                </c:pt>
                <c:pt idx="5">
                  <c:v>Jun-22</c:v>
                </c:pt>
                <c:pt idx="6">
                  <c:v>Jul-22</c:v>
                </c:pt>
                <c:pt idx="7">
                  <c:v>Aug-22</c:v>
                </c:pt>
                <c:pt idx="8">
                  <c:v>Sep-22</c:v>
                </c:pt>
                <c:pt idx="9">
                  <c:v>Oct-22</c:v>
                </c:pt>
                <c:pt idx="10">
                  <c:v>Nov-22</c:v>
                </c:pt>
                <c:pt idx="11">
                  <c:v>Dec-22</c:v>
                </c:pt>
                <c:pt idx="12">
                  <c:v>Jan-23</c:v>
                </c:pt>
                <c:pt idx="13">
                  <c:v>Feb-23</c:v>
                </c:pt>
                <c:pt idx="14">
                  <c:v>Mar-23</c:v>
                </c:pt>
                <c:pt idx="15">
                  <c:v>Apr-23</c:v>
                </c:pt>
                <c:pt idx="16">
                  <c:v>May-23</c:v>
                </c:pt>
                <c:pt idx="17">
                  <c:v>Jun-23</c:v>
                </c:pt>
                <c:pt idx="18">
                  <c:v>Jul-23</c:v>
                </c:pt>
                <c:pt idx="19">
                  <c:v>Aug-23</c:v>
                </c:pt>
                <c:pt idx="20">
                  <c:v>Sep-23</c:v>
                </c:pt>
                <c:pt idx="21">
                  <c:v>Oct-23</c:v>
                </c:pt>
                <c:pt idx="22">
                  <c:v>Nov-23</c:v>
                </c:pt>
                <c:pt idx="23">
                  <c:v>Dec-23</c:v>
                </c:pt>
                <c:pt idx="24">
                  <c:v>Jan-24</c:v>
                </c:pt>
                <c:pt idx="25">
                  <c:v>Feb-24</c:v>
                </c:pt>
                <c:pt idx="26">
                  <c:v>Mar-24</c:v>
                </c:pt>
                <c:pt idx="27">
                  <c:v>Apr-24</c:v>
                </c:pt>
                <c:pt idx="28">
                  <c:v>May-24</c:v>
                </c:pt>
                <c:pt idx="29">
                  <c:v>Jun-24</c:v>
                </c:pt>
                <c:pt idx="30">
                  <c:v>Jul-24</c:v>
                </c:pt>
                <c:pt idx="31">
                  <c:v>Aug-24</c:v>
                </c:pt>
                <c:pt idx="32">
                  <c:v>Sep-24</c:v>
                </c:pt>
                <c:pt idx="33">
                  <c:v>Oct-24</c:v>
                </c:pt>
                <c:pt idx="34">
                  <c:v>Nov-24</c:v>
                </c:pt>
                <c:pt idx="35">
                  <c:v>Dec-24</c:v>
                </c:pt>
                <c:pt idx="36">
                  <c:v>Jan-25</c:v>
                </c:pt>
                <c:pt idx="37">
                  <c:v>Feb-25</c:v>
                </c:pt>
                <c:pt idx="38">
                  <c:v>Mar-25</c:v>
                </c:pt>
                <c:pt idx="39">
                  <c:v>Apr-25</c:v>
                </c:pt>
                <c:pt idx="40">
                  <c:v>May-25</c:v>
                </c:pt>
                <c:pt idx="41">
                  <c:v>Jun-25</c:v>
                </c:pt>
                <c:pt idx="42">
                  <c:v>Jul-25</c:v>
                </c:pt>
                <c:pt idx="43">
                  <c:v>Aug-25</c:v>
                </c:pt>
                <c:pt idx="44">
                  <c:v>Sep-25</c:v>
                </c:pt>
                <c:pt idx="45">
                  <c:v>Oct-25</c:v>
                </c:pt>
                <c:pt idx="46">
                  <c:v>Nov-25</c:v>
                </c:pt>
                <c:pt idx="47">
                  <c:v>Dec-25</c:v>
                </c:pt>
                <c:pt idx="48">
                  <c:v>Jan-26</c:v>
                </c:pt>
                <c:pt idx="49">
                  <c:v>Feb-26</c:v>
                </c:pt>
                <c:pt idx="50">
                  <c:v>Mar-26</c:v>
                </c:pt>
                <c:pt idx="51">
                  <c:v>Apr-26</c:v>
                </c:pt>
                <c:pt idx="52">
                  <c:v>May-26</c:v>
                </c:pt>
                <c:pt idx="53">
                  <c:v>Jun-26</c:v>
                </c:pt>
                <c:pt idx="54">
                  <c:v>Jul-26</c:v>
                </c:pt>
                <c:pt idx="55">
                  <c:v>Aug-26</c:v>
                </c:pt>
                <c:pt idx="56">
                  <c:v>Sep-26</c:v>
                </c:pt>
              </c:strCache>
            </c:strRef>
          </c:cat>
          <c:val>
            <c:numRef>
              <c:f>'EQUINIX DC'!$H$127:$H$183</c:f>
              <c:numCache>
                <c:formatCode>0.0</c:formatCode>
                <c:ptCount val="57"/>
                <c:pt idx="0">
                  <c:v>62.339147286821706</c:v>
                </c:pt>
                <c:pt idx="1">
                  <c:v>62.860155038759693</c:v>
                </c:pt>
                <c:pt idx="2">
                  <c:v>63.322170542635661</c:v>
                </c:pt>
                <c:pt idx="3">
                  <c:v>64.488372093023244</c:v>
                </c:pt>
                <c:pt idx="4">
                  <c:v>76.56821705426357</c:v>
                </c:pt>
                <c:pt idx="5">
                  <c:v>64.899224806201545</c:v>
                </c:pt>
                <c:pt idx="6">
                  <c:v>69.31782945736434</c:v>
                </c:pt>
                <c:pt idx="7">
                  <c:v>66.976744186046517</c:v>
                </c:pt>
                <c:pt idx="8">
                  <c:v>58.914728682170548</c:v>
                </c:pt>
                <c:pt idx="9">
                  <c:v>60.387596899224818</c:v>
                </c:pt>
                <c:pt idx="10">
                  <c:v>73.95348837209302</c:v>
                </c:pt>
                <c:pt idx="11">
                  <c:v>57.071428571428569</c:v>
                </c:pt>
                <c:pt idx="12">
                  <c:v>58.357142857142861</c:v>
                </c:pt>
                <c:pt idx="13">
                  <c:v>58.642857142857139</c:v>
                </c:pt>
                <c:pt idx="14">
                  <c:v>59</c:v>
                </c:pt>
                <c:pt idx="15">
                  <c:v>60.071428571428562</c:v>
                </c:pt>
                <c:pt idx="16">
                  <c:v>73</c:v>
                </c:pt>
                <c:pt idx="17">
                  <c:v>60.857142857142854</c:v>
                </c:pt>
                <c:pt idx="18">
                  <c:v>62.357142857142854</c:v>
                </c:pt>
                <c:pt idx="19">
                  <c:v>63.857142857142854</c:v>
                </c:pt>
                <c:pt idx="20">
                  <c:v>64.128571428571433</c:v>
                </c:pt>
                <c:pt idx="21">
                  <c:v>65.085714285714289</c:v>
                </c:pt>
                <c:pt idx="22">
                  <c:v>78.714285714285708</c:v>
                </c:pt>
                <c:pt idx="23">
                  <c:v>66.378571428571433</c:v>
                </c:pt>
                <c:pt idx="24">
                  <c:v>65.671428571428564</c:v>
                </c:pt>
                <c:pt idx="25">
                  <c:v>66.714285714285708</c:v>
                </c:pt>
                <c:pt idx="26">
                  <c:v>66.349999999999994</c:v>
                </c:pt>
                <c:pt idx="27">
                  <c:v>67.421428571428578</c:v>
                </c:pt>
                <c:pt idx="28">
                  <c:v>68.714285714285722</c:v>
                </c:pt>
                <c:pt idx="29">
                  <c:v>70.164285714285711</c:v>
                </c:pt>
                <c:pt idx="30">
                  <c:v>70.5</c:v>
                </c:pt>
                <c:pt idx="31">
                  <c:v>70.842857142857142</c:v>
                </c:pt>
                <c:pt idx="32">
                  <c:v>56.2</c:v>
                </c:pt>
                <c:pt idx="33">
                  <c:v>72.307142857142864</c:v>
                </c:pt>
                <c:pt idx="34">
                  <c:v>73.835714285714289</c:v>
                </c:pt>
                <c:pt idx="35">
                  <c:v>75.314285714285717</c:v>
                </c:pt>
                <c:pt idx="36">
                  <c:v>76.099999999999994</c:v>
                </c:pt>
                <c:pt idx="37">
                  <c:v>75.314285714285717</c:v>
                </c:pt>
                <c:pt idx="38">
                  <c:v>76.442857142857136</c:v>
                </c:pt>
                <c:pt idx="39">
                  <c:v>77.078571428571436</c:v>
                </c:pt>
                <c:pt idx="40">
                  <c:v>78.157142857142858</c:v>
                </c:pt>
                <c:pt idx="41">
                  <c:v>78.557142857142864</c:v>
                </c:pt>
                <c:pt idx="42">
                  <c:v>60.928571428571431</c:v>
                </c:pt>
                <c:pt idx="43">
                  <c:v>61.664285714285718</c:v>
                </c:pt>
                <c:pt idx="44">
                  <c:v>62.071428571428577</c:v>
                </c:pt>
                <c:pt idx="45">
                  <c:v>62.4</c:v>
                </c:pt>
                <c:pt idx="46">
                  <c:v>67.333333333333329</c:v>
                </c:pt>
                <c:pt idx="47">
                  <c:v>68.424242424242422</c:v>
                </c:pt>
                <c:pt idx="48">
                  <c:v>64.348484848484844</c:v>
                </c:pt>
                <c:pt idx="49">
                  <c:v>70.02272727272728</c:v>
                </c:pt>
                <c:pt idx="50">
                  <c:v>70.515151515151501</c:v>
                </c:pt>
                <c:pt idx="51">
                  <c:v>70.954545454545453</c:v>
                </c:pt>
                <c:pt idx="52">
                  <c:v>71.674242424242436</c:v>
                </c:pt>
                <c:pt idx="53">
                  <c:v>72.015151515151516</c:v>
                </c:pt>
                <c:pt idx="54">
                  <c:v>74.106060606060595</c:v>
                </c:pt>
                <c:pt idx="55">
                  <c:v>74.469696969696969</c:v>
                </c:pt>
              </c:numCache>
            </c:numRef>
          </c:val>
          <c:smooth val="0"/>
          <c:extLst>
            <c:ext xmlns:c16="http://schemas.microsoft.com/office/drawing/2014/chart" uri="{C3380CC4-5D6E-409C-BE32-E72D297353CC}">
              <c16:uniqueId val="{00000000-FABA-47AD-AA8E-6128337D561E}"/>
            </c:ext>
          </c:extLst>
        </c:ser>
        <c:ser>
          <c:idx val="1"/>
          <c:order val="1"/>
          <c:tx>
            <c:strRef>
              <c:f>'EQUINIX DC'!$I$126</c:f>
              <c:strCache>
                <c:ptCount val="1"/>
                <c:pt idx="0">
                  <c:v>Forecast (%)</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'EQUINIX DC'!$C$127:$C$183</c:f>
              <c:strCache>
                <c:ptCount val="57"/>
                <c:pt idx="0">
                  <c:v>Jan-22</c:v>
                </c:pt>
                <c:pt idx="1">
                  <c:v>Feb-22</c:v>
                </c:pt>
                <c:pt idx="2">
                  <c:v>Mar-22</c:v>
                </c:pt>
                <c:pt idx="3">
                  <c:v>Apr-22</c:v>
                </c:pt>
                <c:pt idx="4">
                  <c:v>May-22</c:v>
                </c:pt>
                <c:pt idx="5">
                  <c:v>Jun-22</c:v>
                </c:pt>
                <c:pt idx="6">
                  <c:v>Jul-22</c:v>
                </c:pt>
                <c:pt idx="7">
                  <c:v>Aug-22</c:v>
                </c:pt>
                <c:pt idx="8">
                  <c:v>Sep-22</c:v>
                </c:pt>
                <c:pt idx="9">
                  <c:v>Oct-22</c:v>
                </c:pt>
                <c:pt idx="10">
                  <c:v>Nov-22</c:v>
                </c:pt>
                <c:pt idx="11">
                  <c:v>Dec-22</c:v>
                </c:pt>
                <c:pt idx="12">
                  <c:v>Jan-23</c:v>
                </c:pt>
                <c:pt idx="13">
                  <c:v>Feb-23</c:v>
                </c:pt>
                <c:pt idx="14">
                  <c:v>Mar-23</c:v>
                </c:pt>
                <c:pt idx="15">
                  <c:v>Apr-23</c:v>
                </c:pt>
                <c:pt idx="16">
                  <c:v>May-23</c:v>
                </c:pt>
                <c:pt idx="17">
                  <c:v>Jun-23</c:v>
                </c:pt>
                <c:pt idx="18">
                  <c:v>Jul-23</c:v>
                </c:pt>
                <c:pt idx="19">
                  <c:v>Aug-23</c:v>
                </c:pt>
                <c:pt idx="20">
                  <c:v>Sep-23</c:v>
                </c:pt>
                <c:pt idx="21">
                  <c:v>Oct-23</c:v>
                </c:pt>
                <c:pt idx="22">
                  <c:v>Nov-23</c:v>
                </c:pt>
                <c:pt idx="23">
                  <c:v>Dec-23</c:v>
                </c:pt>
                <c:pt idx="24">
                  <c:v>Jan-24</c:v>
                </c:pt>
                <c:pt idx="25">
                  <c:v>Feb-24</c:v>
                </c:pt>
                <c:pt idx="26">
                  <c:v>Mar-24</c:v>
                </c:pt>
                <c:pt idx="27">
                  <c:v>Apr-24</c:v>
                </c:pt>
                <c:pt idx="28">
                  <c:v>May-24</c:v>
                </c:pt>
                <c:pt idx="29">
                  <c:v>Jun-24</c:v>
                </c:pt>
                <c:pt idx="30">
                  <c:v>Jul-24</c:v>
                </c:pt>
                <c:pt idx="31">
                  <c:v>Aug-24</c:v>
                </c:pt>
                <c:pt idx="32">
                  <c:v>Sep-24</c:v>
                </c:pt>
                <c:pt idx="33">
                  <c:v>Oct-24</c:v>
                </c:pt>
                <c:pt idx="34">
                  <c:v>Nov-24</c:v>
                </c:pt>
                <c:pt idx="35">
                  <c:v>Dec-24</c:v>
                </c:pt>
                <c:pt idx="36">
                  <c:v>Jan-25</c:v>
                </c:pt>
                <c:pt idx="37">
                  <c:v>Feb-25</c:v>
                </c:pt>
                <c:pt idx="38">
                  <c:v>Mar-25</c:v>
                </c:pt>
                <c:pt idx="39">
                  <c:v>Apr-25</c:v>
                </c:pt>
                <c:pt idx="40">
                  <c:v>May-25</c:v>
                </c:pt>
                <c:pt idx="41">
                  <c:v>Jun-25</c:v>
                </c:pt>
                <c:pt idx="42">
                  <c:v>Jul-25</c:v>
                </c:pt>
                <c:pt idx="43">
                  <c:v>Aug-25</c:v>
                </c:pt>
                <c:pt idx="44">
                  <c:v>Sep-25</c:v>
                </c:pt>
                <c:pt idx="45">
                  <c:v>Oct-25</c:v>
                </c:pt>
                <c:pt idx="46">
                  <c:v>Nov-25</c:v>
                </c:pt>
                <c:pt idx="47">
                  <c:v>Dec-25</c:v>
                </c:pt>
                <c:pt idx="48">
                  <c:v>Jan-26</c:v>
                </c:pt>
                <c:pt idx="49">
                  <c:v>Feb-26</c:v>
                </c:pt>
                <c:pt idx="50">
                  <c:v>Mar-26</c:v>
                </c:pt>
                <c:pt idx="51">
                  <c:v>Apr-26</c:v>
                </c:pt>
                <c:pt idx="52">
                  <c:v>May-26</c:v>
                </c:pt>
                <c:pt idx="53">
                  <c:v>Jun-26</c:v>
                </c:pt>
                <c:pt idx="54">
                  <c:v>Jul-26</c:v>
                </c:pt>
                <c:pt idx="55">
                  <c:v>Aug-26</c:v>
                </c:pt>
                <c:pt idx="56">
                  <c:v>Sep-26</c:v>
                </c:pt>
              </c:strCache>
            </c:strRef>
          </c:cat>
          <c:val>
            <c:numRef>
              <c:f>'EQUINIX DC'!$I$127:$I$162</c:f>
              <c:numCache>
                <c:formatCode>0.0</c:formatCode>
                <c:ptCount val="36"/>
              </c:numCache>
            </c:numRef>
          </c:val>
          <c:smooth val="0"/>
          <c:extLst>
            <c:ext xmlns:c16="http://schemas.microsoft.com/office/drawing/2014/chart" uri="{C3380CC4-5D6E-409C-BE32-E72D297353CC}">
              <c16:uniqueId val="{00000001-FABA-47AD-AA8E-6128337D561E}"/>
            </c:ext>
          </c:extLst>
        </c:ser>
        <c:ser>
          <c:idx val="2"/>
          <c:order val="2"/>
          <c:tx>
            <c:strRef>
              <c:f>'EQUINIX DC'!$J$126</c:f>
              <c:strCache>
                <c:ptCount val="1"/>
                <c:pt idx="0">
                  <c:v>Max %</c:v>
                </c:pt>
              </c:strCache>
            </c:strRef>
          </c:tx>
          <c:spPr>
            <a:ln w="22225" cap="rnd">
              <a:solidFill>
                <a:schemeClr val="accent3"/>
              </a:solidFill>
            </a:ln>
            <a:effectLst>
              <a:glow rad="139700">
                <a:schemeClr val="accent3">
                  <a:satMod val="175000"/>
                  <a:alpha val="14000"/>
                </a:schemeClr>
              </a:glow>
            </a:effectLst>
          </c:spPr>
          <c:marker>
            <c:symbol val="none"/>
          </c:marker>
          <c:cat>
            <c:strRef>
              <c:f>'EQUINIX DC'!$C$127:$C$183</c:f>
              <c:strCache>
                <c:ptCount val="57"/>
                <c:pt idx="0">
                  <c:v>Jan-22</c:v>
                </c:pt>
                <c:pt idx="1">
                  <c:v>Feb-22</c:v>
                </c:pt>
                <c:pt idx="2">
                  <c:v>Mar-22</c:v>
                </c:pt>
                <c:pt idx="3">
                  <c:v>Apr-22</c:v>
                </c:pt>
                <c:pt idx="4">
                  <c:v>May-22</c:v>
                </c:pt>
                <c:pt idx="5">
                  <c:v>Jun-22</c:v>
                </c:pt>
                <c:pt idx="6">
                  <c:v>Jul-22</c:v>
                </c:pt>
                <c:pt idx="7">
                  <c:v>Aug-22</c:v>
                </c:pt>
                <c:pt idx="8">
                  <c:v>Sep-22</c:v>
                </c:pt>
                <c:pt idx="9">
                  <c:v>Oct-22</c:v>
                </c:pt>
                <c:pt idx="10">
                  <c:v>Nov-22</c:v>
                </c:pt>
                <c:pt idx="11">
                  <c:v>Dec-22</c:v>
                </c:pt>
                <c:pt idx="12">
                  <c:v>Jan-23</c:v>
                </c:pt>
                <c:pt idx="13">
                  <c:v>Feb-23</c:v>
                </c:pt>
                <c:pt idx="14">
                  <c:v>Mar-23</c:v>
                </c:pt>
                <c:pt idx="15">
                  <c:v>Apr-23</c:v>
                </c:pt>
                <c:pt idx="16">
                  <c:v>May-23</c:v>
                </c:pt>
                <c:pt idx="17">
                  <c:v>Jun-23</c:v>
                </c:pt>
                <c:pt idx="18">
                  <c:v>Jul-23</c:v>
                </c:pt>
                <c:pt idx="19">
                  <c:v>Aug-23</c:v>
                </c:pt>
                <c:pt idx="20">
                  <c:v>Sep-23</c:v>
                </c:pt>
                <c:pt idx="21">
                  <c:v>Oct-23</c:v>
                </c:pt>
                <c:pt idx="22">
                  <c:v>Nov-23</c:v>
                </c:pt>
                <c:pt idx="23">
                  <c:v>Dec-23</c:v>
                </c:pt>
                <c:pt idx="24">
                  <c:v>Jan-24</c:v>
                </c:pt>
                <c:pt idx="25">
                  <c:v>Feb-24</c:v>
                </c:pt>
                <c:pt idx="26">
                  <c:v>Mar-24</c:v>
                </c:pt>
                <c:pt idx="27">
                  <c:v>Apr-24</c:v>
                </c:pt>
                <c:pt idx="28">
                  <c:v>May-24</c:v>
                </c:pt>
                <c:pt idx="29">
                  <c:v>Jun-24</c:v>
                </c:pt>
                <c:pt idx="30">
                  <c:v>Jul-24</c:v>
                </c:pt>
                <c:pt idx="31">
                  <c:v>Aug-24</c:v>
                </c:pt>
                <c:pt idx="32">
                  <c:v>Sep-24</c:v>
                </c:pt>
                <c:pt idx="33">
                  <c:v>Oct-24</c:v>
                </c:pt>
                <c:pt idx="34">
                  <c:v>Nov-24</c:v>
                </c:pt>
                <c:pt idx="35">
                  <c:v>Dec-24</c:v>
                </c:pt>
                <c:pt idx="36">
                  <c:v>Jan-25</c:v>
                </c:pt>
                <c:pt idx="37">
                  <c:v>Feb-25</c:v>
                </c:pt>
                <c:pt idx="38">
                  <c:v>Mar-25</c:v>
                </c:pt>
                <c:pt idx="39">
                  <c:v>Apr-25</c:v>
                </c:pt>
                <c:pt idx="40">
                  <c:v>May-25</c:v>
                </c:pt>
                <c:pt idx="41">
                  <c:v>Jun-25</c:v>
                </c:pt>
                <c:pt idx="42">
                  <c:v>Jul-25</c:v>
                </c:pt>
                <c:pt idx="43">
                  <c:v>Aug-25</c:v>
                </c:pt>
                <c:pt idx="44">
                  <c:v>Sep-25</c:v>
                </c:pt>
                <c:pt idx="45">
                  <c:v>Oct-25</c:v>
                </c:pt>
                <c:pt idx="46">
                  <c:v>Nov-25</c:v>
                </c:pt>
                <c:pt idx="47">
                  <c:v>Dec-25</c:v>
                </c:pt>
                <c:pt idx="48">
                  <c:v>Jan-26</c:v>
                </c:pt>
                <c:pt idx="49">
                  <c:v>Feb-26</c:v>
                </c:pt>
                <c:pt idx="50">
                  <c:v>Mar-26</c:v>
                </c:pt>
                <c:pt idx="51">
                  <c:v>Apr-26</c:v>
                </c:pt>
                <c:pt idx="52">
                  <c:v>May-26</c:v>
                </c:pt>
                <c:pt idx="53">
                  <c:v>Jun-26</c:v>
                </c:pt>
                <c:pt idx="54">
                  <c:v>Jul-26</c:v>
                </c:pt>
                <c:pt idx="55">
                  <c:v>Aug-26</c:v>
                </c:pt>
                <c:pt idx="56">
                  <c:v>Sep-26</c:v>
                </c:pt>
              </c:strCache>
            </c:strRef>
          </c:cat>
          <c:val>
            <c:numRef>
              <c:f>'EQUINIX DC'!$J$127:$J$183</c:f>
              <c:numCache>
                <c:formatCode>General</c:formatCode>
                <c:ptCount val="57"/>
                <c:pt idx="0">
                  <c:v>75</c:v>
                </c:pt>
                <c:pt idx="1">
                  <c:v>75</c:v>
                </c:pt>
                <c:pt idx="2">
                  <c:v>75</c:v>
                </c:pt>
                <c:pt idx="3">
                  <c:v>75</c:v>
                </c:pt>
                <c:pt idx="4">
                  <c:v>75</c:v>
                </c:pt>
                <c:pt idx="5">
                  <c:v>75</c:v>
                </c:pt>
                <c:pt idx="6">
                  <c:v>75</c:v>
                </c:pt>
                <c:pt idx="7">
                  <c:v>75</c:v>
                </c:pt>
                <c:pt idx="8">
                  <c:v>75</c:v>
                </c:pt>
                <c:pt idx="9">
                  <c:v>75</c:v>
                </c:pt>
                <c:pt idx="10">
                  <c:v>75</c:v>
                </c:pt>
                <c:pt idx="11">
                  <c:v>75</c:v>
                </c:pt>
                <c:pt idx="12">
                  <c:v>75</c:v>
                </c:pt>
                <c:pt idx="13">
                  <c:v>75</c:v>
                </c:pt>
                <c:pt idx="14">
                  <c:v>75</c:v>
                </c:pt>
                <c:pt idx="15">
                  <c:v>75</c:v>
                </c:pt>
                <c:pt idx="16">
                  <c:v>75</c:v>
                </c:pt>
                <c:pt idx="17">
                  <c:v>75</c:v>
                </c:pt>
                <c:pt idx="18">
                  <c:v>75</c:v>
                </c:pt>
                <c:pt idx="19">
                  <c:v>75</c:v>
                </c:pt>
                <c:pt idx="20">
                  <c:v>75</c:v>
                </c:pt>
                <c:pt idx="21">
                  <c:v>75</c:v>
                </c:pt>
                <c:pt idx="22">
                  <c:v>75</c:v>
                </c:pt>
                <c:pt idx="23">
                  <c:v>75</c:v>
                </c:pt>
                <c:pt idx="24">
                  <c:v>75</c:v>
                </c:pt>
                <c:pt idx="25">
                  <c:v>75</c:v>
                </c:pt>
                <c:pt idx="26">
                  <c:v>75</c:v>
                </c:pt>
                <c:pt idx="27">
                  <c:v>75</c:v>
                </c:pt>
                <c:pt idx="28">
                  <c:v>75</c:v>
                </c:pt>
                <c:pt idx="29">
                  <c:v>75</c:v>
                </c:pt>
                <c:pt idx="30">
                  <c:v>75</c:v>
                </c:pt>
                <c:pt idx="31">
                  <c:v>75</c:v>
                </c:pt>
                <c:pt idx="32">
                  <c:v>75</c:v>
                </c:pt>
                <c:pt idx="33">
                  <c:v>75</c:v>
                </c:pt>
                <c:pt idx="34">
                  <c:v>75</c:v>
                </c:pt>
                <c:pt idx="35">
                  <c:v>75</c:v>
                </c:pt>
                <c:pt idx="36">
                  <c:v>75</c:v>
                </c:pt>
                <c:pt idx="37">
                  <c:v>75</c:v>
                </c:pt>
                <c:pt idx="38">
                  <c:v>75</c:v>
                </c:pt>
                <c:pt idx="39">
                  <c:v>75</c:v>
                </c:pt>
                <c:pt idx="40">
                  <c:v>75</c:v>
                </c:pt>
                <c:pt idx="41">
                  <c:v>75</c:v>
                </c:pt>
                <c:pt idx="42">
                  <c:v>75</c:v>
                </c:pt>
                <c:pt idx="43">
                  <c:v>75</c:v>
                </c:pt>
                <c:pt idx="44">
                  <c:v>75</c:v>
                </c:pt>
                <c:pt idx="45">
                  <c:v>75</c:v>
                </c:pt>
                <c:pt idx="46">
                  <c:v>75</c:v>
                </c:pt>
                <c:pt idx="47">
                  <c:v>75</c:v>
                </c:pt>
                <c:pt idx="48">
                  <c:v>75</c:v>
                </c:pt>
                <c:pt idx="49">
                  <c:v>75</c:v>
                </c:pt>
                <c:pt idx="50">
                  <c:v>75</c:v>
                </c:pt>
                <c:pt idx="51">
                  <c:v>75</c:v>
                </c:pt>
                <c:pt idx="52">
                  <c:v>75</c:v>
                </c:pt>
                <c:pt idx="53">
                  <c:v>75</c:v>
                </c:pt>
                <c:pt idx="54">
                  <c:v>75</c:v>
                </c:pt>
                <c:pt idx="55">
                  <c:v>75</c:v>
                </c:pt>
                <c:pt idx="56">
                  <c:v>75</c:v>
                </c:pt>
              </c:numCache>
            </c:numRef>
          </c:val>
          <c:smooth val="0"/>
          <c:extLst>
            <c:ext xmlns:c16="http://schemas.microsoft.com/office/drawing/2014/chart" uri="{C3380CC4-5D6E-409C-BE32-E72D297353CC}">
              <c16:uniqueId val="{00000002-FABA-47AD-AA8E-6128337D561E}"/>
            </c:ext>
          </c:extLst>
        </c:ser>
        <c:dLbls>
          <c:showLegendKey val="0"/>
          <c:showVal val="0"/>
          <c:showCatName val="0"/>
          <c:showSerName val="0"/>
          <c:showPercent val="0"/>
          <c:showBubbleSize val="0"/>
        </c:dLbls>
        <c:marker val="1"/>
        <c:smooth val="0"/>
        <c:axId val="1523131519"/>
        <c:axId val="1523134847"/>
      </c:lineChart>
      <c:catAx>
        <c:axId val="1523131519"/>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5400000" spcFirstLastPara="1" vertOverflow="ellipsis"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23134847"/>
        <c:crosses val="autoZero"/>
        <c:auto val="1"/>
        <c:lblAlgn val="ctr"/>
        <c:lblOffset val="100"/>
        <c:noMultiLvlLbl val="0"/>
      </c:catAx>
      <c:valAx>
        <c:axId val="1523134847"/>
        <c:scaling>
          <c:orientation val="minMax"/>
          <c:max val="100"/>
          <c:min val="20"/>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23131519"/>
        <c:crosses val="autoZero"/>
        <c:crossBetween val="between"/>
      </c:valAx>
      <c:spPr>
        <a:noFill/>
        <a:ln>
          <a:noFill/>
        </a:ln>
        <a:effectLst/>
      </c:spPr>
    </c:plotArea>
    <c:legend>
      <c:legendPos val="r"/>
      <c:layout>
        <c:manualLayout>
          <c:xMode val="edge"/>
          <c:yMode val="edge"/>
          <c:x val="0.60391392843193969"/>
          <c:y val="0.54620358060666219"/>
          <c:w val="8.5928731850564322E-2"/>
          <c:h val="0.14867942033382581"/>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SuperCluster  data prod</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manualLayout>
          <c:layoutTarget val="inner"/>
          <c:xMode val="edge"/>
          <c:yMode val="edge"/>
          <c:x val="2.7726945328967269E-2"/>
          <c:y val="0.10176291549610703"/>
          <c:w val="0.9520304607197716"/>
          <c:h val="0.77324235045170109"/>
        </c:manualLayout>
      </c:layout>
      <c:lineChart>
        <c:grouping val="standard"/>
        <c:varyColors val="0"/>
        <c:ser>
          <c:idx val="0"/>
          <c:order val="0"/>
          <c:tx>
            <c:strRef>
              <c:f>'EQUINIX DC'!$H$202</c:f>
              <c:strCache>
                <c:ptCount val="1"/>
                <c:pt idx="0">
                  <c:v>In use (%)</c:v>
                </c:pt>
              </c:strCache>
            </c:strRef>
          </c:tx>
          <c:spPr>
            <a:ln w="22225" cap="rnd">
              <a:solidFill>
                <a:schemeClr val="accent1"/>
              </a:solidFill>
            </a:ln>
            <a:effectLst>
              <a:glow rad="139700">
                <a:schemeClr val="accent1">
                  <a:satMod val="175000"/>
                  <a:alpha val="14000"/>
                </a:schemeClr>
              </a:glow>
            </a:effectLst>
          </c:spPr>
          <c:marker>
            <c:symbol val="circle"/>
            <c:size val="5"/>
            <c:spPr>
              <a:solidFill>
                <a:srgbClr val="00B0F0">
                  <a:alpha val="91000"/>
                </a:srgbClr>
              </a:solidFill>
              <a:ln>
                <a:noFill/>
              </a:ln>
              <a:effectLst>
                <a:glow rad="63500">
                  <a:schemeClr val="accent1">
                    <a:satMod val="175000"/>
                    <a:alpha val="25000"/>
                  </a:schemeClr>
                </a:glow>
              </a:effectLst>
            </c:spPr>
          </c:marker>
          <c:cat>
            <c:strRef>
              <c:f>'EQUINIX DC'!$C$203:$C$286</c:f>
              <c:strCache>
                <c:ptCount val="84"/>
                <c:pt idx="0">
                  <c:v>Jan-22</c:v>
                </c:pt>
                <c:pt idx="1">
                  <c:v>Feb-22</c:v>
                </c:pt>
                <c:pt idx="2">
                  <c:v>Mar-22</c:v>
                </c:pt>
                <c:pt idx="3">
                  <c:v>Apr-22</c:v>
                </c:pt>
                <c:pt idx="4">
                  <c:v>May-22</c:v>
                </c:pt>
                <c:pt idx="5">
                  <c:v>Jun-22</c:v>
                </c:pt>
                <c:pt idx="6">
                  <c:v>Jul-22</c:v>
                </c:pt>
                <c:pt idx="7">
                  <c:v>Aug-22</c:v>
                </c:pt>
                <c:pt idx="8">
                  <c:v>Sep-22</c:v>
                </c:pt>
                <c:pt idx="9">
                  <c:v>Oct-22</c:v>
                </c:pt>
                <c:pt idx="10">
                  <c:v>Nov-22</c:v>
                </c:pt>
                <c:pt idx="11">
                  <c:v>Dec-22</c:v>
                </c:pt>
                <c:pt idx="12">
                  <c:v>Jan-23</c:v>
                </c:pt>
                <c:pt idx="13">
                  <c:v>Feb-23</c:v>
                </c:pt>
                <c:pt idx="14">
                  <c:v>Mar-23</c:v>
                </c:pt>
                <c:pt idx="15">
                  <c:v>Apr-23</c:v>
                </c:pt>
                <c:pt idx="16">
                  <c:v>May-23</c:v>
                </c:pt>
                <c:pt idx="17">
                  <c:v>Jun-23</c:v>
                </c:pt>
                <c:pt idx="18">
                  <c:v>Jul-23</c:v>
                </c:pt>
                <c:pt idx="19">
                  <c:v>Aug-23</c:v>
                </c:pt>
                <c:pt idx="20">
                  <c:v>Sep-23</c:v>
                </c:pt>
                <c:pt idx="21">
                  <c:v>Oct-23</c:v>
                </c:pt>
                <c:pt idx="22">
                  <c:v>Nov-23</c:v>
                </c:pt>
                <c:pt idx="23">
                  <c:v>Dec-23</c:v>
                </c:pt>
                <c:pt idx="24">
                  <c:v>Jan-24</c:v>
                </c:pt>
                <c:pt idx="25">
                  <c:v>Feb-24</c:v>
                </c:pt>
                <c:pt idx="26">
                  <c:v>Mar-24</c:v>
                </c:pt>
                <c:pt idx="27">
                  <c:v>Apr-24</c:v>
                </c:pt>
                <c:pt idx="28">
                  <c:v>May-24</c:v>
                </c:pt>
                <c:pt idx="29">
                  <c:v>Jun-24</c:v>
                </c:pt>
                <c:pt idx="30">
                  <c:v>Jul-24</c:v>
                </c:pt>
                <c:pt idx="31">
                  <c:v>Aug-24</c:v>
                </c:pt>
                <c:pt idx="32">
                  <c:v>Sep-24</c:v>
                </c:pt>
                <c:pt idx="33">
                  <c:v>Oct-24</c:v>
                </c:pt>
                <c:pt idx="34">
                  <c:v>Nov-24</c:v>
                </c:pt>
                <c:pt idx="35">
                  <c:v>Dec-24</c:v>
                </c:pt>
                <c:pt idx="36">
                  <c:v>Jan-25</c:v>
                </c:pt>
                <c:pt idx="37">
                  <c:v>Feb-25</c:v>
                </c:pt>
                <c:pt idx="38">
                  <c:v>Mar-25</c:v>
                </c:pt>
                <c:pt idx="39">
                  <c:v>Apr-25</c:v>
                </c:pt>
                <c:pt idx="40">
                  <c:v>May-25</c:v>
                </c:pt>
                <c:pt idx="41">
                  <c:v>Jun-25</c:v>
                </c:pt>
                <c:pt idx="42">
                  <c:v>Jul-25</c:v>
                </c:pt>
                <c:pt idx="43">
                  <c:v>Aug-25</c:v>
                </c:pt>
                <c:pt idx="44">
                  <c:v>Sep-25</c:v>
                </c:pt>
                <c:pt idx="45">
                  <c:v>Oct-25</c:v>
                </c:pt>
                <c:pt idx="46">
                  <c:v>Nov-25</c:v>
                </c:pt>
                <c:pt idx="47">
                  <c:v>Dec-25</c:v>
                </c:pt>
                <c:pt idx="48">
                  <c:v>Jan-26</c:v>
                </c:pt>
                <c:pt idx="49">
                  <c:v>Feb-26</c:v>
                </c:pt>
                <c:pt idx="50">
                  <c:v>Mar-26</c:v>
                </c:pt>
                <c:pt idx="51">
                  <c:v>Apr-26</c:v>
                </c:pt>
                <c:pt idx="52">
                  <c:v>May-26</c:v>
                </c:pt>
                <c:pt idx="53">
                  <c:v>Jun-26</c:v>
                </c:pt>
                <c:pt idx="54">
                  <c:v>Jul-26</c:v>
                </c:pt>
                <c:pt idx="55">
                  <c:v>Aug-26</c:v>
                </c:pt>
                <c:pt idx="56">
                  <c:v>Sep-26</c:v>
                </c:pt>
                <c:pt idx="57">
                  <c:v>Oct-26</c:v>
                </c:pt>
                <c:pt idx="58">
                  <c:v>Nov-26</c:v>
                </c:pt>
                <c:pt idx="59">
                  <c:v>Dec-26</c:v>
                </c:pt>
                <c:pt idx="60">
                  <c:v>Jan-27</c:v>
                </c:pt>
                <c:pt idx="61">
                  <c:v>Feb-27</c:v>
                </c:pt>
                <c:pt idx="62">
                  <c:v>Mar-27</c:v>
                </c:pt>
                <c:pt idx="63">
                  <c:v>Apr-27</c:v>
                </c:pt>
                <c:pt idx="64">
                  <c:v>May-27</c:v>
                </c:pt>
                <c:pt idx="65">
                  <c:v>Jun-27</c:v>
                </c:pt>
                <c:pt idx="66">
                  <c:v>Jul-27</c:v>
                </c:pt>
                <c:pt idx="67">
                  <c:v>Aug-27</c:v>
                </c:pt>
                <c:pt idx="68">
                  <c:v>Sep-27</c:v>
                </c:pt>
                <c:pt idx="69">
                  <c:v>Oct-27</c:v>
                </c:pt>
                <c:pt idx="70">
                  <c:v>Nov-27</c:v>
                </c:pt>
                <c:pt idx="71">
                  <c:v>Dec-27</c:v>
                </c:pt>
                <c:pt idx="72">
                  <c:v>Jan-28</c:v>
                </c:pt>
                <c:pt idx="73">
                  <c:v>Feb-28</c:v>
                </c:pt>
                <c:pt idx="74">
                  <c:v>Mar-28</c:v>
                </c:pt>
                <c:pt idx="75">
                  <c:v>Apr-28</c:v>
                </c:pt>
                <c:pt idx="76">
                  <c:v>May-28</c:v>
                </c:pt>
                <c:pt idx="77">
                  <c:v>Jun-28</c:v>
                </c:pt>
                <c:pt idx="78">
                  <c:v>Jul-28</c:v>
                </c:pt>
                <c:pt idx="79">
                  <c:v>Aug-28</c:v>
                </c:pt>
                <c:pt idx="80">
                  <c:v>Sep-28</c:v>
                </c:pt>
                <c:pt idx="81">
                  <c:v>Oct-28</c:v>
                </c:pt>
                <c:pt idx="82">
                  <c:v>Nov-28</c:v>
                </c:pt>
                <c:pt idx="83">
                  <c:v>Dec-28</c:v>
                </c:pt>
              </c:strCache>
            </c:strRef>
          </c:cat>
          <c:val>
            <c:numRef>
              <c:f>'EQUINIX DC'!$H$203:$H$286</c:f>
              <c:numCache>
                <c:formatCode>0.0</c:formatCode>
                <c:ptCount val="84"/>
                <c:pt idx="0">
                  <c:v>65.58</c:v>
                </c:pt>
                <c:pt idx="1">
                  <c:v>66.679999999999993</c:v>
                </c:pt>
                <c:pt idx="2">
                  <c:v>67.33</c:v>
                </c:pt>
                <c:pt idx="3">
                  <c:v>69</c:v>
                </c:pt>
                <c:pt idx="4">
                  <c:v>69.5</c:v>
                </c:pt>
                <c:pt idx="5">
                  <c:v>70.03125</c:v>
                </c:pt>
                <c:pt idx="6">
                  <c:v>70.8125</c:v>
                </c:pt>
                <c:pt idx="7">
                  <c:v>71.1875</c:v>
                </c:pt>
                <c:pt idx="8">
                  <c:v>72.15625</c:v>
                </c:pt>
                <c:pt idx="9">
                  <c:v>73</c:v>
                </c:pt>
                <c:pt idx="10">
                  <c:v>74.65625</c:v>
                </c:pt>
                <c:pt idx="11">
                  <c:v>56.488372093023251</c:v>
                </c:pt>
                <c:pt idx="12">
                  <c:v>56.860465116279066</c:v>
                </c:pt>
                <c:pt idx="13">
                  <c:v>57.395348837209305</c:v>
                </c:pt>
                <c:pt idx="14">
                  <c:v>58.093023255813961</c:v>
                </c:pt>
                <c:pt idx="15">
                  <c:v>58.95348837209302</c:v>
                </c:pt>
                <c:pt idx="16">
                  <c:v>59.348837209302332</c:v>
                </c:pt>
                <c:pt idx="17">
                  <c:v>59.883720930232556</c:v>
                </c:pt>
                <c:pt idx="18">
                  <c:v>60.488372093023258</c:v>
                </c:pt>
                <c:pt idx="19">
                  <c:v>61.558139534883715</c:v>
                </c:pt>
                <c:pt idx="20">
                  <c:v>62.046511627906973</c:v>
                </c:pt>
                <c:pt idx="21">
                  <c:v>62.627906976744185</c:v>
                </c:pt>
                <c:pt idx="22">
                  <c:v>63.069767441860471</c:v>
                </c:pt>
                <c:pt idx="23">
                  <c:v>63.651162790697683</c:v>
                </c:pt>
                <c:pt idx="24">
                  <c:v>64.186046511627922</c:v>
                </c:pt>
                <c:pt idx="25">
                  <c:v>64.953488372093034</c:v>
                </c:pt>
                <c:pt idx="26">
                  <c:v>65.581395348837219</c:v>
                </c:pt>
                <c:pt idx="27">
                  <c:v>67.441860465116278</c:v>
                </c:pt>
                <c:pt idx="28">
                  <c:v>67.976744186046517</c:v>
                </c:pt>
                <c:pt idx="29">
                  <c:v>68.488372093023258</c:v>
                </c:pt>
                <c:pt idx="30">
                  <c:v>69.069767441860463</c:v>
                </c:pt>
                <c:pt idx="31">
                  <c:v>69.697674418604649</c:v>
                </c:pt>
                <c:pt idx="32">
                  <c:v>69.930232558139537</c:v>
                </c:pt>
                <c:pt idx="33">
                  <c:v>72.674418604651152</c:v>
                </c:pt>
                <c:pt idx="34">
                  <c:v>73.325581395348834</c:v>
                </c:pt>
                <c:pt idx="35">
                  <c:v>73.860465116279073</c:v>
                </c:pt>
                <c:pt idx="36">
                  <c:v>75.930232558139537</c:v>
                </c:pt>
                <c:pt idx="37">
                  <c:v>76.6279069767442</c:v>
                </c:pt>
                <c:pt idx="38">
                  <c:v>77.186046511627907</c:v>
                </c:pt>
                <c:pt idx="39">
                  <c:v>78.697674418604663</c:v>
                </c:pt>
                <c:pt idx="40">
                  <c:v>79.186046511627907</c:v>
                </c:pt>
                <c:pt idx="41">
                  <c:v>79.79069767441861</c:v>
                </c:pt>
                <c:pt idx="42">
                  <c:v>80.279069767441868</c:v>
                </c:pt>
                <c:pt idx="43">
                  <c:v>81.581395348837205</c:v>
                </c:pt>
                <c:pt idx="44">
                  <c:v>82.139534883720927</c:v>
                </c:pt>
                <c:pt idx="45">
                  <c:v>82.674418604651152</c:v>
                </c:pt>
                <c:pt idx="46">
                  <c:v>60.881355932203398</c:v>
                </c:pt>
                <c:pt idx="47">
                  <c:v>61.627118644067792</c:v>
                </c:pt>
                <c:pt idx="48">
                  <c:v>56.406779661016948</c:v>
                </c:pt>
                <c:pt idx="49">
                  <c:v>62.66101694915254</c:v>
                </c:pt>
                <c:pt idx="50">
                  <c:v>63.186440677966104</c:v>
                </c:pt>
                <c:pt idx="51">
                  <c:v>63.830508474576263</c:v>
                </c:pt>
                <c:pt idx="52">
                  <c:v>64.423728813559322</c:v>
                </c:pt>
                <c:pt idx="53">
                  <c:v>64.847457627118644</c:v>
                </c:pt>
                <c:pt idx="54">
                  <c:v>65.457627118644069</c:v>
                </c:pt>
                <c:pt idx="55">
                  <c:v>65.932203389830505</c:v>
                </c:pt>
              </c:numCache>
            </c:numRef>
          </c:val>
          <c:smooth val="0"/>
          <c:extLst>
            <c:ext xmlns:c16="http://schemas.microsoft.com/office/drawing/2014/chart" uri="{C3380CC4-5D6E-409C-BE32-E72D297353CC}">
              <c16:uniqueId val="{00000000-45FA-4504-9F5E-F322A32301B3}"/>
            </c:ext>
          </c:extLst>
        </c:ser>
        <c:ser>
          <c:idx val="1"/>
          <c:order val="1"/>
          <c:tx>
            <c:strRef>
              <c:f>'EQUINIX DC'!$I$202</c:f>
              <c:strCache>
                <c:ptCount val="1"/>
                <c:pt idx="0">
                  <c:v>Forecast (%)</c:v>
                </c:pt>
              </c:strCache>
            </c:strRef>
          </c:tx>
          <c:spPr>
            <a:ln w="22225" cap="rnd">
              <a:solidFill>
                <a:schemeClr val="accent2"/>
              </a:solidFill>
            </a:ln>
            <a:effectLst>
              <a:glow rad="139700">
                <a:schemeClr val="accent2">
                  <a:satMod val="175000"/>
                  <a:alpha val="14000"/>
                </a:schemeClr>
              </a:glow>
            </a:effectLst>
          </c:spPr>
          <c:marker>
            <c:symbol val="circle"/>
            <c:size val="5"/>
            <c:spPr>
              <a:solidFill>
                <a:schemeClr val="accent2">
                  <a:lumMod val="60000"/>
                  <a:lumOff val="40000"/>
                </a:schemeClr>
              </a:solidFill>
              <a:ln>
                <a:noFill/>
              </a:ln>
              <a:effectLst>
                <a:glow rad="63500">
                  <a:schemeClr val="accent2">
                    <a:satMod val="175000"/>
                    <a:alpha val="25000"/>
                  </a:schemeClr>
                </a:glow>
              </a:effectLst>
            </c:spPr>
          </c:marker>
          <c:cat>
            <c:strRef>
              <c:f>'EQUINIX DC'!$C$203:$C$286</c:f>
              <c:strCache>
                <c:ptCount val="84"/>
                <c:pt idx="0">
                  <c:v>Jan-22</c:v>
                </c:pt>
                <c:pt idx="1">
                  <c:v>Feb-22</c:v>
                </c:pt>
                <c:pt idx="2">
                  <c:v>Mar-22</c:v>
                </c:pt>
                <c:pt idx="3">
                  <c:v>Apr-22</c:v>
                </c:pt>
                <c:pt idx="4">
                  <c:v>May-22</c:v>
                </c:pt>
                <c:pt idx="5">
                  <c:v>Jun-22</c:v>
                </c:pt>
                <c:pt idx="6">
                  <c:v>Jul-22</c:v>
                </c:pt>
                <c:pt idx="7">
                  <c:v>Aug-22</c:v>
                </c:pt>
                <c:pt idx="8">
                  <c:v>Sep-22</c:v>
                </c:pt>
                <c:pt idx="9">
                  <c:v>Oct-22</c:v>
                </c:pt>
                <c:pt idx="10">
                  <c:v>Nov-22</c:v>
                </c:pt>
                <c:pt idx="11">
                  <c:v>Dec-22</c:v>
                </c:pt>
                <c:pt idx="12">
                  <c:v>Jan-23</c:v>
                </c:pt>
                <c:pt idx="13">
                  <c:v>Feb-23</c:v>
                </c:pt>
                <c:pt idx="14">
                  <c:v>Mar-23</c:v>
                </c:pt>
                <c:pt idx="15">
                  <c:v>Apr-23</c:v>
                </c:pt>
                <c:pt idx="16">
                  <c:v>May-23</c:v>
                </c:pt>
                <c:pt idx="17">
                  <c:v>Jun-23</c:v>
                </c:pt>
                <c:pt idx="18">
                  <c:v>Jul-23</c:v>
                </c:pt>
                <c:pt idx="19">
                  <c:v>Aug-23</c:v>
                </c:pt>
                <c:pt idx="20">
                  <c:v>Sep-23</c:v>
                </c:pt>
                <c:pt idx="21">
                  <c:v>Oct-23</c:v>
                </c:pt>
                <c:pt idx="22">
                  <c:v>Nov-23</c:v>
                </c:pt>
                <c:pt idx="23">
                  <c:v>Dec-23</c:v>
                </c:pt>
                <c:pt idx="24">
                  <c:v>Jan-24</c:v>
                </c:pt>
                <c:pt idx="25">
                  <c:v>Feb-24</c:v>
                </c:pt>
                <c:pt idx="26">
                  <c:v>Mar-24</c:v>
                </c:pt>
                <c:pt idx="27">
                  <c:v>Apr-24</c:v>
                </c:pt>
                <c:pt idx="28">
                  <c:v>May-24</c:v>
                </c:pt>
                <c:pt idx="29">
                  <c:v>Jun-24</c:v>
                </c:pt>
                <c:pt idx="30">
                  <c:v>Jul-24</c:v>
                </c:pt>
                <c:pt idx="31">
                  <c:v>Aug-24</c:v>
                </c:pt>
                <c:pt idx="32">
                  <c:v>Sep-24</c:v>
                </c:pt>
                <c:pt idx="33">
                  <c:v>Oct-24</c:v>
                </c:pt>
                <c:pt idx="34">
                  <c:v>Nov-24</c:v>
                </c:pt>
                <c:pt idx="35">
                  <c:v>Dec-24</c:v>
                </c:pt>
                <c:pt idx="36">
                  <c:v>Jan-25</c:v>
                </c:pt>
                <c:pt idx="37">
                  <c:v>Feb-25</c:v>
                </c:pt>
                <c:pt idx="38">
                  <c:v>Mar-25</c:v>
                </c:pt>
                <c:pt idx="39">
                  <c:v>Apr-25</c:v>
                </c:pt>
                <c:pt idx="40">
                  <c:v>May-25</c:v>
                </c:pt>
                <c:pt idx="41">
                  <c:v>Jun-25</c:v>
                </c:pt>
                <c:pt idx="42">
                  <c:v>Jul-25</c:v>
                </c:pt>
                <c:pt idx="43">
                  <c:v>Aug-25</c:v>
                </c:pt>
                <c:pt idx="44">
                  <c:v>Sep-25</c:v>
                </c:pt>
                <c:pt idx="45">
                  <c:v>Oct-25</c:v>
                </c:pt>
                <c:pt idx="46">
                  <c:v>Nov-25</c:v>
                </c:pt>
                <c:pt idx="47">
                  <c:v>Dec-25</c:v>
                </c:pt>
                <c:pt idx="48">
                  <c:v>Jan-26</c:v>
                </c:pt>
                <c:pt idx="49">
                  <c:v>Feb-26</c:v>
                </c:pt>
                <c:pt idx="50">
                  <c:v>Mar-26</c:v>
                </c:pt>
                <c:pt idx="51">
                  <c:v>Apr-26</c:v>
                </c:pt>
                <c:pt idx="52">
                  <c:v>May-26</c:v>
                </c:pt>
                <c:pt idx="53">
                  <c:v>Jun-26</c:v>
                </c:pt>
                <c:pt idx="54">
                  <c:v>Jul-26</c:v>
                </c:pt>
                <c:pt idx="55">
                  <c:v>Aug-26</c:v>
                </c:pt>
                <c:pt idx="56">
                  <c:v>Sep-26</c:v>
                </c:pt>
                <c:pt idx="57">
                  <c:v>Oct-26</c:v>
                </c:pt>
                <c:pt idx="58">
                  <c:v>Nov-26</c:v>
                </c:pt>
                <c:pt idx="59">
                  <c:v>Dec-26</c:v>
                </c:pt>
                <c:pt idx="60">
                  <c:v>Jan-27</c:v>
                </c:pt>
                <c:pt idx="61">
                  <c:v>Feb-27</c:v>
                </c:pt>
                <c:pt idx="62">
                  <c:v>Mar-27</c:v>
                </c:pt>
                <c:pt idx="63">
                  <c:v>Apr-27</c:v>
                </c:pt>
                <c:pt idx="64">
                  <c:v>May-27</c:v>
                </c:pt>
                <c:pt idx="65">
                  <c:v>Jun-27</c:v>
                </c:pt>
                <c:pt idx="66">
                  <c:v>Jul-27</c:v>
                </c:pt>
                <c:pt idx="67">
                  <c:v>Aug-27</c:v>
                </c:pt>
                <c:pt idx="68">
                  <c:v>Sep-27</c:v>
                </c:pt>
                <c:pt idx="69">
                  <c:v>Oct-27</c:v>
                </c:pt>
                <c:pt idx="70">
                  <c:v>Nov-27</c:v>
                </c:pt>
                <c:pt idx="71">
                  <c:v>Dec-27</c:v>
                </c:pt>
                <c:pt idx="72">
                  <c:v>Jan-28</c:v>
                </c:pt>
                <c:pt idx="73">
                  <c:v>Feb-28</c:v>
                </c:pt>
                <c:pt idx="74">
                  <c:v>Mar-28</c:v>
                </c:pt>
                <c:pt idx="75">
                  <c:v>Apr-28</c:v>
                </c:pt>
                <c:pt idx="76">
                  <c:v>May-28</c:v>
                </c:pt>
                <c:pt idx="77">
                  <c:v>Jun-28</c:v>
                </c:pt>
                <c:pt idx="78">
                  <c:v>Jul-28</c:v>
                </c:pt>
                <c:pt idx="79">
                  <c:v>Aug-28</c:v>
                </c:pt>
                <c:pt idx="80">
                  <c:v>Sep-28</c:v>
                </c:pt>
                <c:pt idx="81">
                  <c:v>Oct-28</c:v>
                </c:pt>
                <c:pt idx="82">
                  <c:v>Nov-28</c:v>
                </c:pt>
                <c:pt idx="83">
                  <c:v>Dec-28</c:v>
                </c:pt>
              </c:strCache>
            </c:strRef>
          </c:cat>
          <c:val>
            <c:numRef>
              <c:f>'EQUINIX DC'!$I$203:$I$286</c:f>
              <c:numCache>
                <c:formatCode>0.0</c:formatCode>
                <c:ptCount val="84"/>
                <c:pt idx="55">
                  <c:v>65.932203389830505</c:v>
                </c:pt>
                <c:pt idx="56">
                  <c:v>66.704593674885231</c:v>
                </c:pt>
                <c:pt idx="57">
                  <c:v>67.486032447959104</c:v>
                </c:pt>
                <c:pt idx="58">
                  <c:v>68.276625711337459</c:v>
                </c:pt>
                <c:pt idx="59">
                  <c:v>69.076480709113696</c:v>
                </c:pt>
                <c:pt idx="60">
                  <c:v>69.885705941736816</c:v>
                </c:pt>
                <c:pt idx="61">
                  <c:v>70.704411180729579</c:v>
                </c:pt>
                <c:pt idx="62">
                  <c:v>71.532707483578974</c:v>
                </c:pt>
                <c:pt idx="63">
                  <c:v>72.370707208801278</c:v>
                </c:pt>
                <c:pt idx="64">
                  <c:v>73.218524031183421</c:v>
                </c:pt>
                <c:pt idx="65">
                  <c:v>74.076272957203031</c:v>
                </c:pt>
                <c:pt idx="66">
                  <c:v>74.94407034062904</c:v>
                </c:pt>
                <c:pt idx="67">
                  <c:v>75.822033898305151</c:v>
                </c:pt>
                <c:pt idx="68">
                  <c:v>76.710282726118109</c:v>
                </c:pt>
                <c:pt idx="69">
                  <c:v>77.608937315153042</c:v>
                </c:pt>
                <c:pt idx="70">
                  <c:v>78.518119568038173</c:v>
                </c:pt>
                <c:pt idx="71">
                  <c:v>79.437952815480855</c:v>
                </c:pt>
                <c:pt idx="72">
                  <c:v>80.368561832997457</c:v>
                </c:pt>
                <c:pt idx="73">
                  <c:v>81.310072857839117</c:v>
                </c:pt>
                <c:pt idx="74">
                  <c:v>82.26261360611592</c:v>
                </c:pt>
                <c:pt idx="75">
                  <c:v>83.226313290121567</c:v>
                </c:pt>
                <c:pt idx="76">
                  <c:v>84.201302635861026</c:v>
                </c:pt>
                <c:pt idx="77">
                  <c:v>85.187713900783564</c:v>
                </c:pt>
                <c:pt idx="78">
                  <c:v>86.185680891723479</c:v>
                </c:pt>
                <c:pt idx="79">
                  <c:v>87.195338983051016</c:v>
                </c:pt>
                <c:pt idx="80">
                  <c:v>88.216825135035918</c:v>
                </c:pt>
                <c:pt idx="81">
                  <c:v>89.2502779124261</c:v>
                </c:pt>
                <c:pt idx="82">
                  <c:v>90.295837503244002</c:v>
                </c:pt>
                <c:pt idx="83">
                  <c:v>91.353645737803078</c:v>
                </c:pt>
              </c:numCache>
            </c:numRef>
          </c:val>
          <c:smooth val="0"/>
          <c:extLst>
            <c:ext xmlns:c16="http://schemas.microsoft.com/office/drawing/2014/chart" uri="{C3380CC4-5D6E-409C-BE32-E72D297353CC}">
              <c16:uniqueId val="{00000001-45FA-4504-9F5E-F322A32301B3}"/>
            </c:ext>
          </c:extLst>
        </c:ser>
        <c:ser>
          <c:idx val="2"/>
          <c:order val="2"/>
          <c:tx>
            <c:strRef>
              <c:f>'EQUINIX DC'!$J$202</c:f>
              <c:strCache>
                <c:ptCount val="1"/>
                <c:pt idx="0">
                  <c:v>Max %</c:v>
                </c:pt>
              </c:strCache>
            </c:strRef>
          </c:tx>
          <c:spPr>
            <a:ln w="22225" cap="rnd">
              <a:solidFill>
                <a:schemeClr val="accent3"/>
              </a:solidFill>
            </a:ln>
            <a:effectLst>
              <a:glow rad="139700">
                <a:schemeClr val="accent3">
                  <a:satMod val="175000"/>
                  <a:alpha val="14000"/>
                </a:schemeClr>
              </a:glow>
            </a:effectLst>
          </c:spPr>
          <c:marker>
            <c:symbol val="none"/>
          </c:marker>
          <c:cat>
            <c:strRef>
              <c:f>'EQUINIX DC'!$C$203:$C$286</c:f>
              <c:strCache>
                <c:ptCount val="84"/>
                <c:pt idx="0">
                  <c:v>Jan-22</c:v>
                </c:pt>
                <c:pt idx="1">
                  <c:v>Feb-22</c:v>
                </c:pt>
                <c:pt idx="2">
                  <c:v>Mar-22</c:v>
                </c:pt>
                <c:pt idx="3">
                  <c:v>Apr-22</c:v>
                </c:pt>
                <c:pt idx="4">
                  <c:v>May-22</c:v>
                </c:pt>
                <c:pt idx="5">
                  <c:v>Jun-22</c:v>
                </c:pt>
                <c:pt idx="6">
                  <c:v>Jul-22</c:v>
                </c:pt>
                <c:pt idx="7">
                  <c:v>Aug-22</c:v>
                </c:pt>
                <c:pt idx="8">
                  <c:v>Sep-22</c:v>
                </c:pt>
                <c:pt idx="9">
                  <c:v>Oct-22</c:v>
                </c:pt>
                <c:pt idx="10">
                  <c:v>Nov-22</c:v>
                </c:pt>
                <c:pt idx="11">
                  <c:v>Dec-22</c:v>
                </c:pt>
                <c:pt idx="12">
                  <c:v>Jan-23</c:v>
                </c:pt>
                <c:pt idx="13">
                  <c:v>Feb-23</c:v>
                </c:pt>
                <c:pt idx="14">
                  <c:v>Mar-23</c:v>
                </c:pt>
                <c:pt idx="15">
                  <c:v>Apr-23</c:v>
                </c:pt>
                <c:pt idx="16">
                  <c:v>May-23</c:v>
                </c:pt>
                <c:pt idx="17">
                  <c:v>Jun-23</c:v>
                </c:pt>
                <c:pt idx="18">
                  <c:v>Jul-23</c:v>
                </c:pt>
                <c:pt idx="19">
                  <c:v>Aug-23</c:v>
                </c:pt>
                <c:pt idx="20">
                  <c:v>Sep-23</c:v>
                </c:pt>
                <c:pt idx="21">
                  <c:v>Oct-23</c:v>
                </c:pt>
                <c:pt idx="22">
                  <c:v>Nov-23</c:v>
                </c:pt>
                <c:pt idx="23">
                  <c:v>Dec-23</c:v>
                </c:pt>
                <c:pt idx="24">
                  <c:v>Jan-24</c:v>
                </c:pt>
                <c:pt idx="25">
                  <c:v>Feb-24</c:v>
                </c:pt>
                <c:pt idx="26">
                  <c:v>Mar-24</c:v>
                </c:pt>
                <c:pt idx="27">
                  <c:v>Apr-24</c:v>
                </c:pt>
                <c:pt idx="28">
                  <c:v>May-24</c:v>
                </c:pt>
                <c:pt idx="29">
                  <c:v>Jun-24</c:v>
                </c:pt>
                <c:pt idx="30">
                  <c:v>Jul-24</c:v>
                </c:pt>
                <c:pt idx="31">
                  <c:v>Aug-24</c:v>
                </c:pt>
                <c:pt idx="32">
                  <c:v>Sep-24</c:v>
                </c:pt>
                <c:pt idx="33">
                  <c:v>Oct-24</c:v>
                </c:pt>
                <c:pt idx="34">
                  <c:v>Nov-24</c:v>
                </c:pt>
                <c:pt idx="35">
                  <c:v>Dec-24</c:v>
                </c:pt>
                <c:pt idx="36">
                  <c:v>Jan-25</c:v>
                </c:pt>
                <c:pt idx="37">
                  <c:v>Feb-25</c:v>
                </c:pt>
                <c:pt idx="38">
                  <c:v>Mar-25</c:v>
                </c:pt>
                <c:pt idx="39">
                  <c:v>Apr-25</c:v>
                </c:pt>
                <c:pt idx="40">
                  <c:v>May-25</c:v>
                </c:pt>
                <c:pt idx="41">
                  <c:v>Jun-25</c:v>
                </c:pt>
                <c:pt idx="42">
                  <c:v>Jul-25</c:v>
                </c:pt>
                <c:pt idx="43">
                  <c:v>Aug-25</c:v>
                </c:pt>
                <c:pt idx="44">
                  <c:v>Sep-25</c:v>
                </c:pt>
                <c:pt idx="45">
                  <c:v>Oct-25</c:v>
                </c:pt>
                <c:pt idx="46">
                  <c:v>Nov-25</c:v>
                </c:pt>
                <c:pt idx="47">
                  <c:v>Dec-25</c:v>
                </c:pt>
                <c:pt idx="48">
                  <c:v>Jan-26</c:v>
                </c:pt>
                <c:pt idx="49">
                  <c:v>Feb-26</c:v>
                </c:pt>
                <c:pt idx="50">
                  <c:v>Mar-26</c:v>
                </c:pt>
                <c:pt idx="51">
                  <c:v>Apr-26</c:v>
                </c:pt>
                <c:pt idx="52">
                  <c:v>May-26</c:v>
                </c:pt>
                <c:pt idx="53">
                  <c:v>Jun-26</c:v>
                </c:pt>
                <c:pt idx="54">
                  <c:v>Jul-26</c:v>
                </c:pt>
                <c:pt idx="55">
                  <c:v>Aug-26</c:v>
                </c:pt>
                <c:pt idx="56">
                  <c:v>Sep-26</c:v>
                </c:pt>
                <c:pt idx="57">
                  <c:v>Oct-26</c:v>
                </c:pt>
                <c:pt idx="58">
                  <c:v>Nov-26</c:v>
                </c:pt>
                <c:pt idx="59">
                  <c:v>Dec-26</c:v>
                </c:pt>
                <c:pt idx="60">
                  <c:v>Jan-27</c:v>
                </c:pt>
                <c:pt idx="61">
                  <c:v>Feb-27</c:v>
                </c:pt>
                <c:pt idx="62">
                  <c:v>Mar-27</c:v>
                </c:pt>
                <c:pt idx="63">
                  <c:v>Apr-27</c:v>
                </c:pt>
                <c:pt idx="64">
                  <c:v>May-27</c:v>
                </c:pt>
                <c:pt idx="65">
                  <c:v>Jun-27</c:v>
                </c:pt>
                <c:pt idx="66">
                  <c:v>Jul-27</c:v>
                </c:pt>
                <c:pt idx="67">
                  <c:v>Aug-27</c:v>
                </c:pt>
                <c:pt idx="68">
                  <c:v>Sep-27</c:v>
                </c:pt>
                <c:pt idx="69">
                  <c:v>Oct-27</c:v>
                </c:pt>
                <c:pt idx="70">
                  <c:v>Nov-27</c:v>
                </c:pt>
                <c:pt idx="71">
                  <c:v>Dec-27</c:v>
                </c:pt>
                <c:pt idx="72">
                  <c:v>Jan-28</c:v>
                </c:pt>
                <c:pt idx="73">
                  <c:v>Feb-28</c:v>
                </c:pt>
                <c:pt idx="74">
                  <c:v>Mar-28</c:v>
                </c:pt>
                <c:pt idx="75">
                  <c:v>Apr-28</c:v>
                </c:pt>
                <c:pt idx="76">
                  <c:v>May-28</c:v>
                </c:pt>
                <c:pt idx="77">
                  <c:v>Jun-28</c:v>
                </c:pt>
                <c:pt idx="78">
                  <c:v>Jul-28</c:v>
                </c:pt>
                <c:pt idx="79">
                  <c:v>Aug-28</c:v>
                </c:pt>
                <c:pt idx="80">
                  <c:v>Sep-28</c:v>
                </c:pt>
                <c:pt idx="81">
                  <c:v>Oct-28</c:v>
                </c:pt>
                <c:pt idx="82">
                  <c:v>Nov-28</c:v>
                </c:pt>
                <c:pt idx="83">
                  <c:v>Dec-28</c:v>
                </c:pt>
              </c:strCache>
            </c:strRef>
          </c:cat>
          <c:val>
            <c:numRef>
              <c:f>'EQUINIX DC'!$J$203:$J$286</c:f>
              <c:numCache>
                <c:formatCode>General</c:formatCode>
                <c:ptCount val="84"/>
                <c:pt idx="0">
                  <c:v>75</c:v>
                </c:pt>
                <c:pt idx="1">
                  <c:v>75</c:v>
                </c:pt>
                <c:pt idx="2">
                  <c:v>75</c:v>
                </c:pt>
                <c:pt idx="3">
                  <c:v>75</c:v>
                </c:pt>
                <c:pt idx="4">
                  <c:v>75</c:v>
                </c:pt>
                <c:pt idx="5">
                  <c:v>75</c:v>
                </c:pt>
                <c:pt idx="6">
                  <c:v>75</c:v>
                </c:pt>
                <c:pt idx="7">
                  <c:v>75</c:v>
                </c:pt>
                <c:pt idx="8">
                  <c:v>75</c:v>
                </c:pt>
                <c:pt idx="9">
                  <c:v>75</c:v>
                </c:pt>
                <c:pt idx="10">
                  <c:v>75</c:v>
                </c:pt>
                <c:pt idx="11">
                  <c:v>75</c:v>
                </c:pt>
                <c:pt idx="12">
                  <c:v>75</c:v>
                </c:pt>
                <c:pt idx="13">
                  <c:v>75</c:v>
                </c:pt>
                <c:pt idx="14">
                  <c:v>75</c:v>
                </c:pt>
                <c:pt idx="15">
                  <c:v>75</c:v>
                </c:pt>
                <c:pt idx="16">
                  <c:v>75</c:v>
                </c:pt>
                <c:pt idx="17">
                  <c:v>75</c:v>
                </c:pt>
                <c:pt idx="18">
                  <c:v>75</c:v>
                </c:pt>
                <c:pt idx="19">
                  <c:v>75</c:v>
                </c:pt>
                <c:pt idx="20">
                  <c:v>75</c:v>
                </c:pt>
                <c:pt idx="21">
                  <c:v>75</c:v>
                </c:pt>
                <c:pt idx="22">
                  <c:v>75</c:v>
                </c:pt>
                <c:pt idx="23">
                  <c:v>75</c:v>
                </c:pt>
                <c:pt idx="24">
                  <c:v>75</c:v>
                </c:pt>
                <c:pt idx="25">
                  <c:v>75</c:v>
                </c:pt>
                <c:pt idx="26">
                  <c:v>75</c:v>
                </c:pt>
                <c:pt idx="27">
                  <c:v>75</c:v>
                </c:pt>
                <c:pt idx="28">
                  <c:v>75</c:v>
                </c:pt>
                <c:pt idx="29">
                  <c:v>75</c:v>
                </c:pt>
                <c:pt idx="30">
                  <c:v>75</c:v>
                </c:pt>
                <c:pt idx="31">
                  <c:v>75</c:v>
                </c:pt>
                <c:pt idx="32">
                  <c:v>75</c:v>
                </c:pt>
                <c:pt idx="33">
                  <c:v>75</c:v>
                </c:pt>
                <c:pt idx="34">
                  <c:v>75</c:v>
                </c:pt>
                <c:pt idx="35">
                  <c:v>75</c:v>
                </c:pt>
                <c:pt idx="36">
                  <c:v>75</c:v>
                </c:pt>
                <c:pt idx="37">
                  <c:v>75</c:v>
                </c:pt>
                <c:pt idx="38">
                  <c:v>75</c:v>
                </c:pt>
                <c:pt idx="39">
                  <c:v>75</c:v>
                </c:pt>
                <c:pt idx="40">
                  <c:v>75</c:v>
                </c:pt>
                <c:pt idx="41">
                  <c:v>75</c:v>
                </c:pt>
                <c:pt idx="42">
                  <c:v>75</c:v>
                </c:pt>
                <c:pt idx="43">
                  <c:v>75</c:v>
                </c:pt>
                <c:pt idx="44">
                  <c:v>75</c:v>
                </c:pt>
                <c:pt idx="45">
                  <c:v>75</c:v>
                </c:pt>
                <c:pt idx="46">
                  <c:v>75</c:v>
                </c:pt>
                <c:pt idx="47">
                  <c:v>75</c:v>
                </c:pt>
                <c:pt idx="48">
                  <c:v>75</c:v>
                </c:pt>
                <c:pt idx="49">
                  <c:v>75</c:v>
                </c:pt>
                <c:pt idx="50">
                  <c:v>75</c:v>
                </c:pt>
                <c:pt idx="51">
                  <c:v>75</c:v>
                </c:pt>
                <c:pt idx="52">
                  <c:v>75</c:v>
                </c:pt>
                <c:pt idx="53">
                  <c:v>75</c:v>
                </c:pt>
                <c:pt idx="54">
                  <c:v>75</c:v>
                </c:pt>
                <c:pt idx="55">
                  <c:v>75</c:v>
                </c:pt>
                <c:pt idx="56">
                  <c:v>75</c:v>
                </c:pt>
                <c:pt idx="57">
                  <c:v>75</c:v>
                </c:pt>
                <c:pt idx="58">
                  <c:v>75</c:v>
                </c:pt>
                <c:pt idx="59">
                  <c:v>75</c:v>
                </c:pt>
                <c:pt idx="60">
                  <c:v>75</c:v>
                </c:pt>
                <c:pt idx="61">
                  <c:v>75</c:v>
                </c:pt>
                <c:pt idx="62">
                  <c:v>75</c:v>
                </c:pt>
                <c:pt idx="63">
                  <c:v>75</c:v>
                </c:pt>
                <c:pt idx="64">
                  <c:v>75</c:v>
                </c:pt>
                <c:pt idx="65">
                  <c:v>75</c:v>
                </c:pt>
                <c:pt idx="66">
                  <c:v>75</c:v>
                </c:pt>
                <c:pt idx="67">
                  <c:v>75</c:v>
                </c:pt>
                <c:pt idx="68">
                  <c:v>75</c:v>
                </c:pt>
                <c:pt idx="69">
                  <c:v>75</c:v>
                </c:pt>
                <c:pt idx="70">
                  <c:v>75</c:v>
                </c:pt>
                <c:pt idx="71">
                  <c:v>75</c:v>
                </c:pt>
                <c:pt idx="72">
                  <c:v>75</c:v>
                </c:pt>
                <c:pt idx="73">
                  <c:v>75</c:v>
                </c:pt>
                <c:pt idx="74">
                  <c:v>75</c:v>
                </c:pt>
                <c:pt idx="75">
                  <c:v>75</c:v>
                </c:pt>
                <c:pt idx="76">
                  <c:v>75</c:v>
                </c:pt>
                <c:pt idx="77">
                  <c:v>75</c:v>
                </c:pt>
                <c:pt idx="78">
                  <c:v>75</c:v>
                </c:pt>
                <c:pt idx="79">
                  <c:v>75</c:v>
                </c:pt>
                <c:pt idx="80">
                  <c:v>75</c:v>
                </c:pt>
                <c:pt idx="81">
                  <c:v>75</c:v>
                </c:pt>
                <c:pt idx="82">
                  <c:v>75</c:v>
                </c:pt>
                <c:pt idx="83">
                  <c:v>75</c:v>
                </c:pt>
              </c:numCache>
            </c:numRef>
          </c:val>
          <c:smooth val="0"/>
          <c:extLst>
            <c:ext xmlns:c16="http://schemas.microsoft.com/office/drawing/2014/chart" uri="{C3380CC4-5D6E-409C-BE32-E72D297353CC}">
              <c16:uniqueId val="{00000002-45FA-4504-9F5E-F322A32301B3}"/>
            </c:ext>
          </c:extLst>
        </c:ser>
        <c:dLbls>
          <c:showLegendKey val="0"/>
          <c:showVal val="0"/>
          <c:showCatName val="0"/>
          <c:showSerName val="0"/>
          <c:showPercent val="0"/>
          <c:showBubbleSize val="0"/>
        </c:dLbls>
        <c:marker val="1"/>
        <c:smooth val="0"/>
        <c:axId val="1564076864"/>
        <c:axId val="1564074784"/>
      </c:lineChart>
      <c:catAx>
        <c:axId val="156407686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5400000" spcFirstLastPara="1" vertOverflow="ellipsis"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64074784"/>
        <c:crosses val="autoZero"/>
        <c:auto val="1"/>
        <c:lblAlgn val="ctr"/>
        <c:lblOffset val="100"/>
        <c:noMultiLvlLbl val="0"/>
      </c:catAx>
      <c:valAx>
        <c:axId val="156407478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64076864"/>
        <c:crosses val="autoZero"/>
        <c:crossBetween val="midCat"/>
      </c:valAx>
      <c:spPr>
        <a:noFill/>
        <a:ln>
          <a:noFill/>
        </a:ln>
        <a:effectLst/>
      </c:spPr>
    </c:plotArea>
    <c:legend>
      <c:legendPos val="t"/>
      <c:layout>
        <c:manualLayout>
          <c:xMode val="edge"/>
          <c:yMode val="edge"/>
          <c:x val="0.5248707353784019"/>
          <c:y val="0.53366609118794706"/>
          <c:w val="0.11983993804053183"/>
          <c:h val="0.1289055123022088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SuperCluster  data non-prod</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lineChart>
        <c:grouping val="standard"/>
        <c:varyColors val="0"/>
        <c:ser>
          <c:idx val="0"/>
          <c:order val="0"/>
          <c:tx>
            <c:strRef>
              <c:f>'EQUINIX DC'!$H$297</c:f>
              <c:strCache>
                <c:ptCount val="1"/>
                <c:pt idx="0">
                  <c:v>In use (%)</c:v>
                </c:pt>
              </c:strCache>
            </c:strRef>
          </c:tx>
          <c:spPr>
            <a:ln w="22225" cap="rnd">
              <a:solidFill>
                <a:schemeClr val="accent1"/>
              </a:solidFill>
            </a:ln>
            <a:effectLst>
              <a:glow rad="139700">
                <a:schemeClr val="accent1">
                  <a:satMod val="175000"/>
                  <a:alpha val="14000"/>
                </a:schemeClr>
              </a:glow>
            </a:effectLst>
          </c:spPr>
          <c:marker>
            <c:symbol val="circle"/>
            <c:size val="5"/>
            <c:spPr>
              <a:solidFill>
                <a:schemeClr val="accent1">
                  <a:lumMod val="60000"/>
                  <a:lumOff val="40000"/>
                </a:schemeClr>
              </a:solidFill>
              <a:ln>
                <a:noFill/>
              </a:ln>
              <a:effectLst>
                <a:glow rad="63500">
                  <a:schemeClr val="accent1">
                    <a:satMod val="175000"/>
                    <a:alpha val="25000"/>
                  </a:schemeClr>
                </a:glow>
              </a:effectLst>
            </c:spPr>
          </c:marker>
          <c:cat>
            <c:strRef>
              <c:f>'EQUINIX DC'!$C$298:$C$381</c:f>
              <c:strCache>
                <c:ptCount val="84"/>
                <c:pt idx="0">
                  <c:v>Jan-22</c:v>
                </c:pt>
                <c:pt idx="1">
                  <c:v>Feb-22</c:v>
                </c:pt>
                <c:pt idx="2">
                  <c:v>Mar-22</c:v>
                </c:pt>
                <c:pt idx="3">
                  <c:v>Apr-22</c:v>
                </c:pt>
                <c:pt idx="4">
                  <c:v>May-22</c:v>
                </c:pt>
                <c:pt idx="5">
                  <c:v>Jun-22</c:v>
                </c:pt>
                <c:pt idx="6">
                  <c:v>Jul-22</c:v>
                </c:pt>
                <c:pt idx="7">
                  <c:v>Aug-22</c:v>
                </c:pt>
                <c:pt idx="8">
                  <c:v>Sep-22</c:v>
                </c:pt>
                <c:pt idx="9">
                  <c:v>Oct-22</c:v>
                </c:pt>
                <c:pt idx="10">
                  <c:v>Nov-22</c:v>
                </c:pt>
                <c:pt idx="11">
                  <c:v>Dec-22</c:v>
                </c:pt>
                <c:pt idx="12">
                  <c:v>Jan-23</c:v>
                </c:pt>
                <c:pt idx="13">
                  <c:v>Feb-23</c:v>
                </c:pt>
                <c:pt idx="14">
                  <c:v>Mar-23</c:v>
                </c:pt>
                <c:pt idx="15">
                  <c:v>Apr-23</c:v>
                </c:pt>
                <c:pt idx="16">
                  <c:v>May-23</c:v>
                </c:pt>
                <c:pt idx="17">
                  <c:v>Jun-23</c:v>
                </c:pt>
                <c:pt idx="18">
                  <c:v>Jul-23</c:v>
                </c:pt>
                <c:pt idx="19">
                  <c:v>Aug-23</c:v>
                </c:pt>
                <c:pt idx="20">
                  <c:v>Sep-23</c:v>
                </c:pt>
                <c:pt idx="21">
                  <c:v>Oct-23</c:v>
                </c:pt>
                <c:pt idx="22">
                  <c:v>Nov-23</c:v>
                </c:pt>
                <c:pt idx="23">
                  <c:v>Dec-23</c:v>
                </c:pt>
                <c:pt idx="24">
                  <c:v>Jan-24</c:v>
                </c:pt>
                <c:pt idx="25">
                  <c:v>Feb-24</c:v>
                </c:pt>
                <c:pt idx="26">
                  <c:v>Mar-24</c:v>
                </c:pt>
                <c:pt idx="27">
                  <c:v>Apr-24</c:v>
                </c:pt>
                <c:pt idx="28">
                  <c:v>May-24</c:v>
                </c:pt>
                <c:pt idx="29">
                  <c:v>Jun-24</c:v>
                </c:pt>
                <c:pt idx="30">
                  <c:v>Jul-24</c:v>
                </c:pt>
                <c:pt idx="31">
                  <c:v>Aug-24</c:v>
                </c:pt>
                <c:pt idx="32">
                  <c:v>Sep-24</c:v>
                </c:pt>
                <c:pt idx="33">
                  <c:v>Oct-24</c:v>
                </c:pt>
                <c:pt idx="34">
                  <c:v>Nov-24</c:v>
                </c:pt>
                <c:pt idx="35">
                  <c:v>Dec-24</c:v>
                </c:pt>
                <c:pt idx="36">
                  <c:v>Jan-25</c:v>
                </c:pt>
                <c:pt idx="37">
                  <c:v>Feb-25</c:v>
                </c:pt>
                <c:pt idx="38">
                  <c:v>Mar-25</c:v>
                </c:pt>
                <c:pt idx="39">
                  <c:v>Apr-25</c:v>
                </c:pt>
                <c:pt idx="40">
                  <c:v>May-25</c:v>
                </c:pt>
                <c:pt idx="41">
                  <c:v>Jun-25</c:v>
                </c:pt>
                <c:pt idx="42">
                  <c:v>Jul-25</c:v>
                </c:pt>
                <c:pt idx="43">
                  <c:v>Aug-25</c:v>
                </c:pt>
                <c:pt idx="44">
                  <c:v>Sep-25</c:v>
                </c:pt>
                <c:pt idx="45">
                  <c:v>Oct-25</c:v>
                </c:pt>
                <c:pt idx="46">
                  <c:v>Nov-25</c:v>
                </c:pt>
                <c:pt idx="47">
                  <c:v>Dec-25</c:v>
                </c:pt>
                <c:pt idx="48">
                  <c:v>Jan-26</c:v>
                </c:pt>
                <c:pt idx="49">
                  <c:v>Feb-26</c:v>
                </c:pt>
                <c:pt idx="50">
                  <c:v>Mar-26</c:v>
                </c:pt>
                <c:pt idx="51">
                  <c:v>Apr-26</c:v>
                </c:pt>
                <c:pt idx="52">
                  <c:v>May-26</c:v>
                </c:pt>
                <c:pt idx="53">
                  <c:v>Jun-26</c:v>
                </c:pt>
                <c:pt idx="54">
                  <c:v>Jul-26</c:v>
                </c:pt>
                <c:pt idx="55">
                  <c:v>Aug-26</c:v>
                </c:pt>
                <c:pt idx="56">
                  <c:v>Sep-26</c:v>
                </c:pt>
                <c:pt idx="57">
                  <c:v>Oct-26</c:v>
                </c:pt>
                <c:pt idx="58">
                  <c:v>Nov-26</c:v>
                </c:pt>
                <c:pt idx="59">
                  <c:v>Dec-26</c:v>
                </c:pt>
                <c:pt idx="60">
                  <c:v>Jan-27</c:v>
                </c:pt>
                <c:pt idx="61">
                  <c:v>Feb-27</c:v>
                </c:pt>
                <c:pt idx="62">
                  <c:v>Mar-27</c:v>
                </c:pt>
                <c:pt idx="63">
                  <c:v>Apr-27</c:v>
                </c:pt>
                <c:pt idx="64">
                  <c:v>May-27</c:v>
                </c:pt>
                <c:pt idx="65">
                  <c:v>Jun-27</c:v>
                </c:pt>
                <c:pt idx="66">
                  <c:v>Jul-27</c:v>
                </c:pt>
                <c:pt idx="67">
                  <c:v>Aug-27</c:v>
                </c:pt>
                <c:pt idx="68">
                  <c:v>Sep-27</c:v>
                </c:pt>
                <c:pt idx="69">
                  <c:v>Oct-27</c:v>
                </c:pt>
                <c:pt idx="70">
                  <c:v>Nov-27</c:v>
                </c:pt>
                <c:pt idx="71">
                  <c:v>Dec-27</c:v>
                </c:pt>
                <c:pt idx="72">
                  <c:v>Jan-28</c:v>
                </c:pt>
                <c:pt idx="73">
                  <c:v>Feb-28</c:v>
                </c:pt>
                <c:pt idx="74">
                  <c:v>Mar-28</c:v>
                </c:pt>
                <c:pt idx="75">
                  <c:v>Apr-28</c:v>
                </c:pt>
                <c:pt idx="76">
                  <c:v>May-28</c:v>
                </c:pt>
                <c:pt idx="77">
                  <c:v>Jun-28</c:v>
                </c:pt>
                <c:pt idx="78">
                  <c:v>Jul-28</c:v>
                </c:pt>
                <c:pt idx="79">
                  <c:v>Aug-28</c:v>
                </c:pt>
                <c:pt idx="80">
                  <c:v>Sep-28</c:v>
                </c:pt>
                <c:pt idx="81">
                  <c:v>Oct-28</c:v>
                </c:pt>
                <c:pt idx="82">
                  <c:v>Nov-28</c:v>
                </c:pt>
                <c:pt idx="83">
                  <c:v>Dec-28</c:v>
                </c:pt>
              </c:strCache>
            </c:strRef>
          </c:cat>
          <c:val>
            <c:numRef>
              <c:f>'EQUINIX DC'!$H$298:$H$381</c:f>
              <c:numCache>
                <c:formatCode>0.0</c:formatCode>
                <c:ptCount val="84"/>
                <c:pt idx="0">
                  <c:v>61.268041237113401</c:v>
                </c:pt>
                <c:pt idx="1">
                  <c:v>61.597938144329902</c:v>
                </c:pt>
                <c:pt idx="2">
                  <c:v>62</c:v>
                </c:pt>
                <c:pt idx="3">
                  <c:v>63</c:v>
                </c:pt>
                <c:pt idx="4">
                  <c:v>78.896907216494853</c:v>
                </c:pt>
                <c:pt idx="5">
                  <c:v>63.206185567010309</c:v>
                </c:pt>
                <c:pt idx="6">
                  <c:v>68.824742268041234</c:v>
                </c:pt>
                <c:pt idx="7">
                  <c:v>65.587628865979369</c:v>
                </c:pt>
                <c:pt idx="8">
                  <c:v>54.556701030927833</c:v>
                </c:pt>
                <c:pt idx="9">
                  <c:v>56.195876288659797</c:v>
                </c:pt>
                <c:pt idx="10">
                  <c:v>73.701030927835049</c:v>
                </c:pt>
                <c:pt idx="11">
                  <c:v>57.340206185567013</c:v>
                </c:pt>
                <c:pt idx="12">
                  <c:v>58.979381443298976</c:v>
                </c:pt>
                <c:pt idx="13">
                  <c:v>59.154639175257742</c:v>
                </c:pt>
                <c:pt idx="14">
                  <c:v>59.432989690721648</c:v>
                </c:pt>
                <c:pt idx="15">
                  <c:v>60.567010309278345</c:v>
                </c:pt>
                <c:pt idx="16">
                  <c:v>79.020618556701038</c:v>
                </c:pt>
                <c:pt idx="17">
                  <c:v>61.298969072164944</c:v>
                </c:pt>
                <c:pt idx="18">
                  <c:v>63.185567010309271</c:v>
                </c:pt>
                <c:pt idx="19">
                  <c:v>64.876288659793815</c:v>
                </c:pt>
                <c:pt idx="20">
                  <c:v>65.051546391752581</c:v>
                </c:pt>
                <c:pt idx="21">
                  <c:v>66.175257731958766</c:v>
                </c:pt>
                <c:pt idx="22">
                  <c:v>85.649484536082483</c:v>
                </c:pt>
                <c:pt idx="23">
                  <c:v>67.587628865979383</c:v>
                </c:pt>
                <c:pt idx="24">
                  <c:v>66.329896907216508</c:v>
                </c:pt>
                <c:pt idx="25">
                  <c:v>67.494845360824741</c:v>
                </c:pt>
                <c:pt idx="26">
                  <c:v>66.69072164948453</c:v>
                </c:pt>
                <c:pt idx="27">
                  <c:v>67.412371134020617</c:v>
                </c:pt>
                <c:pt idx="28">
                  <c:v>69.041237113402062</c:v>
                </c:pt>
                <c:pt idx="29">
                  <c:v>70.907216494845358</c:v>
                </c:pt>
                <c:pt idx="30">
                  <c:v>71.134020618556704</c:v>
                </c:pt>
                <c:pt idx="31">
                  <c:v>71.350515463917517</c:v>
                </c:pt>
                <c:pt idx="32">
                  <c:v>50.113402061855673</c:v>
                </c:pt>
                <c:pt idx="33">
                  <c:v>72.144329896907223</c:v>
                </c:pt>
                <c:pt idx="34">
                  <c:v>74.0618556701031</c:v>
                </c:pt>
                <c:pt idx="35">
                  <c:v>75.958762886597938</c:v>
                </c:pt>
                <c:pt idx="36">
                  <c:v>76.175257731958766</c:v>
                </c:pt>
                <c:pt idx="37">
                  <c:v>74.731958762886592</c:v>
                </c:pt>
                <c:pt idx="38">
                  <c:v>76.113402061855666</c:v>
                </c:pt>
                <c:pt idx="39">
                  <c:v>76.360824742268036</c:v>
                </c:pt>
                <c:pt idx="40">
                  <c:v>77.701030927835063</c:v>
                </c:pt>
                <c:pt idx="41">
                  <c:v>78.010309278350519</c:v>
                </c:pt>
                <c:pt idx="42">
                  <c:v>52.350515463917525</c:v>
                </c:pt>
                <c:pt idx="43">
                  <c:v>52.835051546391753</c:v>
                </c:pt>
                <c:pt idx="44">
                  <c:v>53.175257731958759</c:v>
                </c:pt>
                <c:pt idx="45">
                  <c:v>53.412371134020617</c:v>
                </c:pt>
                <c:pt idx="46">
                  <c:v>72.547945205479465</c:v>
                </c:pt>
                <c:pt idx="47">
                  <c:v>73.917808219178085</c:v>
                </c:pt>
                <c:pt idx="48">
                  <c:v>70.767123287671225</c:v>
                </c:pt>
                <c:pt idx="49">
                  <c:v>75.972602739726028</c:v>
                </c:pt>
                <c:pt idx="50">
                  <c:v>76.438356164383563</c:v>
                </c:pt>
                <c:pt idx="51">
                  <c:v>76.712328767123282</c:v>
                </c:pt>
                <c:pt idx="52">
                  <c:v>77.534246575342465</c:v>
                </c:pt>
                <c:pt idx="53">
                  <c:v>77.808219178082183</c:v>
                </c:pt>
                <c:pt idx="54">
                  <c:v>81.095890410958901</c:v>
                </c:pt>
                <c:pt idx="55">
                  <c:v>81.369863013698634</c:v>
                </c:pt>
              </c:numCache>
            </c:numRef>
          </c:val>
          <c:smooth val="0"/>
          <c:extLst>
            <c:ext xmlns:c16="http://schemas.microsoft.com/office/drawing/2014/chart" uri="{C3380CC4-5D6E-409C-BE32-E72D297353CC}">
              <c16:uniqueId val="{00000000-1061-4E47-9089-C1EB70357C76}"/>
            </c:ext>
          </c:extLst>
        </c:ser>
        <c:ser>
          <c:idx val="1"/>
          <c:order val="1"/>
          <c:tx>
            <c:strRef>
              <c:f>'EQUINIX DC'!$I$297</c:f>
              <c:strCache>
                <c:ptCount val="1"/>
                <c:pt idx="0">
                  <c:v>Forecast (%)</c:v>
                </c:pt>
              </c:strCache>
            </c:strRef>
          </c:tx>
          <c:spPr>
            <a:ln w="22225" cap="rnd">
              <a:solidFill>
                <a:schemeClr val="accent2"/>
              </a:solidFill>
            </a:ln>
            <a:effectLst>
              <a:glow rad="139700">
                <a:schemeClr val="accent2">
                  <a:satMod val="175000"/>
                  <a:alpha val="14000"/>
                </a:schemeClr>
              </a:glow>
            </a:effectLst>
          </c:spPr>
          <c:marker>
            <c:symbol val="circle"/>
            <c:size val="5"/>
            <c:spPr>
              <a:solidFill>
                <a:schemeClr val="accent2">
                  <a:lumMod val="60000"/>
                  <a:lumOff val="40000"/>
                </a:schemeClr>
              </a:solidFill>
              <a:ln>
                <a:noFill/>
              </a:ln>
              <a:effectLst>
                <a:glow rad="63500">
                  <a:schemeClr val="accent2">
                    <a:satMod val="175000"/>
                    <a:alpha val="25000"/>
                  </a:schemeClr>
                </a:glow>
              </a:effectLst>
            </c:spPr>
          </c:marker>
          <c:cat>
            <c:strRef>
              <c:f>'EQUINIX DC'!$C$298:$C$381</c:f>
              <c:strCache>
                <c:ptCount val="84"/>
                <c:pt idx="0">
                  <c:v>Jan-22</c:v>
                </c:pt>
                <c:pt idx="1">
                  <c:v>Feb-22</c:v>
                </c:pt>
                <c:pt idx="2">
                  <c:v>Mar-22</c:v>
                </c:pt>
                <c:pt idx="3">
                  <c:v>Apr-22</c:v>
                </c:pt>
                <c:pt idx="4">
                  <c:v>May-22</c:v>
                </c:pt>
                <c:pt idx="5">
                  <c:v>Jun-22</c:v>
                </c:pt>
                <c:pt idx="6">
                  <c:v>Jul-22</c:v>
                </c:pt>
                <c:pt idx="7">
                  <c:v>Aug-22</c:v>
                </c:pt>
                <c:pt idx="8">
                  <c:v>Sep-22</c:v>
                </c:pt>
                <c:pt idx="9">
                  <c:v>Oct-22</c:v>
                </c:pt>
                <c:pt idx="10">
                  <c:v>Nov-22</c:v>
                </c:pt>
                <c:pt idx="11">
                  <c:v>Dec-22</c:v>
                </c:pt>
                <c:pt idx="12">
                  <c:v>Jan-23</c:v>
                </c:pt>
                <c:pt idx="13">
                  <c:v>Feb-23</c:v>
                </c:pt>
                <c:pt idx="14">
                  <c:v>Mar-23</c:v>
                </c:pt>
                <c:pt idx="15">
                  <c:v>Apr-23</c:v>
                </c:pt>
                <c:pt idx="16">
                  <c:v>May-23</c:v>
                </c:pt>
                <c:pt idx="17">
                  <c:v>Jun-23</c:v>
                </c:pt>
                <c:pt idx="18">
                  <c:v>Jul-23</c:v>
                </c:pt>
                <c:pt idx="19">
                  <c:v>Aug-23</c:v>
                </c:pt>
                <c:pt idx="20">
                  <c:v>Sep-23</c:v>
                </c:pt>
                <c:pt idx="21">
                  <c:v>Oct-23</c:v>
                </c:pt>
                <c:pt idx="22">
                  <c:v>Nov-23</c:v>
                </c:pt>
                <c:pt idx="23">
                  <c:v>Dec-23</c:v>
                </c:pt>
                <c:pt idx="24">
                  <c:v>Jan-24</c:v>
                </c:pt>
                <c:pt idx="25">
                  <c:v>Feb-24</c:v>
                </c:pt>
                <c:pt idx="26">
                  <c:v>Mar-24</c:v>
                </c:pt>
                <c:pt idx="27">
                  <c:v>Apr-24</c:v>
                </c:pt>
                <c:pt idx="28">
                  <c:v>May-24</c:v>
                </c:pt>
                <c:pt idx="29">
                  <c:v>Jun-24</c:v>
                </c:pt>
                <c:pt idx="30">
                  <c:v>Jul-24</c:v>
                </c:pt>
                <c:pt idx="31">
                  <c:v>Aug-24</c:v>
                </c:pt>
                <c:pt idx="32">
                  <c:v>Sep-24</c:v>
                </c:pt>
                <c:pt idx="33">
                  <c:v>Oct-24</c:v>
                </c:pt>
                <c:pt idx="34">
                  <c:v>Nov-24</c:v>
                </c:pt>
                <c:pt idx="35">
                  <c:v>Dec-24</c:v>
                </c:pt>
                <c:pt idx="36">
                  <c:v>Jan-25</c:v>
                </c:pt>
                <c:pt idx="37">
                  <c:v>Feb-25</c:v>
                </c:pt>
                <c:pt idx="38">
                  <c:v>Mar-25</c:v>
                </c:pt>
                <c:pt idx="39">
                  <c:v>Apr-25</c:v>
                </c:pt>
                <c:pt idx="40">
                  <c:v>May-25</c:v>
                </c:pt>
                <c:pt idx="41">
                  <c:v>Jun-25</c:v>
                </c:pt>
                <c:pt idx="42">
                  <c:v>Jul-25</c:v>
                </c:pt>
                <c:pt idx="43">
                  <c:v>Aug-25</c:v>
                </c:pt>
                <c:pt idx="44">
                  <c:v>Sep-25</c:v>
                </c:pt>
                <c:pt idx="45">
                  <c:v>Oct-25</c:v>
                </c:pt>
                <c:pt idx="46">
                  <c:v>Nov-25</c:v>
                </c:pt>
                <c:pt idx="47">
                  <c:v>Dec-25</c:v>
                </c:pt>
                <c:pt idx="48">
                  <c:v>Jan-26</c:v>
                </c:pt>
                <c:pt idx="49">
                  <c:v>Feb-26</c:v>
                </c:pt>
                <c:pt idx="50">
                  <c:v>Mar-26</c:v>
                </c:pt>
                <c:pt idx="51">
                  <c:v>Apr-26</c:v>
                </c:pt>
                <c:pt idx="52">
                  <c:v>May-26</c:v>
                </c:pt>
                <c:pt idx="53">
                  <c:v>Jun-26</c:v>
                </c:pt>
                <c:pt idx="54">
                  <c:v>Jul-26</c:v>
                </c:pt>
                <c:pt idx="55">
                  <c:v>Aug-26</c:v>
                </c:pt>
                <c:pt idx="56">
                  <c:v>Sep-26</c:v>
                </c:pt>
                <c:pt idx="57">
                  <c:v>Oct-26</c:v>
                </c:pt>
                <c:pt idx="58">
                  <c:v>Nov-26</c:v>
                </c:pt>
                <c:pt idx="59">
                  <c:v>Dec-26</c:v>
                </c:pt>
                <c:pt idx="60">
                  <c:v>Jan-27</c:v>
                </c:pt>
                <c:pt idx="61">
                  <c:v>Feb-27</c:v>
                </c:pt>
                <c:pt idx="62">
                  <c:v>Mar-27</c:v>
                </c:pt>
                <c:pt idx="63">
                  <c:v>Apr-27</c:v>
                </c:pt>
                <c:pt idx="64">
                  <c:v>May-27</c:v>
                </c:pt>
                <c:pt idx="65">
                  <c:v>Jun-27</c:v>
                </c:pt>
                <c:pt idx="66">
                  <c:v>Jul-27</c:v>
                </c:pt>
                <c:pt idx="67">
                  <c:v>Aug-27</c:v>
                </c:pt>
                <c:pt idx="68">
                  <c:v>Sep-27</c:v>
                </c:pt>
                <c:pt idx="69">
                  <c:v>Oct-27</c:v>
                </c:pt>
                <c:pt idx="70">
                  <c:v>Nov-27</c:v>
                </c:pt>
                <c:pt idx="71">
                  <c:v>Dec-27</c:v>
                </c:pt>
                <c:pt idx="72">
                  <c:v>Jan-28</c:v>
                </c:pt>
                <c:pt idx="73">
                  <c:v>Feb-28</c:v>
                </c:pt>
                <c:pt idx="74">
                  <c:v>Mar-28</c:v>
                </c:pt>
                <c:pt idx="75">
                  <c:v>Apr-28</c:v>
                </c:pt>
                <c:pt idx="76">
                  <c:v>May-28</c:v>
                </c:pt>
                <c:pt idx="77">
                  <c:v>Jun-28</c:v>
                </c:pt>
                <c:pt idx="78">
                  <c:v>Jul-28</c:v>
                </c:pt>
                <c:pt idx="79">
                  <c:v>Aug-28</c:v>
                </c:pt>
                <c:pt idx="80">
                  <c:v>Sep-28</c:v>
                </c:pt>
                <c:pt idx="81">
                  <c:v>Oct-28</c:v>
                </c:pt>
                <c:pt idx="82">
                  <c:v>Nov-28</c:v>
                </c:pt>
                <c:pt idx="83">
                  <c:v>Dec-28</c:v>
                </c:pt>
              </c:strCache>
            </c:strRef>
          </c:cat>
          <c:val>
            <c:numRef>
              <c:f>'EQUINIX DC'!$I$298:$I$381</c:f>
              <c:numCache>
                <c:formatCode>0.0</c:formatCode>
                <c:ptCount val="84"/>
                <c:pt idx="55" formatCode="0.00">
                  <c:v>81.369863013698634</c:v>
                </c:pt>
                <c:pt idx="56" formatCode="0.00">
                  <c:v>82.323104198683964</c:v>
                </c:pt>
                <c:pt idx="57" formatCode="0.00">
                  <c:v>83.287512524955972</c:v>
                </c:pt>
                <c:pt idx="58" formatCode="0.00">
                  <c:v>84.263218814647075</c:v>
                </c:pt>
                <c:pt idx="59" formatCode="0.00">
                  <c:v>85.250355422460089</c:v>
                </c:pt>
                <c:pt idx="60" formatCode="0.00">
                  <c:v>86.249056253622186</c:v>
                </c:pt>
                <c:pt idx="61" formatCode="0.00">
                  <c:v>87.259456782049128</c:v>
                </c:pt>
                <c:pt idx="62" formatCode="0.00">
                  <c:v>88.281694068722373</c:v>
                </c:pt>
                <c:pt idx="63" formatCode="0.00">
                  <c:v>89.315906780281367</c:v>
                </c:pt>
                <c:pt idx="64" formatCode="0.00">
                  <c:v>90.362235207833734</c:v>
                </c:pt>
                <c:pt idx="65" formatCode="0.00">
                  <c:v>91.420821285985753</c:v>
                </c:pt>
                <c:pt idx="66" formatCode="0.00">
                  <c:v>92.491808612095852</c:v>
                </c:pt>
                <c:pt idx="67" formatCode="0.00">
                  <c:v>93.575342465753536</c:v>
                </c:pt>
                <c:pt idx="68" formatCode="0.00">
                  <c:v>94.671569828486653</c:v>
                </c:pt>
                <c:pt idx="69" formatCode="0.00">
                  <c:v>95.780639403699467</c:v>
                </c:pt>
                <c:pt idx="70" formatCode="0.00">
                  <c:v>96.902701636844256</c:v>
                </c:pt>
                <c:pt idx="71" formatCode="0.00">
                  <c:v>98.03790873582922</c:v>
                </c:pt>
                <c:pt idx="72" formatCode="0.00">
                  <c:v>99.186414691665618</c:v>
                </c:pt>
                <c:pt idx="73" formatCode="0.00">
                  <c:v>100.3483752993566</c:v>
                </c:pt>
                <c:pt idx="74" formatCode="0.00">
                  <c:v>101.52394817903085</c:v>
                </c:pt>
                <c:pt idx="75" formatCode="0.00">
                  <c:v>102.71329279732369</c:v>
                </c:pt>
                <c:pt idx="76" formatCode="0.00">
                  <c:v>103.9165704890089</c:v>
                </c:pt>
                <c:pt idx="77" formatCode="0.00">
                  <c:v>105.13394447888373</c:v>
                </c:pt>
                <c:pt idx="78" formatCode="0.00">
                  <c:v>106.36557990391033</c:v>
                </c:pt>
                <c:pt idx="79" formatCode="0.00">
                  <c:v>107.61164383561668</c:v>
                </c:pt>
                <c:pt idx="80" formatCode="0.00">
                  <c:v>108.87230530275977</c:v>
                </c:pt>
                <c:pt idx="81" formatCode="0.00">
                  <c:v>110.14773531425452</c:v>
                </c:pt>
                <c:pt idx="82" formatCode="0.00">
                  <c:v>111.43810688237102</c:v>
                </c:pt>
                <c:pt idx="83" formatCode="0.00">
                  <c:v>112.74359504620372</c:v>
                </c:pt>
              </c:numCache>
            </c:numRef>
          </c:val>
          <c:smooth val="0"/>
          <c:extLst>
            <c:ext xmlns:c16="http://schemas.microsoft.com/office/drawing/2014/chart" uri="{C3380CC4-5D6E-409C-BE32-E72D297353CC}">
              <c16:uniqueId val="{00000001-1061-4E47-9089-C1EB70357C76}"/>
            </c:ext>
          </c:extLst>
        </c:ser>
        <c:ser>
          <c:idx val="2"/>
          <c:order val="2"/>
          <c:tx>
            <c:strRef>
              <c:f>'EQUINIX DC'!$J$297</c:f>
              <c:strCache>
                <c:ptCount val="1"/>
                <c:pt idx="0">
                  <c:v>Max %</c:v>
                </c:pt>
              </c:strCache>
            </c:strRef>
          </c:tx>
          <c:spPr>
            <a:ln w="22225" cap="rnd">
              <a:solidFill>
                <a:schemeClr val="accent3"/>
              </a:solidFill>
            </a:ln>
            <a:effectLst>
              <a:glow rad="139700">
                <a:schemeClr val="accent3">
                  <a:satMod val="175000"/>
                  <a:alpha val="14000"/>
                </a:schemeClr>
              </a:glow>
            </a:effectLst>
          </c:spPr>
          <c:marker>
            <c:symbol val="none"/>
          </c:marker>
          <c:cat>
            <c:strRef>
              <c:f>'EQUINIX DC'!$C$298:$C$381</c:f>
              <c:strCache>
                <c:ptCount val="84"/>
                <c:pt idx="0">
                  <c:v>Jan-22</c:v>
                </c:pt>
                <c:pt idx="1">
                  <c:v>Feb-22</c:v>
                </c:pt>
                <c:pt idx="2">
                  <c:v>Mar-22</c:v>
                </c:pt>
                <c:pt idx="3">
                  <c:v>Apr-22</c:v>
                </c:pt>
                <c:pt idx="4">
                  <c:v>May-22</c:v>
                </c:pt>
                <c:pt idx="5">
                  <c:v>Jun-22</c:v>
                </c:pt>
                <c:pt idx="6">
                  <c:v>Jul-22</c:v>
                </c:pt>
                <c:pt idx="7">
                  <c:v>Aug-22</c:v>
                </c:pt>
                <c:pt idx="8">
                  <c:v>Sep-22</c:v>
                </c:pt>
                <c:pt idx="9">
                  <c:v>Oct-22</c:v>
                </c:pt>
                <c:pt idx="10">
                  <c:v>Nov-22</c:v>
                </c:pt>
                <c:pt idx="11">
                  <c:v>Dec-22</c:v>
                </c:pt>
                <c:pt idx="12">
                  <c:v>Jan-23</c:v>
                </c:pt>
                <c:pt idx="13">
                  <c:v>Feb-23</c:v>
                </c:pt>
                <c:pt idx="14">
                  <c:v>Mar-23</c:v>
                </c:pt>
                <c:pt idx="15">
                  <c:v>Apr-23</c:v>
                </c:pt>
                <c:pt idx="16">
                  <c:v>May-23</c:v>
                </c:pt>
                <c:pt idx="17">
                  <c:v>Jun-23</c:v>
                </c:pt>
                <c:pt idx="18">
                  <c:v>Jul-23</c:v>
                </c:pt>
                <c:pt idx="19">
                  <c:v>Aug-23</c:v>
                </c:pt>
                <c:pt idx="20">
                  <c:v>Sep-23</c:v>
                </c:pt>
                <c:pt idx="21">
                  <c:v>Oct-23</c:v>
                </c:pt>
                <c:pt idx="22">
                  <c:v>Nov-23</c:v>
                </c:pt>
                <c:pt idx="23">
                  <c:v>Dec-23</c:v>
                </c:pt>
                <c:pt idx="24">
                  <c:v>Jan-24</c:v>
                </c:pt>
                <c:pt idx="25">
                  <c:v>Feb-24</c:v>
                </c:pt>
                <c:pt idx="26">
                  <c:v>Mar-24</c:v>
                </c:pt>
                <c:pt idx="27">
                  <c:v>Apr-24</c:v>
                </c:pt>
                <c:pt idx="28">
                  <c:v>May-24</c:v>
                </c:pt>
                <c:pt idx="29">
                  <c:v>Jun-24</c:v>
                </c:pt>
                <c:pt idx="30">
                  <c:v>Jul-24</c:v>
                </c:pt>
                <c:pt idx="31">
                  <c:v>Aug-24</c:v>
                </c:pt>
                <c:pt idx="32">
                  <c:v>Sep-24</c:v>
                </c:pt>
                <c:pt idx="33">
                  <c:v>Oct-24</c:v>
                </c:pt>
                <c:pt idx="34">
                  <c:v>Nov-24</c:v>
                </c:pt>
                <c:pt idx="35">
                  <c:v>Dec-24</c:v>
                </c:pt>
                <c:pt idx="36">
                  <c:v>Jan-25</c:v>
                </c:pt>
                <c:pt idx="37">
                  <c:v>Feb-25</c:v>
                </c:pt>
                <c:pt idx="38">
                  <c:v>Mar-25</c:v>
                </c:pt>
                <c:pt idx="39">
                  <c:v>Apr-25</c:v>
                </c:pt>
                <c:pt idx="40">
                  <c:v>May-25</c:v>
                </c:pt>
                <c:pt idx="41">
                  <c:v>Jun-25</c:v>
                </c:pt>
                <c:pt idx="42">
                  <c:v>Jul-25</c:v>
                </c:pt>
                <c:pt idx="43">
                  <c:v>Aug-25</c:v>
                </c:pt>
                <c:pt idx="44">
                  <c:v>Sep-25</c:v>
                </c:pt>
                <c:pt idx="45">
                  <c:v>Oct-25</c:v>
                </c:pt>
                <c:pt idx="46">
                  <c:v>Nov-25</c:v>
                </c:pt>
                <c:pt idx="47">
                  <c:v>Dec-25</c:v>
                </c:pt>
                <c:pt idx="48">
                  <c:v>Jan-26</c:v>
                </c:pt>
                <c:pt idx="49">
                  <c:v>Feb-26</c:v>
                </c:pt>
                <c:pt idx="50">
                  <c:v>Mar-26</c:v>
                </c:pt>
                <c:pt idx="51">
                  <c:v>Apr-26</c:v>
                </c:pt>
                <c:pt idx="52">
                  <c:v>May-26</c:v>
                </c:pt>
                <c:pt idx="53">
                  <c:v>Jun-26</c:v>
                </c:pt>
                <c:pt idx="54">
                  <c:v>Jul-26</c:v>
                </c:pt>
                <c:pt idx="55">
                  <c:v>Aug-26</c:v>
                </c:pt>
                <c:pt idx="56">
                  <c:v>Sep-26</c:v>
                </c:pt>
                <c:pt idx="57">
                  <c:v>Oct-26</c:v>
                </c:pt>
                <c:pt idx="58">
                  <c:v>Nov-26</c:v>
                </c:pt>
                <c:pt idx="59">
                  <c:v>Dec-26</c:v>
                </c:pt>
                <c:pt idx="60">
                  <c:v>Jan-27</c:v>
                </c:pt>
                <c:pt idx="61">
                  <c:v>Feb-27</c:v>
                </c:pt>
                <c:pt idx="62">
                  <c:v>Mar-27</c:v>
                </c:pt>
                <c:pt idx="63">
                  <c:v>Apr-27</c:v>
                </c:pt>
                <c:pt idx="64">
                  <c:v>May-27</c:v>
                </c:pt>
                <c:pt idx="65">
                  <c:v>Jun-27</c:v>
                </c:pt>
                <c:pt idx="66">
                  <c:v>Jul-27</c:v>
                </c:pt>
                <c:pt idx="67">
                  <c:v>Aug-27</c:v>
                </c:pt>
                <c:pt idx="68">
                  <c:v>Sep-27</c:v>
                </c:pt>
                <c:pt idx="69">
                  <c:v>Oct-27</c:v>
                </c:pt>
                <c:pt idx="70">
                  <c:v>Nov-27</c:v>
                </c:pt>
                <c:pt idx="71">
                  <c:v>Dec-27</c:v>
                </c:pt>
                <c:pt idx="72">
                  <c:v>Jan-28</c:v>
                </c:pt>
                <c:pt idx="73">
                  <c:v>Feb-28</c:v>
                </c:pt>
                <c:pt idx="74">
                  <c:v>Mar-28</c:v>
                </c:pt>
                <c:pt idx="75">
                  <c:v>Apr-28</c:v>
                </c:pt>
                <c:pt idx="76">
                  <c:v>May-28</c:v>
                </c:pt>
                <c:pt idx="77">
                  <c:v>Jun-28</c:v>
                </c:pt>
                <c:pt idx="78">
                  <c:v>Jul-28</c:v>
                </c:pt>
                <c:pt idx="79">
                  <c:v>Aug-28</c:v>
                </c:pt>
                <c:pt idx="80">
                  <c:v>Sep-28</c:v>
                </c:pt>
                <c:pt idx="81">
                  <c:v>Oct-28</c:v>
                </c:pt>
                <c:pt idx="82">
                  <c:v>Nov-28</c:v>
                </c:pt>
                <c:pt idx="83">
                  <c:v>Dec-28</c:v>
                </c:pt>
              </c:strCache>
            </c:strRef>
          </c:cat>
          <c:val>
            <c:numRef>
              <c:f>'EQUINIX DC'!$J$298:$J$381</c:f>
              <c:numCache>
                <c:formatCode>General</c:formatCode>
                <c:ptCount val="84"/>
                <c:pt idx="0">
                  <c:v>75</c:v>
                </c:pt>
                <c:pt idx="1">
                  <c:v>75</c:v>
                </c:pt>
                <c:pt idx="2">
                  <c:v>75</c:v>
                </c:pt>
                <c:pt idx="3">
                  <c:v>75</c:v>
                </c:pt>
                <c:pt idx="4">
                  <c:v>75</c:v>
                </c:pt>
                <c:pt idx="5">
                  <c:v>75</c:v>
                </c:pt>
                <c:pt idx="6">
                  <c:v>75</c:v>
                </c:pt>
                <c:pt idx="7">
                  <c:v>75</c:v>
                </c:pt>
                <c:pt idx="8">
                  <c:v>75</c:v>
                </c:pt>
                <c:pt idx="9">
                  <c:v>75</c:v>
                </c:pt>
                <c:pt idx="10">
                  <c:v>75</c:v>
                </c:pt>
                <c:pt idx="11">
                  <c:v>75</c:v>
                </c:pt>
                <c:pt idx="12">
                  <c:v>75</c:v>
                </c:pt>
                <c:pt idx="13">
                  <c:v>75</c:v>
                </c:pt>
                <c:pt idx="14">
                  <c:v>75</c:v>
                </c:pt>
                <c:pt idx="15">
                  <c:v>75</c:v>
                </c:pt>
                <c:pt idx="16">
                  <c:v>75</c:v>
                </c:pt>
                <c:pt idx="17">
                  <c:v>75</c:v>
                </c:pt>
                <c:pt idx="18">
                  <c:v>75</c:v>
                </c:pt>
                <c:pt idx="19">
                  <c:v>75</c:v>
                </c:pt>
                <c:pt idx="20">
                  <c:v>75</c:v>
                </c:pt>
                <c:pt idx="21">
                  <c:v>75</c:v>
                </c:pt>
                <c:pt idx="22">
                  <c:v>75</c:v>
                </c:pt>
                <c:pt idx="23">
                  <c:v>75</c:v>
                </c:pt>
                <c:pt idx="24">
                  <c:v>75</c:v>
                </c:pt>
                <c:pt idx="25">
                  <c:v>75</c:v>
                </c:pt>
                <c:pt idx="26">
                  <c:v>75</c:v>
                </c:pt>
                <c:pt idx="27">
                  <c:v>75</c:v>
                </c:pt>
                <c:pt idx="28">
                  <c:v>75</c:v>
                </c:pt>
                <c:pt idx="29">
                  <c:v>75</c:v>
                </c:pt>
                <c:pt idx="30">
                  <c:v>75</c:v>
                </c:pt>
                <c:pt idx="31">
                  <c:v>75</c:v>
                </c:pt>
                <c:pt idx="32">
                  <c:v>75</c:v>
                </c:pt>
                <c:pt idx="33">
                  <c:v>75</c:v>
                </c:pt>
                <c:pt idx="34">
                  <c:v>75</c:v>
                </c:pt>
                <c:pt idx="35">
                  <c:v>75</c:v>
                </c:pt>
                <c:pt idx="36">
                  <c:v>75</c:v>
                </c:pt>
                <c:pt idx="37">
                  <c:v>75</c:v>
                </c:pt>
                <c:pt idx="38">
                  <c:v>75</c:v>
                </c:pt>
                <c:pt idx="39">
                  <c:v>75</c:v>
                </c:pt>
                <c:pt idx="40">
                  <c:v>75</c:v>
                </c:pt>
                <c:pt idx="41">
                  <c:v>75</c:v>
                </c:pt>
                <c:pt idx="42">
                  <c:v>75</c:v>
                </c:pt>
                <c:pt idx="43">
                  <c:v>75</c:v>
                </c:pt>
                <c:pt idx="44">
                  <c:v>75</c:v>
                </c:pt>
                <c:pt idx="45">
                  <c:v>75</c:v>
                </c:pt>
                <c:pt idx="46">
                  <c:v>75</c:v>
                </c:pt>
                <c:pt idx="47">
                  <c:v>75</c:v>
                </c:pt>
                <c:pt idx="48">
                  <c:v>75</c:v>
                </c:pt>
                <c:pt idx="49">
                  <c:v>75</c:v>
                </c:pt>
                <c:pt idx="50">
                  <c:v>75</c:v>
                </c:pt>
                <c:pt idx="51">
                  <c:v>75</c:v>
                </c:pt>
                <c:pt idx="52">
                  <c:v>75</c:v>
                </c:pt>
                <c:pt idx="53">
                  <c:v>75</c:v>
                </c:pt>
                <c:pt idx="54">
                  <c:v>75</c:v>
                </c:pt>
                <c:pt idx="55">
                  <c:v>75</c:v>
                </c:pt>
                <c:pt idx="56">
                  <c:v>75</c:v>
                </c:pt>
                <c:pt idx="57">
                  <c:v>75</c:v>
                </c:pt>
                <c:pt idx="58">
                  <c:v>75</c:v>
                </c:pt>
                <c:pt idx="59">
                  <c:v>75</c:v>
                </c:pt>
                <c:pt idx="60">
                  <c:v>75</c:v>
                </c:pt>
                <c:pt idx="61">
                  <c:v>75</c:v>
                </c:pt>
                <c:pt idx="62">
                  <c:v>75</c:v>
                </c:pt>
                <c:pt idx="63">
                  <c:v>75</c:v>
                </c:pt>
                <c:pt idx="64">
                  <c:v>75</c:v>
                </c:pt>
                <c:pt idx="65">
                  <c:v>75</c:v>
                </c:pt>
                <c:pt idx="66">
                  <c:v>75</c:v>
                </c:pt>
                <c:pt idx="67">
                  <c:v>75</c:v>
                </c:pt>
                <c:pt idx="68">
                  <c:v>75</c:v>
                </c:pt>
                <c:pt idx="69">
                  <c:v>75</c:v>
                </c:pt>
                <c:pt idx="70">
                  <c:v>75</c:v>
                </c:pt>
                <c:pt idx="71">
                  <c:v>75</c:v>
                </c:pt>
                <c:pt idx="72">
                  <c:v>75</c:v>
                </c:pt>
                <c:pt idx="73">
                  <c:v>75</c:v>
                </c:pt>
                <c:pt idx="74">
                  <c:v>75</c:v>
                </c:pt>
                <c:pt idx="75">
                  <c:v>75</c:v>
                </c:pt>
                <c:pt idx="76">
                  <c:v>75</c:v>
                </c:pt>
                <c:pt idx="77">
                  <c:v>75</c:v>
                </c:pt>
                <c:pt idx="78">
                  <c:v>75</c:v>
                </c:pt>
                <c:pt idx="79">
                  <c:v>75</c:v>
                </c:pt>
                <c:pt idx="80">
                  <c:v>75</c:v>
                </c:pt>
                <c:pt idx="81">
                  <c:v>75</c:v>
                </c:pt>
                <c:pt idx="82">
                  <c:v>75</c:v>
                </c:pt>
                <c:pt idx="83">
                  <c:v>75</c:v>
                </c:pt>
              </c:numCache>
            </c:numRef>
          </c:val>
          <c:smooth val="0"/>
          <c:extLst>
            <c:ext xmlns:c16="http://schemas.microsoft.com/office/drawing/2014/chart" uri="{C3380CC4-5D6E-409C-BE32-E72D297353CC}">
              <c16:uniqueId val="{00000002-1061-4E47-9089-C1EB70357C76}"/>
            </c:ext>
          </c:extLst>
        </c:ser>
        <c:dLbls>
          <c:showLegendKey val="0"/>
          <c:showVal val="0"/>
          <c:showCatName val="0"/>
          <c:showSerName val="0"/>
          <c:showPercent val="0"/>
          <c:showBubbleSize val="0"/>
        </c:dLbls>
        <c:marker val="1"/>
        <c:smooth val="0"/>
        <c:axId val="576325984"/>
        <c:axId val="576326400"/>
      </c:lineChart>
      <c:catAx>
        <c:axId val="57632598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76326400"/>
        <c:crosses val="autoZero"/>
        <c:auto val="1"/>
        <c:lblAlgn val="ctr"/>
        <c:lblOffset val="100"/>
        <c:noMultiLvlLbl val="0"/>
      </c:catAx>
      <c:valAx>
        <c:axId val="57632640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76325984"/>
        <c:crosses val="autoZero"/>
        <c:crossBetween val="between"/>
      </c:valAx>
      <c:spPr>
        <a:noFill/>
        <a:ln>
          <a:noFill/>
        </a:ln>
        <a:effectLst/>
      </c:spPr>
    </c:plotArea>
    <c:legend>
      <c:legendPos val="t"/>
      <c:layout>
        <c:manualLayout>
          <c:xMode val="edge"/>
          <c:yMode val="edge"/>
          <c:x val="0.53169400408209655"/>
          <c:y val="0.65225964273399961"/>
          <c:w val="0.10919885044339192"/>
          <c:h val="0.15160669631737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Oracle RAC Windchill Prod</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lineChart>
        <c:grouping val="standard"/>
        <c:varyColors val="0"/>
        <c:ser>
          <c:idx val="0"/>
          <c:order val="0"/>
          <c:tx>
            <c:strRef>
              <c:f>'EQUINIX DC'!$H$390</c:f>
              <c:strCache>
                <c:ptCount val="1"/>
                <c:pt idx="0">
                  <c:v>In use (%)</c:v>
                </c:pt>
              </c:strCache>
            </c:strRef>
          </c:tx>
          <c:spPr>
            <a:ln w="22225" cap="rnd">
              <a:solidFill>
                <a:schemeClr val="accent1"/>
              </a:solidFill>
            </a:ln>
            <a:effectLst>
              <a:glow rad="139700">
                <a:schemeClr val="accent1">
                  <a:satMod val="175000"/>
                  <a:alpha val="14000"/>
                </a:schemeClr>
              </a:glow>
            </a:effectLst>
          </c:spPr>
          <c:marker>
            <c:symbol val="circle"/>
            <c:size val="5"/>
            <c:spPr>
              <a:solidFill>
                <a:schemeClr val="accent1">
                  <a:lumMod val="60000"/>
                  <a:lumOff val="40000"/>
                </a:schemeClr>
              </a:solidFill>
              <a:ln>
                <a:solidFill>
                  <a:schemeClr val="accent1"/>
                </a:solidFill>
              </a:ln>
              <a:effectLst>
                <a:glow rad="63500">
                  <a:schemeClr val="accent1">
                    <a:satMod val="175000"/>
                    <a:alpha val="25000"/>
                  </a:schemeClr>
                </a:glow>
              </a:effectLst>
            </c:spPr>
          </c:marker>
          <c:cat>
            <c:strRef>
              <c:f>'EQUINIX DC'!$C$391:$C$426</c:f>
              <c:strCache>
                <c:ptCount val="36"/>
                <c:pt idx="0">
                  <c:v>Jan-22</c:v>
                </c:pt>
                <c:pt idx="1">
                  <c:v>Feb-22</c:v>
                </c:pt>
                <c:pt idx="2">
                  <c:v>Mar-22</c:v>
                </c:pt>
                <c:pt idx="3">
                  <c:v>Apr-22</c:v>
                </c:pt>
                <c:pt idx="4">
                  <c:v>May-22</c:v>
                </c:pt>
                <c:pt idx="5">
                  <c:v>Jun-22</c:v>
                </c:pt>
                <c:pt idx="6">
                  <c:v>Jul-22</c:v>
                </c:pt>
                <c:pt idx="7">
                  <c:v>Aug-22</c:v>
                </c:pt>
                <c:pt idx="8">
                  <c:v>Sep-22</c:v>
                </c:pt>
                <c:pt idx="9">
                  <c:v>Oct-22</c:v>
                </c:pt>
                <c:pt idx="10">
                  <c:v>Nov-22</c:v>
                </c:pt>
                <c:pt idx="11">
                  <c:v>Dec-22</c:v>
                </c:pt>
                <c:pt idx="12">
                  <c:v>Jan-23</c:v>
                </c:pt>
                <c:pt idx="13">
                  <c:v>Feb-23</c:v>
                </c:pt>
                <c:pt idx="14">
                  <c:v>Mar-23</c:v>
                </c:pt>
                <c:pt idx="15">
                  <c:v>Apr-23</c:v>
                </c:pt>
                <c:pt idx="16">
                  <c:v>May-23</c:v>
                </c:pt>
                <c:pt idx="17">
                  <c:v>Jun-23</c:v>
                </c:pt>
                <c:pt idx="18">
                  <c:v>Jul-23</c:v>
                </c:pt>
                <c:pt idx="19">
                  <c:v>Aug-23</c:v>
                </c:pt>
                <c:pt idx="20">
                  <c:v>Sep-23</c:v>
                </c:pt>
                <c:pt idx="21">
                  <c:v>Oct-23</c:v>
                </c:pt>
                <c:pt idx="22">
                  <c:v>Nov-23</c:v>
                </c:pt>
                <c:pt idx="23">
                  <c:v>Dec-23</c:v>
                </c:pt>
                <c:pt idx="24">
                  <c:v>Jan-24</c:v>
                </c:pt>
                <c:pt idx="25">
                  <c:v>Feb-24</c:v>
                </c:pt>
                <c:pt idx="26">
                  <c:v>Mar-24</c:v>
                </c:pt>
                <c:pt idx="27">
                  <c:v>Apr-24</c:v>
                </c:pt>
                <c:pt idx="28">
                  <c:v>May-24</c:v>
                </c:pt>
                <c:pt idx="29">
                  <c:v>Jun-24</c:v>
                </c:pt>
                <c:pt idx="30">
                  <c:v>Jul-24</c:v>
                </c:pt>
                <c:pt idx="31">
                  <c:v>Aug-24</c:v>
                </c:pt>
                <c:pt idx="32">
                  <c:v>Sep-24</c:v>
                </c:pt>
                <c:pt idx="33">
                  <c:v>Oct-24</c:v>
                </c:pt>
                <c:pt idx="34">
                  <c:v>Nov-24</c:v>
                </c:pt>
                <c:pt idx="35">
                  <c:v>Dec-24</c:v>
                </c:pt>
              </c:strCache>
            </c:strRef>
          </c:cat>
          <c:val>
            <c:numRef>
              <c:f>'EQUINIX DC'!$H$391:$H$426</c:f>
              <c:numCache>
                <c:formatCode>0.0</c:formatCode>
                <c:ptCount val="36"/>
                <c:pt idx="0">
                  <c:v>67.777777777777771</c:v>
                </c:pt>
                <c:pt idx="1">
                  <c:v>67.777777777777771</c:v>
                </c:pt>
                <c:pt idx="2">
                  <c:v>68.888888888888886</c:v>
                </c:pt>
                <c:pt idx="3">
                  <c:v>69.444444444444443</c:v>
                </c:pt>
                <c:pt idx="4">
                  <c:v>70.555555555555543</c:v>
                </c:pt>
                <c:pt idx="5">
                  <c:v>72.222222222222214</c:v>
                </c:pt>
                <c:pt idx="6">
                  <c:v>73.333333333333329</c:v>
                </c:pt>
                <c:pt idx="7">
                  <c:v>75</c:v>
                </c:pt>
                <c:pt idx="8">
                  <c:v>75.555555555555557</c:v>
                </c:pt>
                <c:pt idx="9">
                  <c:v>77.222222222222229</c:v>
                </c:pt>
                <c:pt idx="10">
                  <c:v>77.777777777777786</c:v>
                </c:pt>
                <c:pt idx="11">
                  <c:v>78.888888888888886</c:v>
                </c:pt>
                <c:pt idx="12">
                  <c:v>82.777777777777786</c:v>
                </c:pt>
                <c:pt idx="13">
                  <c:v>83.888888888888886</c:v>
                </c:pt>
                <c:pt idx="14">
                  <c:v>85.000000000000014</c:v>
                </c:pt>
                <c:pt idx="15">
                  <c:v>81.111111111111114</c:v>
                </c:pt>
                <c:pt idx="16">
                  <c:v>82.222222222222229</c:v>
                </c:pt>
                <c:pt idx="17">
                  <c:v>83.277777777777786</c:v>
                </c:pt>
                <c:pt idx="18">
                  <c:v>83.888888888888886</c:v>
                </c:pt>
                <c:pt idx="19">
                  <c:v>84.833333333333329</c:v>
                </c:pt>
                <c:pt idx="20">
                  <c:v>85.555555555555557</c:v>
                </c:pt>
                <c:pt idx="21">
                  <c:v>86.444444444444443</c:v>
                </c:pt>
                <c:pt idx="22">
                  <c:v>87.222222222222229</c:v>
                </c:pt>
                <c:pt idx="23">
                  <c:v>87.222222222222229</c:v>
                </c:pt>
                <c:pt idx="24">
                  <c:v>88.888888888888886</c:v>
                </c:pt>
                <c:pt idx="25">
                  <c:v>89.166666666666671</c:v>
                </c:pt>
                <c:pt idx="26">
                  <c:v>90.499999999999986</c:v>
                </c:pt>
                <c:pt idx="27">
                  <c:v>91.222222222222229</c:v>
                </c:pt>
                <c:pt idx="28">
                  <c:v>91.888888888888886</c:v>
                </c:pt>
                <c:pt idx="29">
                  <c:v>91.499999999999986</c:v>
                </c:pt>
                <c:pt idx="30">
                  <c:v>91.499999999999986</c:v>
                </c:pt>
                <c:pt idx="31">
                  <c:v>91.499999999999986</c:v>
                </c:pt>
                <c:pt idx="32">
                  <c:v>0</c:v>
                </c:pt>
                <c:pt idx="33">
                  <c:v>0</c:v>
                </c:pt>
              </c:numCache>
            </c:numRef>
          </c:val>
          <c:smooth val="0"/>
          <c:extLst>
            <c:ext xmlns:c16="http://schemas.microsoft.com/office/drawing/2014/chart" uri="{C3380CC4-5D6E-409C-BE32-E72D297353CC}">
              <c16:uniqueId val="{00000000-174E-4B62-B8F6-89FD9151DF31}"/>
            </c:ext>
          </c:extLst>
        </c:ser>
        <c:ser>
          <c:idx val="1"/>
          <c:order val="1"/>
          <c:tx>
            <c:strRef>
              <c:f>'EQUINIX DC'!$I$390</c:f>
              <c:strCache>
                <c:ptCount val="1"/>
                <c:pt idx="0">
                  <c:v>Forecast (%)</c:v>
                </c:pt>
              </c:strCache>
            </c:strRef>
          </c:tx>
          <c:spPr>
            <a:ln w="22225" cap="rnd">
              <a:solidFill>
                <a:schemeClr val="accent2"/>
              </a:solidFill>
            </a:ln>
            <a:effectLst>
              <a:glow rad="139700">
                <a:schemeClr val="accent2">
                  <a:satMod val="175000"/>
                  <a:alpha val="14000"/>
                </a:schemeClr>
              </a:glow>
            </a:effectLst>
          </c:spPr>
          <c:marker>
            <c:symbol val="circle"/>
            <c:size val="5"/>
            <c:spPr>
              <a:solidFill>
                <a:schemeClr val="accent2">
                  <a:lumMod val="60000"/>
                  <a:lumOff val="40000"/>
                </a:schemeClr>
              </a:solidFill>
              <a:ln>
                <a:noFill/>
              </a:ln>
              <a:effectLst>
                <a:glow rad="63500">
                  <a:schemeClr val="accent2">
                    <a:satMod val="175000"/>
                    <a:alpha val="25000"/>
                  </a:schemeClr>
                </a:glow>
              </a:effectLst>
            </c:spPr>
          </c:marker>
          <c:cat>
            <c:strRef>
              <c:f>'EQUINIX DC'!$C$391:$C$426</c:f>
              <c:strCache>
                <c:ptCount val="36"/>
                <c:pt idx="0">
                  <c:v>Jan-22</c:v>
                </c:pt>
                <c:pt idx="1">
                  <c:v>Feb-22</c:v>
                </c:pt>
                <c:pt idx="2">
                  <c:v>Mar-22</c:v>
                </c:pt>
                <c:pt idx="3">
                  <c:v>Apr-22</c:v>
                </c:pt>
                <c:pt idx="4">
                  <c:v>May-22</c:v>
                </c:pt>
                <c:pt idx="5">
                  <c:v>Jun-22</c:v>
                </c:pt>
                <c:pt idx="6">
                  <c:v>Jul-22</c:v>
                </c:pt>
                <c:pt idx="7">
                  <c:v>Aug-22</c:v>
                </c:pt>
                <c:pt idx="8">
                  <c:v>Sep-22</c:v>
                </c:pt>
                <c:pt idx="9">
                  <c:v>Oct-22</c:v>
                </c:pt>
                <c:pt idx="10">
                  <c:v>Nov-22</c:v>
                </c:pt>
                <c:pt idx="11">
                  <c:v>Dec-22</c:v>
                </c:pt>
                <c:pt idx="12">
                  <c:v>Jan-23</c:v>
                </c:pt>
                <c:pt idx="13">
                  <c:v>Feb-23</c:v>
                </c:pt>
                <c:pt idx="14">
                  <c:v>Mar-23</c:v>
                </c:pt>
                <c:pt idx="15">
                  <c:v>Apr-23</c:v>
                </c:pt>
                <c:pt idx="16">
                  <c:v>May-23</c:v>
                </c:pt>
                <c:pt idx="17">
                  <c:v>Jun-23</c:v>
                </c:pt>
                <c:pt idx="18">
                  <c:v>Jul-23</c:v>
                </c:pt>
                <c:pt idx="19">
                  <c:v>Aug-23</c:v>
                </c:pt>
                <c:pt idx="20">
                  <c:v>Sep-23</c:v>
                </c:pt>
                <c:pt idx="21">
                  <c:v>Oct-23</c:v>
                </c:pt>
                <c:pt idx="22">
                  <c:v>Nov-23</c:v>
                </c:pt>
                <c:pt idx="23">
                  <c:v>Dec-23</c:v>
                </c:pt>
                <c:pt idx="24">
                  <c:v>Jan-24</c:v>
                </c:pt>
                <c:pt idx="25">
                  <c:v>Feb-24</c:v>
                </c:pt>
                <c:pt idx="26">
                  <c:v>Mar-24</c:v>
                </c:pt>
                <c:pt idx="27">
                  <c:v>Apr-24</c:v>
                </c:pt>
                <c:pt idx="28">
                  <c:v>May-24</c:v>
                </c:pt>
                <c:pt idx="29">
                  <c:v>Jun-24</c:v>
                </c:pt>
                <c:pt idx="30">
                  <c:v>Jul-24</c:v>
                </c:pt>
                <c:pt idx="31">
                  <c:v>Aug-24</c:v>
                </c:pt>
                <c:pt idx="32">
                  <c:v>Sep-24</c:v>
                </c:pt>
                <c:pt idx="33">
                  <c:v>Oct-24</c:v>
                </c:pt>
                <c:pt idx="34">
                  <c:v>Nov-24</c:v>
                </c:pt>
                <c:pt idx="35">
                  <c:v>Dec-24</c:v>
                </c:pt>
              </c:strCache>
            </c:strRef>
          </c:cat>
          <c:val>
            <c:numRef>
              <c:f>'EQUINIX DC'!$I$391:$I$426</c:f>
              <c:numCache>
                <c:formatCode>General</c:formatCode>
                <c:ptCount val="36"/>
                <c:pt idx="33" formatCode="0.0">
                  <c:v>0</c:v>
                </c:pt>
                <c:pt idx="34" formatCode="0.0">
                  <c:v>0</c:v>
                </c:pt>
                <c:pt idx="35" formatCode="0.0">
                  <c:v>0</c:v>
                </c:pt>
              </c:numCache>
            </c:numRef>
          </c:val>
          <c:smooth val="0"/>
          <c:extLst>
            <c:ext xmlns:c16="http://schemas.microsoft.com/office/drawing/2014/chart" uri="{C3380CC4-5D6E-409C-BE32-E72D297353CC}">
              <c16:uniqueId val="{00000001-174E-4B62-B8F6-89FD9151DF31}"/>
            </c:ext>
          </c:extLst>
        </c:ser>
        <c:ser>
          <c:idx val="2"/>
          <c:order val="2"/>
          <c:tx>
            <c:strRef>
              <c:f>'EQUINIX DC'!$J$390</c:f>
              <c:strCache>
                <c:ptCount val="1"/>
                <c:pt idx="0">
                  <c:v>Max %</c:v>
                </c:pt>
              </c:strCache>
            </c:strRef>
          </c:tx>
          <c:spPr>
            <a:ln w="22225" cap="rnd">
              <a:solidFill>
                <a:schemeClr val="accent3"/>
              </a:solidFill>
            </a:ln>
            <a:effectLst>
              <a:glow rad="139700">
                <a:schemeClr val="accent3">
                  <a:satMod val="175000"/>
                  <a:alpha val="14000"/>
                </a:schemeClr>
              </a:glow>
            </a:effectLst>
          </c:spPr>
          <c:marker>
            <c:symbol val="none"/>
          </c:marker>
          <c:cat>
            <c:strRef>
              <c:f>'EQUINIX DC'!$C$391:$C$426</c:f>
              <c:strCache>
                <c:ptCount val="36"/>
                <c:pt idx="0">
                  <c:v>Jan-22</c:v>
                </c:pt>
                <c:pt idx="1">
                  <c:v>Feb-22</c:v>
                </c:pt>
                <c:pt idx="2">
                  <c:v>Mar-22</c:v>
                </c:pt>
                <c:pt idx="3">
                  <c:v>Apr-22</c:v>
                </c:pt>
                <c:pt idx="4">
                  <c:v>May-22</c:v>
                </c:pt>
                <c:pt idx="5">
                  <c:v>Jun-22</c:v>
                </c:pt>
                <c:pt idx="6">
                  <c:v>Jul-22</c:v>
                </c:pt>
                <c:pt idx="7">
                  <c:v>Aug-22</c:v>
                </c:pt>
                <c:pt idx="8">
                  <c:v>Sep-22</c:v>
                </c:pt>
                <c:pt idx="9">
                  <c:v>Oct-22</c:v>
                </c:pt>
                <c:pt idx="10">
                  <c:v>Nov-22</c:v>
                </c:pt>
                <c:pt idx="11">
                  <c:v>Dec-22</c:v>
                </c:pt>
                <c:pt idx="12">
                  <c:v>Jan-23</c:v>
                </c:pt>
                <c:pt idx="13">
                  <c:v>Feb-23</c:v>
                </c:pt>
                <c:pt idx="14">
                  <c:v>Mar-23</c:v>
                </c:pt>
                <c:pt idx="15">
                  <c:v>Apr-23</c:v>
                </c:pt>
                <c:pt idx="16">
                  <c:v>May-23</c:v>
                </c:pt>
                <c:pt idx="17">
                  <c:v>Jun-23</c:v>
                </c:pt>
                <c:pt idx="18">
                  <c:v>Jul-23</c:v>
                </c:pt>
                <c:pt idx="19">
                  <c:v>Aug-23</c:v>
                </c:pt>
                <c:pt idx="20">
                  <c:v>Sep-23</c:v>
                </c:pt>
                <c:pt idx="21">
                  <c:v>Oct-23</c:v>
                </c:pt>
                <c:pt idx="22">
                  <c:v>Nov-23</c:v>
                </c:pt>
                <c:pt idx="23">
                  <c:v>Dec-23</c:v>
                </c:pt>
                <c:pt idx="24">
                  <c:v>Jan-24</c:v>
                </c:pt>
                <c:pt idx="25">
                  <c:v>Feb-24</c:v>
                </c:pt>
                <c:pt idx="26">
                  <c:v>Mar-24</c:v>
                </c:pt>
                <c:pt idx="27">
                  <c:v>Apr-24</c:v>
                </c:pt>
                <c:pt idx="28">
                  <c:v>May-24</c:v>
                </c:pt>
                <c:pt idx="29">
                  <c:v>Jun-24</c:v>
                </c:pt>
                <c:pt idx="30">
                  <c:v>Jul-24</c:v>
                </c:pt>
                <c:pt idx="31">
                  <c:v>Aug-24</c:v>
                </c:pt>
                <c:pt idx="32">
                  <c:v>Sep-24</c:v>
                </c:pt>
                <c:pt idx="33">
                  <c:v>Oct-24</c:v>
                </c:pt>
                <c:pt idx="34">
                  <c:v>Nov-24</c:v>
                </c:pt>
                <c:pt idx="35">
                  <c:v>Dec-24</c:v>
                </c:pt>
              </c:strCache>
            </c:strRef>
          </c:cat>
          <c:val>
            <c:numRef>
              <c:f>'EQUINIX DC'!$J$391:$J$426</c:f>
              <c:numCache>
                <c:formatCode>General</c:formatCode>
                <c:ptCount val="36"/>
                <c:pt idx="0">
                  <c:v>90</c:v>
                </c:pt>
                <c:pt idx="1">
                  <c:v>90</c:v>
                </c:pt>
                <c:pt idx="2">
                  <c:v>90</c:v>
                </c:pt>
                <c:pt idx="3">
                  <c:v>90</c:v>
                </c:pt>
                <c:pt idx="4">
                  <c:v>90</c:v>
                </c:pt>
                <c:pt idx="5">
                  <c:v>90</c:v>
                </c:pt>
                <c:pt idx="6">
                  <c:v>90</c:v>
                </c:pt>
                <c:pt idx="7">
                  <c:v>90</c:v>
                </c:pt>
                <c:pt idx="8">
                  <c:v>90</c:v>
                </c:pt>
                <c:pt idx="9">
                  <c:v>90</c:v>
                </c:pt>
                <c:pt idx="10">
                  <c:v>90</c:v>
                </c:pt>
                <c:pt idx="11">
                  <c:v>90</c:v>
                </c:pt>
                <c:pt idx="12">
                  <c:v>90</c:v>
                </c:pt>
                <c:pt idx="13">
                  <c:v>90</c:v>
                </c:pt>
                <c:pt idx="14">
                  <c:v>90</c:v>
                </c:pt>
                <c:pt idx="15">
                  <c:v>90</c:v>
                </c:pt>
                <c:pt idx="16">
                  <c:v>90</c:v>
                </c:pt>
                <c:pt idx="17">
                  <c:v>90</c:v>
                </c:pt>
                <c:pt idx="18">
                  <c:v>90</c:v>
                </c:pt>
                <c:pt idx="19">
                  <c:v>90</c:v>
                </c:pt>
                <c:pt idx="20">
                  <c:v>90</c:v>
                </c:pt>
                <c:pt idx="21">
                  <c:v>90</c:v>
                </c:pt>
                <c:pt idx="22">
                  <c:v>90</c:v>
                </c:pt>
                <c:pt idx="23">
                  <c:v>90</c:v>
                </c:pt>
                <c:pt idx="24">
                  <c:v>90</c:v>
                </c:pt>
                <c:pt idx="25">
                  <c:v>90</c:v>
                </c:pt>
                <c:pt idx="26">
                  <c:v>90</c:v>
                </c:pt>
                <c:pt idx="27">
                  <c:v>90</c:v>
                </c:pt>
                <c:pt idx="28">
                  <c:v>90</c:v>
                </c:pt>
                <c:pt idx="29">
                  <c:v>90</c:v>
                </c:pt>
                <c:pt idx="30">
                  <c:v>90</c:v>
                </c:pt>
                <c:pt idx="31">
                  <c:v>90</c:v>
                </c:pt>
                <c:pt idx="32">
                  <c:v>90</c:v>
                </c:pt>
                <c:pt idx="33">
                  <c:v>90</c:v>
                </c:pt>
                <c:pt idx="34">
                  <c:v>90</c:v>
                </c:pt>
                <c:pt idx="35">
                  <c:v>90</c:v>
                </c:pt>
              </c:numCache>
            </c:numRef>
          </c:val>
          <c:smooth val="0"/>
          <c:extLst>
            <c:ext xmlns:c16="http://schemas.microsoft.com/office/drawing/2014/chart" uri="{C3380CC4-5D6E-409C-BE32-E72D297353CC}">
              <c16:uniqueId val="{00000002-174E-4B62-B8F6-89FD9151DF31}"/>
            </c:ext>
          </c:extLst>
        </c:ser>
        <c:dLbls>
          <c:showLegendKey val="0"/>
          <c:showVal val="0"/>
          <c:showCatName val="0"/>
          <c:showSerName val="0"/>
          <c:showPercent val="0"/>
          <c:showBubbleSize val="0"/>
        </c:dLbls>
        <c:marker val="1"/>
        <c:smooth val="0"/>
        <c:axId val="711782143"/>
        <c:axId val="711796287"/>
      </c:lineChart>
      <c:catAx>
        <c:axId val="71178214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11796287"/>
        <c:crosses val="autoZero"/>
        <c:auto val="1"/>
        <c:lblAlgn val="ctr"/>
        <c:lblOffset val="100"/>
        <c:noMultiLvlLbl val="0"/>
      </c:catAx>
      <c:valAx>
        <c:axId val="711796287"/>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11782143"/>
        <c:crosses val="autoZero"/>
        <c:crossBetween val="between"/>
      </c:valAx>
      <c:spPr>
        <a:noFill/>
        <a:ln>
          <a:noFill/>
        </a:ln>
        <a:effectLst/>
      </c:spPr>
    </c:plotArea>
    <c:legend>
      <c:legendPos val="t"/>
      <c:layout>
        <c:manualLayout>
          <c:xMode val="edge"/>
          <c:yMode val="edge"/>
          <c:x val="0.56281866197910035"/>
          <c:y val="0.59004534169113465"/>
          <c:w val="0.10199369836141632"/>
          <c:h val="0.1879268137713998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3802465970992519E-2"/>
          <c:y val="1.5490422719434701E-2"/>
          <c:w val="0.94838281447670403"/>
          <c:h val="0.85569112867676855"/>
        </c:manualLayout>
      </c:layout>
      <c:lineChart>
        <c:grouping val="standard"/>
        <c:varyColors val="0"/>
        <c:ser>
          <c:idx val="0"/>
          <c:order val="0"/>
          <c:tx>
            <c:strRef>
              <c:f>'MacPark-DC'!$H$1</c:f>
              <c:strCache>
                <c:ptCount val="1"/>
                <c:pt idx="0">
                  <c:v>In use (%)</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numRef>
              <c:f>'MacPark-DC'!$C$2:$C$62</c:f>
              <c:numCache>
                <c:formatCode>mmm\-yy</c:formatCode>
                <c:ptCount val="61"/>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pt idx="35">
                  <c:v>45627</c:v>
                </c:pt>
                <c:pt idx="36">
                  <c:v>45658</c:v>
                </c:pt>
                <c:pt idx="37">
                  <c:v>45689</c:v>
                </c:pt>
                <c:pt idx="38">
                  <c:v>45717</c:v>
                </c:pt>
                <c:pt idx="39">
                  <c:v>45748</c:v>
                </c:pt>
                <c:pt idx="40">
                  <c:v>45778</c:v>
                </c:pt>
                <c:pt idx="41">
                  <c:v>45809</c:v>
                </c:pt>
                <c:pt idx="42">
                  <c:v>45839</c:v>
                </c:pt>
                <c:pt idx="43">
                  <c:v>45870</c:v>
                </c:pt>
                <c:pt idx="44">
                  <c:v>45901</c:v>
                </c:pt>
                <c:pt idx="45">
                  <c:v>45931</c:v>
                </c:pt>
                <c:pt idx="46">
                  <c:v>45962</c:v>
                </c:pt>
                <c:pt idx="47">
                  <c:v>45992</c:v>
                </c:pt>
                <c:pt idx="48">
                  <c:v>46023</c:v>
                </c:pt>
                <c:pt idx="49">
                  <c:v>46054</c:v>
                </c:pt>
                <c:pt idx="50">
                  <c:v>46082</c:v>
                </c:pt>
                <c:pt idx="51">
                  <c:v>46113</c:v>
                </c:pt>
                <c:pt idx="52">
                  <c:v>46143</c:v>
                </c:pt>
                <c:pt idx="53">
                  <c:v>46174</c:v>
                </c:pt>
                <c:pt idx="54">
                  <c:v>46204</c:v>
                </c:pt>
                <c:pt idx="55">
                  <c:v>46235</c:v>
                </c:pt>
                <c:pt idx="56">
                  <c:v>46266</c:v>
                </c:pt>
                <c:pt idx="57">
                  <c:v>46296</c:v>
                </c:pt>
                <c:pt idx="58">
                  <c:v>46327</c:v>
                </c:pt>
                <c:pt idx="59">
                  <c:v>46357</c:v>
                </c:pt>
                <c:pt idx="60">
                  <c:v>46388</c:v>
                </c:pt>
              </c:numCache>
            </c:numRef>
          </c:cat>
          <c:val>
            <c:numRef>
              <c:f>'MacPark-DC'!$H$2:$H$53</c:f>
              <c:numCache>
                <c:formatCode>0.0</c:formatCode>
                <c:ptCount val="52"/>
                <c:pt idx="0">
                  <c:v>79.491034482758621</c:v>
                </c:pt>
                <c:pt idx="1">
                  <c:v>78.413131628197135</c:v>
                </c:pt>
                <c:pt idx="2">
                  <c:v>87.553805364940729</c:v>
                </c:pt>
                <c:pt idx="3">
                  <c:v>67.218089854210049</c:v>
                </c:pt>
                <c:pt idx="4">
                  <c:v>67.308740686898062</c:v>
                </c:pt>
                <c:pt idx="5">
                  <c:v>66.95741716639408</c:v>
                </c:pt>
                <c:pt idx="6">
                  <c:v>67.570416136652739</c:v>
                </c:pt>
                <c:pt idx="7">
                  <c:v>55.87861166636381</c:v>
                </c:pt>
                <c:pt idx="8">
                  <c:v>56.569144103216438</c:v>
                </c:pt>
                <c:pt idx="9">
                  <c:v>57.823005633290926</c:v>
                </c:pt>
                <c:pt idx="10">
                  <c:v>59.755284996062755</c:v>
                </c:pt>
                <c:pt idx="11">
                  <c:v>70.198437216063965</c:v>
                </c:pt>
                <c:pt idx="12">
                  <c:v>72.56647889030225</c:v>
                </c:pt>
                <c:pt idx="13">
                  <c:v>78.078623780967959</c:v>
                </c:pt>
                <c:pt idx="14">
                  <c:v>76.49766793870009</c:v>
                </c:pt>
                <c:pt idx="15">
                  <c:v>76.915621782058281</c:v>
                </c:pt>
                <c:pt idx="16">
                  <c:v>66.27899933369676</c:v>
                </c:pt>
                <c:pt idx="17">
                  <c:v>66.186928342116431</c:v>
                </c:pt>
                <c:pt idx="18">
                  <c:v>67.472287842994731</c:v>
                </c:pt>
                <c:pt idx="19">
                  <c:v>68.774607789690478</c:v>
                </c:pt>
                <c:pt idx="20">
                  <c:v>69.337936882912359</c:v>
                </c:pt>
                <c:pt idx="21">
                  <c:v>69.370078740157481</c:v>
                </c:pt>
                <c:pt idx="22">
                  <c:v>71.362810417928529</c:v>
                </c:pt>
                <c:pt idx="23">
                  <c:v>75.039370078740149</c:v>
                </c:pt>
                <c:pt idx="24">
                  <c:v>76.293155663234415</c:v>
                </c:pt>
                <c:pt idx="25">
                  <c:v>76.474863718958204</c:v>
                </c:pt>
                <c:pt idx="26">
                  <c:v>74.760751059963667</c:v>
                </c:pt>
                <c:pt idx="27">
                  <c:v>75.929739551786795</c:v>
                </c:pt>
                <c:pt idx="28">
                  <c:v>74.530587522713503</c:v>
                </c:pt>
                <c:pt idx="29">
                  <c:v>79.509388249545736</c:v>
                </c:pt>
                <c:pt idx="30">
                  <c:v>79.842519685039377</c:v>
                </c:pt>
                <c:pt idx="31">
                  <c:v>80.514839491217444</c:v>
                </c:pt>
                <c:pt idx="32">
                  <c:v>82.471229557843728</c:v>
                </c:pt>
                <c:pt idx="33">
                  <c:v>74.554815263476684</c:v>
                </c:pt>
                <c:pt idx="34">
                  <c:v>74.706238643246522</c:v>
                </c:pt>
                <c:pt idx="35">
                  <c:v>76.77771047849788</c:v>
                </c:pt>
                <c:pt idx="36">
                  <c:v>78.964264082374328</c:v>
                </c:pt>
                <c:pt idx="37">
                  <c:v>77.886129618413094</c:v>
                </c:pt>
                <c:pt idx="38">
                  <c:v>77.886129618413094</c:v>
                </c:pt>
                <c:pt idx="39">
                  <c:v>77.522713506965474</c:v>
                </c:pt>
                <c:pt idx="40">
                  <c:v>80.290732889158093</c:v>
                </c:pt>
                <c:pt idx="41">
                  <c:v>80.884312537855863</c:v>
                </c:pt>
                <c:pt idx="42">
                  <c:v>80.811629315566307</c:v>
                </c:pt>
                <c:pt idx="43">
                  <c:v>81.223500908540274</c:v>
                </c:pt>
                <c:pt idx="44">
                  <c:v>81.738340399757732</c:v>
                </c:pt>
                <c:pt idx="45">
                  <c:v>81.059963658388867</c:v>
                </c:pt>
                <c:pt idx="46">
                  <c:v>82.23500908540278</c:v>
                </c:pt>
                <c:pt idx="47">
                  <c:v>80.321017565112058</c:v>
                </c:pt>
                <c:pt idx="48">
                  <c:v>81.387038158691709</c:v>
                </c:pt>
                <c:pt idx="49">
                  <c:v>82.295578437310724</c:v>
                </c:pt>
                <c:pt idx="50">
                  <c:v>83.652331920048454</c:v>
                </c:pt>
                <c:pt idx="51">
                  <c:v>83.101150817686246</c:v>
                </c:pt>
              </c:numCache>
            </c:numRef>
          </c:val>
          <c:smooth val="0"/>
          <c:extLst>
            <c:ext xmlns:c16="http://schemas.microsoft.com/office/drawing/2014/chart" uri="{C3380CC4-5D6E-409C-BE32-E72D297353CC}">
              <c16:uniqueId val="{00000000-6467-4E56-8570-EB1E3D7608BC}"/>
            </c:ext>
          </c:extLst>
        </c:ser>
        <c:ser>
          <c:idx val="1"/>
          <c:order val="1"/>
          <c:tx>
            <c:strRef>
              <c:f>'MacPark-DC'!$I$1</c:f>
              <c:strCache>
                <c:ptCount val="1"/>
                <c:pt idx="0">
                  <c:v>Forecast (%)</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numRef>
              <c:f>'MacPark-DC'!$C$2:$C$62</c:f>
              <c:numCache>
                <c:formatCode>mmm\-yy</c:formatCode>
                <c:ptCount val="61"/>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pt idx="35">
                  <c:v>45627</c:v>
                </c:pt>
                <c:pt idx="36">
                  <c:v>45658</c:v>
                </c:pt>
                <c:pt idx="37">
                  <c:v>45689</c:v>
                </c:pt>
                <c:pt idx="38">
                  <c:v>45717</c:v>
                </c:pt>
                <c:pt idx="39">
                  <c:v>45748</c:v>
                </c:pt>
                <c:pt idx="40">
                  <c:v>45778</c:v>
                </c:pt>
                <c:pt idx="41">
                  <c:v>45809</c:v>
                </c:pt>
                <c:pt idx="42">
                  <c:v>45839</c:v>
                </c:pt>
                <c:pt idx="43">
                  <c:v>45870</c:v>
                </c:pt>
                <c:pt idx="44">
                  <c:v>45901</c:v>
                </c:pt>
                <c:pt idx="45">
                  <c:v>45931</c:v>
                </c:pt>
                <c:pt idx="46">
                  <c:v>45962</c:v>
                </c:pt>
                <c:pt idx="47">
                  <c:v>45992</c:v>
                </c:pt>
                <c:pt idx="48">
                  <c:v>46023</c:v>
                </c:pt>
                <c:pt idx="49">
                  <c:v>46054</c:v>
                </c:pt>
                <c:pt idx="50">
                  <c:v>46082</c:v>
                </c:pt>
                <c:pt idx="51">
                  <c:v>46113</c:v>
                </c:pt>
                <c:pt idx="52">
                  <c:v>46143</c:v>
                </c:pt>
                <c:pt idx="53">
                  <c:v>46174</c:v>
                </c:pt>
                <c:pt idx="54">
                  <c:v>46204</c:v>
                </c:pt>
                <c:pt idx="55">
                  <c:v>46235</c:v>
                </c:pt>
                <c:pt idx="56">
                  <c:v>46266</c:v>
                </c:pt>
                <c:pt idx="57">
                  <c:v>46296</c:v>
                </c:pt>
                <c:pt idx="58">
                  <c:v>46327</c:v>
                </c:pt>
                <c:pt idx="59">
                  <c:v>46357</c:v>
                </c:pt>
                <c:pt idx="60">
                  <c:v>46388</c:v>
                </c:pt>
              </c:numCache>
            </c:numRef>
          </c:cat>
          <c:val>
            <c:numRef>
              <c:f>'MacPark-DC'!$I$2:$I$62</c:f>
              <c:numCache>
                <c:formatCode>0.0</c:formatCode>
                <c:ptCount val="61"/>
                <c:pt idx="55">
                  <c:v>33.815435812108028</c:v>
                </c:pt>
                <c:pt idx="56">
                  <c:v>0</c:v>
                </c:pt>
                <c:pt idx="57">
                  <c:v>0</c:v>
                </c:pt>
                <c:pt idx="58">
                  <c:v>0</c:v>
                </c:pt>
                <c:pt idx="59">
                  <c:v>0</c:v>
                </c:pt>
                <c:pt idx="60">
                  <c:v>0</c:v>
                </c:pt>
              </c:numCache>
            </c:numRef>
          </c:val>
          <c:smooth val="0"/>
          <c:extLst>
            <c:ext xmlns:c16="http://schemas.microsoft.com/office/drawing/2014/chart" uri="{C3380CC4-5D6E-409C-BE32-E72D297353CC}">
              <c16:uniqueId val="{00000001-6467-4E56-8570-EB1E3D7608BC}"/>
            </c:ext>
          </c:extLst>
        </c:ser>
        <c:ser>
          <c:idx val="2"/>
          <c:order val="2"/>
          <c:tx>
            <c:strRef>
              <c:f>'MacPark-DC'!$J$1</c:f>
              <c:strCache>
                <c:ptCount val="1"/>
                <c:pt idx="0">
                  <c:v>Max %</c:v>
                </c:pt>
              </c:strCache>
            </c:strRef>
          </c:tx>
          <c:spPr>
            <a:ln w="12700" cap="rnd">
              <a:solidFill>
                <a:srgbClr val="C00000"/>
              </a:solidFill>
            </a:ln>
            <a:effectLst>
              <a:glow rad="139700">
                <a:schemeClr val="accent3">
                  <a:satMod val="175000"/>
                  <a:alpha val="14000"/>
                </a:schemeClr>
              </a:glow>
            </a:effectLst>
          </c:spPr>
          <c:marker>
            <c:symbol val="none"/>
          </c:marker>
          <c:cat>
            <c:numRef>
              <c:f>'MacPark-DC'!$C$2:$C$62</c:f>
              <c:numCache>
                <c:formatCode>mmm\-yy</c:formatCode>
                <c:ptCount val="61"/>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pt idx="35">
                  <c:v>45627</c:v>
                </c:pt>
                <c:pt idx="36">
                  <c:v>45658</c:v>
                </c:pt>
                <c:pt idx="37">
                  <c:v>45689</c:v>
                </c:pt>
                <c:pt idx="38">
                  <c:v>45717</c:v>
                </c:pt>
                <c:pt idx="39">
                  <c:v>45748</c:v>
                </c:pt>
                <c:pt idx="40">
                  <c:v>45778</c:v>
                </c:pt>
                <c:pt idx="41">
                  <c:v>45809</c:v>
                </c:pt>
                <c:pt idx="42">
                  <c:v>45839</c:v>
                </c:pt>
                <c:pt idx="43">
                  <c:v>45870</c:v>
                </c:pt>
                <c:pt idx="44">
                  <c:v>45901</c:v>
                </c:pt>
                <c:pt idx="45">
                  <c:v>45931</c:v>
                </c:pt>
                <c:pt idx="46">
                  <c:v>45962</c:v>
                </c:pt>
                <c:pt idx="47">
                  <c:v>45992</c:v>
                </c:pt>
                <c:pt idx="48">
                  <c:v>46023</c:v>
                </c:pt>
                <c:pt idx="49">
                  <c:v>46054</c:v>
                </c:pt>
                <c:pt idx="50">
                  <c:v>46082</c:v>
                </c:pt>
                <c:pt idx="51">
                  <c:v>46113</c:v>
                </c:pt>
                <c:pt idx="52">
                  <c:v>46143</c:v>
                </c:pt>
                <c:pt idx="53">
                  <c:v>46174</c:v>
                </c:pt>
                <c:pt idx="54">
                  <c:v>46204</c:v>
                </c:pt>
                <c:pt idx="55">
                  <c:v>46235</c:v>
                </c:pt>
                <c:pt idx="56">
                  <c:v>46266</c:v>
                </c:pt>
                <c:pt idx="57">
                  <c:v>46296</c:v>
                </c:pt>
                <c:pt idx="58">
                  <c:v>46327</c:v>
                </c:pt>
                <c:pt idx="59">
                  <c:v>46357</c:v>
                </c:pt>
                <c:pt idx="60">
                  <c:v>46388</c:v>
                </c:pt>
              </c:numCache>
            </c:numRef>
          </c:cat>
          <c:val>
            <c:numRef>
              <c:f>'MacPark-DC'!$J$2:$J$64</c:f>
              <c:numCache>
                <c:formatCode>General</c:formatCode>
                <c:ptCount val="63"/>
                <c:pt idx="0">
                  <c:v>90</c:v>
                </c:pt>
                <c:pt idx="1">
                  <c:v>90</c:v>
                </c:pt>
                <c:pt idx="2">
                  <c:v>90</c:v>
                </c:pt>
                <c:pt idx="3">
                  <c:v>90</c:v>
                </c:pt>
                <c:pt idx="4">
                  <c:v>90</c:v>
                </c:pt>
                <c:pt idx="5">
                  <c:v>90</c:v>
                </c:pt>
                <c:pt idx="6">
                  <c:v>90</c:v>
                </c:pt>
                <c:pt idx="7">
                  <c:v>90</c:v>
                </c:pt>
                <c:pt idx="8">
                  <c:v>90</c:v>
                </c:pt>
                <c:pt idx="9">
                  <c:v>90</c:v>
                </c:pt>
                <c:pt idx="10">
                  <c:v>90</c:v>
                </c:pt>
                <c:pt idx="11">
                  <c:v>90</c:v>
                </c:pt>
                <c:pt idx="12">
                  <c:v>90</c:v>
                </c:pt>
                <c:pt idx="13">
                  <c:v>90</c:v>
                </c:pt>
                <c:pt idx="14">
                  <c:v>90</c:v>
                </c:pt>
                <c:pt idx="15">
                  <c:v>90</c:v>
                </c:pt>
                <c:pt idx="16">
                  <c:v>90</c:v>
                </c:pt>
                <c:pt idx="17">
                  <c:v>90</c:v>
                </c:pt>
                <c:pt idx="18">
                  <c:v>90</c:v>
                </c:pt>
                <c:pt idx="19">
                  <c:v>90</c:v>
                </c:pt>
                <c:pt idx="20">
                  <c:v>90</c:v>
                </c:pt>
                <c:pt idx="21">
                  <c:v>90</c:v>
                </c:pt>
                <c:pt idx="22">
                  <c:v>90</c:v>
                </c:pt>
                <c:pt idx="23">
                  <c:v>90</c:v>
                </c:pt>
                <c:pt idx="24">
                  <c:v>90</c:v>
                </c:pt>
                <c:pt idx="25">
                  <c:v>90</c:v>
                </c:pt>
                <c:pt idx="26">
                  <c:v>90</c:v>
                </c:pt>
                <c:pt idx="27">
                  <c:v>90</c:v>
                </c:pt>
                <c:pt idx="28">
                  <c:v>90</c:v>
                </c:pt>
                <c:pt idx="29">
                  <c:v>90</c:v>
                </c:pt>
                <c:pt idx="30">
                  <c:v>90</c:v>
                </c:pt>
                <c:pt idx="31">
                  <c:v>90</c:v>
                </c:pt>
                <c:pt idx="32">
                  <c:v>90</c:v>
                </c:pt>
                <c:pt idx="33">
                  <c:v>90</c:v>
                </c:pt>
                <c:pt idx="34">
                  <c:v>90</c:v>
                </c:pt>
                <c:pt idx="35">
                  <c:v>90</c:v>
                </c:pt>
                <c:pt idx="36">
                  <c:v>90</c:v>
                </c:pt>
                <c:pt idx="37">
                  <c:v>90</c:v>
                </c:pt>
                <c:pt idx="38">
                  <c:v>90</c:v>
                </c:pt>
                <c:pt idx="39">
                  <c:v>90</c:v>
                </c:pt>
                <c:pt idx="40">
                  <c:v>90</c:v>
                </c:pt>
                <c:pt idx="41">
                  <c:v>90</c:v>
                </c:pt>
                <c:pt idx="42">
                  <c:v>90</c:v>
                </c:pt>
                <c:pt idx="43">
                  <c:v>90</c:v>
                </c:pt>
                <c:pt idx="44">
                  <c:v>90</c:v>
                </c:pt>
                <c:pt idx="45">
                  <c:v>90</c:v>
                </c:pt>
                <c:pt idx="46">
                  <c:v>90</c:v>
                </c:pt>
                <c:pt idx="47">
                  <c:v>90</c:v>
                </c:pt>
                <c:pt idx="48">
                  <c:v>90</c:v>
                </c:pt>
                <c:pt idx="49">
                  <c:v>90</c:v>
                </c:pt>
                <c:pt idx="50">
                  <c:v>90</c:v>
                </c:pt>
                <c:pt idx="51">
                  <c:v>90</c:v>
                </c:pt>
                <c:pt idx="52">
                  <c:v>90</c:v>
                </c:pt>
                <c:pt idx="53">
                  <c:v>90</c:v>
                </c:pt>
                <c:pt idx="54">
                  <c:v>90</c:v>
                </c:pt>
                <c:pt idx="55">
                  <c:v>90</c:v>
                </c:pt>
                <c:pt idx="56">
                  <c:v>90</c:v>
                </c:pt>
                <c:pt idx="57">
                  <c:v>90</c:v>
                </c:pt>
                <c:pt idx="58">
                  <c:v>90</c:v>
                </c:pt>
                <c:pt idx="59">
                  <c:v>90</c:v>
                </c:pt>
                <c:pt idx="60">
                  <c:v>90</c:v>
                </c:pt>
                <c:pt idx="61">
                  <c:v>90</c:v>
                </c:pt>
                <c:pt idx="62">
                  <c:v>90</c:v>
                </c:pt>
              </c:numCache>
            </c:numRef>
          </c:val>
          <c:smooth val="0"/>
          <c:extLst>
            <c:ext xmlns:c16="http://schemas.microsoft.com/office/drawing/2014/chart" uri="{C3380CC4-5D6E-409C-BE32-E72D297353CC}">
              <c16:uniqueId val="{00000002-6467-4E56-8570-EB1E3D7608BC}"/>
            </c:ext>
          </c:extLst>
        </c:ser>
        <c:dLbls>
          <c:showLegendKey val="0"/>
          <c:showVal val="0"/>
          <c:showCatName val="0"/>
          <c:showSerName val="0"/>
          <c:showPercent val="0"/>
          <c:showBubbleSize val="0"/>
        </c:dLbls>
        <c:marker val="1"/>
        <c:smooth val="0"/>
        <c:axId val="1549269151"/>
        <c:axId val="1549272063"/>
      </c:lineChart>
      <c:dateAx>
        <c:axId val="154926915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mmm\-yy"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49272063"/>
        <c:crosses val="autoZero"/>
        <c:auto val="1"/>
        <c:lblOffset val="100"/>
        <c:baseTimeUnit val="months"/>
      </c:dateAx>
      <c:valAx>
        <c:axId val="1549272063"/>
        <c:scaling>
          <c:orientation val="minMax"/>
          <c:min val="20"/>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49269151"/>
        <c:crosses val="autoZero"/>
        <c:crossBetween val="between"/>
      </c:valAx>
      <c:spPr>
        <a:noFill/>
        <a:ln>
          <a:noFill/>
        </a:ln>
        <a:effectLst/>
      </c:spPr>
    </c:plotArea>
    <c:legend>
      <c:legendPos val="r"/>
      <c:layout>
        <c:manualLayout>
          <c:xMode val="edge"/>
          <c:yMode val="edge"/>
          <c:x val="0.56535071772299406"/>
          <c:y val="0.41079760863225429"/>
          <c:w val="0.10089973041737689"/>
          <c:h val="0.23437664041994752"/>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'Denver (Unity)'!$H$1</c:f>
              <c:strCache>
                <c:ptCount val="1"/>
                <c:pt idx="0">
                  <c:v>In use (%)</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numRef>
              <c:f>'Denver (Unity)'!$C$2:$C$85</c:f>
              <c:numCache>
                <c:formatCode>mmm\-yy</c:formatCode>
                <c:ptCount val="84"/>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pt idx="32">
                  <c:v>46266</c:v>
                </c:pt>
                <c:pt idx="33">
                  <c:v>46296</c:v>
                </c:pt>
                <c:pt idx="34">
                  <c:v>46327</c:v>
                </c:pt>
                <c:pt idx="35">
                  <c:v>46357</c:v>
                </c:pt>
                <c:pt idx="36">
                  <c:v>46388</c:v>
                </c:pt>
                <c:pt idx="37">
                  <c:v>46419</c:v>
                </c:pt>
                <c:pt idx="38">
                  <c:v>46447</c:v>
                </c:pt>
                <c:pt idx="39">
                  <c:v>46478</c:v>
                </c:pt>
                <c:pt idx="40">
                  <c:v>46508</c:v>
                </c:pt>
                <c:pt idx="41">
                  <c:v>46539</c:v>
                </c:pt>
                <c:pt idx="42">
                  <c:v>46569</c:v>
                </c:pt>
                <c:pt idx="43">
                  <c:v>46600</c:v>
                </c:pt>
                <c:pt idx="44">
                  <c:v>46631</c:v>
                </c:pt>
                <c:pt idx="45">
                  <c:v>46661</c:v>
                </c:pt>
                <c:pt idx="46">
                  <c:v>46692</c:v>
                </c:pt>
                <c:pt idx="47">
                  <c:v>46722</c:v>
                </c:pt>
                <c:pt idx="48">
                  <c:v>46753</c:v>
                </c:pt>
                <c:pt idx="49">
                  <c:v>46784</c:v>
                </c:pt>
                <c:pt idx="50">
                  <c:v>46813</c:v>
                </c:pt>
                <c:pt idx="51">
                  <c:v>46844</c:v>
                </c:pt>
                <c:pt idx="52">
                  <c:v>46874</c:v>
                </c:pt>
                <c:pt idx="53">
                  <c:v>46905</c:v>
                </c:pt>
                <c:pt idx="54">
                  <c:v>46935</c:v>
                </c:pt>
                <c:pt idx="55">
                  <c:v>46966</c:v>
                </c:pt>
                <c:pt idx="56">
                  <c:v>46997</c:v>
                </c:pt>
                <c:pt idx="57">
                  <c:v>47027</c:v>
                </c:pt>
                <c:pt idx="58">
                  <c:v>47058</c:v>
                </c:pt>
                <c:pt idx="59">
                  <c:v>47088</c:v>
                </c:pt>
                <c:pt idx="60">
                  <c:v>47119</c:v>
                </c:pt>
                <c:pt idx="61">
                  <c:v>47150</c:v>
                </c:pt>
                <c:pt idx="62">
                  <c:v>47178</c:v>
                </c:pt>
                <c:pt idx="63">
                  <c:v>47209</c:v>
                </c:pt>
                <c:pt idx="64">
                  <c:v>47239</c:v>
                </c:pt>
                <c:pt idx="65">
                  <c:v>47270</c:v>
                </c:pt>
                <c:pt idx="66">
                  <c:v>47300</c:v>
                </c:pt>
                <c:pt idx="67">
                  <c:v>47331</c:v>
                </c:pt>
                <c:pt idx="68">
                  <c:v>47362</c:v>
                </c:pt>
                <c:pt idx="69">
                  <c:v>47392</c:v>
                </c:pt>
                <c:pt idx="70">
                  <c:v>47423</c:v>
                </c:pt>
                <c:pt idx="71">
                  <c:v>47453</c:v>
                </c:pt>
                <c:pt idx="72">
                  <c:v>47484</c:v>
                </c:pt>
                <c:pt idx="73">
                  <c:v>47515</c:v>
                </c:pt>
                <c:pt idx="74">
                  <c:v>47543</c:v>
                </c:pt>
                <c:pt idx="75">
                  <c:v>47574</c:v>
                </c:pt>
                <c:pt idx="76">
                  <c:v>47604</c:v>
                </c:pt>
                <c:pt idx="77">
                  <c:v>47635</c:v>
                </c:pt>
                <c:pt idx="78">
                  <c:v>47665</c:v>
                </c:pt>
                <c:pt idx="79">
                  <c:v>47696</c:v>
                </c:pt>
                <c:pt idx="80">
                  <c:v>47727</c:v>
                </c:pt>
                <c:pt idx="81">
                  <c:v>47757</c:v>
                </c:pt>
                <c:pt idx="82">
                  <c:v>47788</c:v>
                </c:pt>
                <c:pt idx="83">
                  <c:v>47818</c:v>
                </c:pt>
              </c:numCache>
            </c:numRef>
          </c:cat>
          <c:val>
            <c:numRef>
              <c:f>'Denver (Unity)'!$H$2:$H$85</c:f>
              <c:numCache>
                <c:formatCode>0.0</c:formatCode>
                <c:ptCount val="84"/>
                <c:pt idx="0">
                  <c:v>55.058365758754867</c:v>
                </c:pt>
                <c:pt idx="1">
                  <c:v>55.252918287937746</c:v>
                </c:pt>
                <c:pt idx="2">
                  <c:v>55.252918287937746</c:v>
                </c:pt>
                <c:pt idx="3">
                  <c:v>56.809338521400775</c:v>
                </c:pt>
                <c:pt idx="4">
                  <c:v>56.031128404669261</c:v>
                </c:pt>
                <c:pt idx="5">
                  <c:v>56.809338521400775</c:v>
                </c:pt>
                <c:pt idx="6">
                  <c:v>58.365758754863819</c:v>
                </c:pt>
                <c:pt idx="7">
                  <c:v>58.754863813229576</c:v>
                </c:pt>
                <c:pt idx="8">
                  <c:v>59.143968871595334</c:v>
                </c:pt>
                <c:pt idx="9">
                  <c:v>59.143968871595334</c:v>
                </c:pt>
                <c:pt idx="10">
                  <c:v>59.533073929961091</c:v>
                </c:pt>
                <c:pt idx="11">
                  <c:v>59.533073929961091</c:v>
                </c:pt>
                <c:pt idx="12">
                  <c:v>59.922178988326849</c:v>
                </c:pt>
                <c:pt idx="13">
                  <c:v>59.922178988326849</c:v>
                </c:pt>
                <c:pt idx="14">
                  <c:v>60.311284046692606</c:v>
                </c:pt>
                <c:pt idx="15">
                  <c:v>60.700389105058363</c:v>
                </c:pt>
                <c:pt idx="16">
                  <c:v>61.089494163424121</c:v>
                </c:pt>
                <c:pt idx="17">
                  <c:v>61.478599221789885</c:v>
                </c:pt>
                <c:pt idx="18">
                  <c:v>61.867704280155642</c:v>
                </c:pt>
                <c:pt idx="19">
                  <c:v>62.2568093385214</c:v>
                </c:pt>
                <c:pt idx="20">
                  <c:v>62.2568093385214</c:v>
                </c:pt>
                <c:pt idx="21">
                  <c:v>62.2568093385214</c:v>
                </c:pt>
                <c:pt idx="22">
                  <c:v>62.645914396887171</c:v>
                </c:pt>
                <c:pt idx="23">
                  <c:v>63.035019455252915</c:v>
                </c:pt>
                <c:pt idx="24">
                  <c:v>63.035019455252915</c:v>
                </c:pt>
                <c:pt idx="25">
                  <c:v>63.035019455252915</c:v>
                </c:pt>
                <c:pt idx="26">
                  <c:v>63.035019455252915</c:v>
                </c:pt>
                <c:pt idx="27">
                  <c:v>63.035019455252915</c:v>
                </c:pt>
                <c:pt idx="28">
                  <c:v>63.035019455252915</c:v>
                </c:pt>
                <c:pt idx="29">
                  <c:v>63.035019455252915</c:v>
                </c:pt>
                <c:pt idx="30">
                  <c:v>63.424124513618686</c:v>
                </c:pt>
                <c:pt idx="31">
                  <c:v>63.424124513618686</c:v>
                </c:pt>
              </c:numCache>
            </c:numRef>
          </c:val>
          <c:smooth val="0"/>
          <c:extLst>
            <c:ext xmlns:c16="http://schemas.microsoft.com/office/drawing/2014/chart" uri="{C3380CC4-5D6E-409C-BE32-E72D297353CC}">
              <c16:uniqueId val="{00000000-BB41-47EC-8A8A-500426F27843}"/>
            </c:ext>
          </c:extLst>
        </c:ser>
        <c:ser>
          <c:idx val="1"/>
          <c:order val="1"/>
          <c:tx>
            <c:strRef>
              <c:f>'Denver (Unity)'!$I$1</c:f>
              <c:strCache>
                <c:ptCount val="1"/>
                <c:pt idx="0">
                  <c:v>Forecast (%)</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numRef>
              <c:f>'Denver (Unity)'!$C$2:$C$85</c:f>
              <c:numCache>
                <c:formatCode>mmm\-yy</c:formatCode>
                <c:ptCount val="84"/>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pt idx="32">
                  <c:v>46266</c:v>
                </c:pt>
                <c:pt idx="33">
                  <c:v>46296</c:v>
                </c:pt>
                <c:pt idx="34">
                  <c:v>46327</c:v>
                </c:pt>
                <c:pt idx="35">
                  <c:v>46357</c:v>
                </c:pt>
                <c:pt idx="36">
                  <c:v>46388</c:v>
                </c:pt>
                <c:pt idx="37">
                  <c:v>46419</c:v>
                </c:pt>
                <c:pt idx="38">
                  <c:v>46447</c:v>
                </c:pt>
                <c:pt idx="39">
                  <c:v>46478</c:v>
                </c:pt>
                <c:pt idx="40">
                  <c:v>46508</c:v>
                </c:pt>
                <c:pt idx="41">
                  <c:v>46539</c:v>
                </c:pt>
                <c:pt idx="42">
                  <c:v>46569</c:v>
                </c:pt>
                <c:pt idx="43">
                  <c:v>46600</c:v>
                </c:pt>
                <c:pt idx="44">
                  <c:v>46631</c:v>
                </c:pt>
                <c:pt idx="45">
                  <c:v>46661</c:v>
                </c:pt>
                <c:pt idx="46">
                  <c:v>46692</c:v>
                </c:pt>
                <c:pt idx="47">
                  <c:v>46722</c:v>
                </c:pt>
                <c:pt idx="48">
                  <c:v>46753</c:v>
                </c:pt>
                <c:pt idx="49">
                  <c:v>46784</c:v>
                </c:pt>
                <c:pt idx="50">
                  <c:v>46813</c:v>
                </c:pt>
                <c:pt idx="51">
                  <c:v>46844</c:v>
                </c:pt>
                <c:pt idx="52">
                  <c:v>46874</c:v>
                </c:pt>
                <c:pt idx="53">
                  <c:v>46905</c:v>
                </c:pt>
                <c:pt idx="54">
                  <c:v>46935</c:v>
                </c:pt>
                <c:pt idx="55">
                  <c:v>46966</c:v>
                </c:pt>
                <c:pt idx="56">
                  <c:v>46997</c:v>
                </c:pt>
                <c:pt idx="57">
                  <c:v>47027</c:v>
                </c:pt>
                <c:pt idx="58">
                  <c:v>47058</c:v>
                </c:pt>
                <c:pt idx="59">
                  <c:v>47088</c:v>
                </c:pt>
                <c:pt idx="60">
                  <c:v>47119</c:v>
                </c:pt>
                <c:pt idx="61">
                  <c:v>47150</c:v>
                </c:pt>
                <c:pt idx="62">
                  <c:v>47178</c:v>
                </c:pt>
                <c:pt idx="63">
                  <c:v>47209</c:v>
                </c:pt>
                <c:pt idx="64">
                  <c:v>47239</c:v>
                </c:pt>
                <c:pt idx="65">
                  <c:v>47270</c:v>
                </c:pt>
                <c:pt idx="66">
                  <c:v>47300</c:v>
                </c:pt>
                <c:pt idx="67">
                  <c:v>47331</c:v>
                </c:pt>
                <c:pt idx="68">
                  <c:v>47362</c:v>
                </c:pt>
                <c:pt idx="69">
                  <c:v>47392</c:v>
                </c:pt>
                <c:pt idx="70">
                  <c:v>47423</c:v>
                </c:pt>
                <c:pt idx="71">
                  <c:v>47453</c:v>
                </c:pt>
                <c:pt idx="72">
                  <c:v>47484</c:v>
                </c:pt>
                <c:pt idx="73">
                  <c:v>47515</c:v>
                </c:pt>
                <c:pt idx="74">
                  <c:v>47543</c:v>
                </c:pt>
                <c:pt idx="75">
                  <c:v>47574</c:v>
                </c:pt>
                <c:pt idx="76">
                  <c:v>47604</c:v>
                </c:pt>
                <c:pt idx="77">
                  <c:v>47635</c:v>
                </c:pt>
                <c:pt idx="78">
                  <c:v>47665</c:v>
                </c:pt>
                <c:pt idx="79">
                  <c:v>47696</c:v>
                </c:pt>
                <c:pt idx="80">
                  <c:v>47727</c:v>
                </c:pt>
                <c:pt idx="81">
                  <c:v>47757</c:v>
                </c:pt>
                <c:pt idx="82">
                  <c:v>47788</c:v>
                </c:pt>
                <c:pt idx="83">
                  <c:v>47818</c:v>
                </c:pt>
              </c:numCache>
            </c:numRef>
          </c:cat>
          <c:val>
            <c:numRef>
              <c:f>'Denver (Unity)'!$I$2:$I$85</c:f>
              <c:numCache>
                <c:formatCode>0.0</c:formatCode>
                <c:ptCount val="84"/>
                <c:pt idx="31">
                  <c:v>63.424124513618686</c:v>
                </c:pt>
                <c:pt idx="32">
                  <c:v>63.832197240439911</c:v>
                </c:pt>
                <c:pt idx="33">
                  <c:v>64.242895519472569</c:v>
                </c:pt>
                <c:pt idx="34">
                  <c:v>64.65623624359867</c:v>
                </c:pt>
                <c:pt idx="35">
                  <c:v>65.072236414389479</c:v>
                </c:pt>
                <c:pt idx="36">
                  <c:v>65.490913142804928</c:v>
                </c:pt>
                <c:pt idx="37">
                  <c:v>65.912283649897347</c:v>
                </c:pt>
                <c:pt idx="38">
                  <c:v>66.336365267519881</c:v>
                </c:pt>
                <c:pt idx="39">
                  <c:v>66.763175439039287</c:v>
                </c:pt>
                <c:pt idx="40">
                  <c:v>67.192731720053501</c:v>
                </c:pt>
                <c:pt idx="41">
                  <c:v>67.625051779113704</c:v>
                </c:pt>
                <c:pt idx="42">
                  <c:v>68.060153398451078</c:v>
                </c:pt>
                <c:pt idx="43">
                  <c:v>68.498054474708155</c:v>
                </c:pt>
                <c:pt idx="44">
                  <c:v>68.938773019675097</c:v>
                </c:pt>
                <c:pt idx="45">
                  <c:v>69.382327161030361</c:v>
                </c:pt>
                <c:pt idx="46">
                  <c:v>69.828735143086533</c:v>
                </c:pt>
                <c:pt idx="47">
                  <c:v>70.278015327540615</c:v>
                </c:pt>
                <c:pt idx="48">
                  <c:v>70.730186194229276</c:v>
                </c:pt>
                <c:pt idx="49">
                  <c:v>71.185266341889104</c:v>
                </c:pt>
                <c:pt idx="50">
                  <c:v>71.643274488921435</c:v>
                </c:pt>
                <c:pt idx="51">
                  <c:v>72.104229474162409</c:v>
                </c:pt>
                <c:pt idx="52">
                  <c:v>72.568150257657763</c:v>
                </c:pt>
                <c:pt idx="53">
                  <c:v>73.035055921442776</c:v>
                </c:pt>
                <c:pt idx="54">
                  <c:v>73.504965670327124</c:v>
                </c:pt>
                <c:pt idx="55">
                  <c:v>73.977898832684787</c:v>
                </c:pt>
                <c:pt idx="56">
                  <c:v>74.453874861249062</c:v>
                </c:pt>
                <c:pt idx="57">
                  <c:v>74.932913333912765</c:v>
                </c:pt>
                <c:pt idx="58">
                  <c:v>75.415033954533442</c:v>
                </c:pt>
                <c:pt idx="59">
                  <c:v>75.90025655374383</c:v>
                </c:pt>
                <c:pt idx="60">
                  <c:v>76.388601089767604</c:v>
                </c:pt>
                <c:pt idx="61">
                  <c:v>76.88008764924021</c:v>
                </c:pt>
                <c:pt idx="62">
                  <c:v>77.374736448035108</c:v>
                </c:pt>
                <c:pt idx="63">
                  <c:v>77.872567832095356</c:v>
                </c:pt>
                <c:pt idx="64">
                  <c:v>78.373602278270354</c:v>
                </c:pt>
                <c:pt idx="65">
                  <c:v>78.877860395158166</c:v>
                </c:pt>
                <c:pt idx="66">
                  <c:v>79.385362923953267</c:v>
                </c:pt>
                <c:pt idx="67">
                  <c:v>79.896130739299537</c:v>
                </c:pt>
                <c:pt idx="68">
                  <c:v>80.410184850148951</c:v>
                </c:pt>
                <c:pt idx="69">
                  <c:v>80.927546400625758</c:v>
                </c:pt>
                <c:pt idx="70">
                  <c:v>81.448236670896094</c:v>
                </c:pt>
                <c:pt idx="71">
                  <c:v>81.972277078043319</c:v>
                </c:pt>
                <c:pt idx="72">
                  <c:v>82.499689176949005</c:v>
                </c:pt>
                <c:pt idx="73">
                  <c:v>83.030494661179418</c:v>
                </c:pt>
                <c:pt idx="74">
                  <c:v>83.564715363877923</c:v>
                </c:pt>
                <c:pt idx="75">
                  <c:v>84.102373258662993</c:v>
                </c:pt>
                <c:pt idx="76">
                  <c:v>84.643490460531979</c:v>
                </c:pt>
                <c:pt idx="77">
                  <c:v>85.188089226770828</c:v>
                </c:pt>
                <c:pt idx="78">
                  <c:v>85.736191957869536</c:v>
                </c:pt>
                <c:pt idx="79">
                  <c:v>86.28782119844351</c:v>
                </c:pt>
                <c:pt idx="80">
                  <c:v>86.842999638160876</c:v>
                </c:pt>
                <c:pt idx="81">
                  <c:v>87.401750112675828</c:v>
                </c:pt>
                <c:pt idx="82">
                  <c:v>87.964095604567788</c:v>
                </c:pt>
                <c:pt idx="83">
                  <c:v>88.53005924428679</c:v>
                </c:pt>
              </c:numCache>
            </c:numRef>
          </c:val>
          <c:smooth val="0"/>
          <c:extLst>
            <c:ext xmlns:c16="http://schemas.microsoft.com/office/drawing/2014/chart" uri="{C3380CC4-5D6E-409C-BE32-E72D297353CC}">
              <c16:uniqueId val="{00000001-BB41-47EC-8A8A-500426F27843}"/>
            </c:ext>
          </c:extLst>
        </c:ser>
        <c:ser>
          <c:idx val="2"/>
          <c:order val="2"/>
          <c:tx>
            <c:strRef>
              <c:f>'Denver (Unity)'!$J$1</c:f>
              <c:strCache>
                <c:ptCount val="1"/>
                <c:pt idx="0">
                  <c:v>Max %</c:v>
                </c:pt>
              </c:strCache>
            </c:strRef>
          </c:tx>
          <c:spPr>
            <a:ln w="22225" cap="rnd">
              <a:solidFill>
                <a:schemeClr val="accent3"/>
              </a:solidFill>
            </a:ln>
            <a:effectLst>
              <a:glow rad="139700">
                <a:schemeClr val="accent3">
                  <a:satMod val="175000"/>
                  <a:alpha val="14000"/>
                </a:schemeClr>
              </a:glow>
            </a:effectLst>
          </c:spPr>
          <c:marker>
            <c:symbol val="none"/>
          </c:marker>
          <c:cat>
            <c:numRef>
              <c:f>'Denver (Unity)'!$C$2:$C$85</c:f>
              <c:numCache>
                <c:formatCode>mmm\-yy</c:formatCode>
                <c:ptCount val="84"/>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pt idx="32">
                  <c:v>46266</c:v>
                </c:pt>
                <c:pt idx="33">
                  <c:v>46296</c:v>
                </c:pt>
                <c:pt idx="34">
                  <c:v>46327</c:v>
                </c:pt>
                <c:pt idx="35">
                  <c:v>46357</c:v>
                </c:pt>
                <c:pt idx="36">
                  <c:v>46388</c:v>
                </c:pt>
                <c:pt idx="37">
                  <c:v>46419</c:v>
                </c:pt>
                <c:pt idx="38">
                  <c:v>46447</c:v>
                </c:pt>
                <c:pt idx="39">
                  <c:v>46478</c:v>
                </c:pt>
                <c:pt idx="40">
                  <c:v>46508</c:v>
                </c:pt>
                <c:pt idx="41">
                  <c:v>46539</c:v>
                </c:pt>
                <c:pt idx="42">
                  <c:v>46569</c:v>
                </c:pt>
                <c:pt idx="43">
                  <c:v>46600</c:v>
                </c:pt>
                <c:pt idx="44">
                  <c:v>46631</c:v>
                </c:pt>
                <c:pt idx="45">
                  <c:v>46661</c:v>
                </c:pt>
                <c:pt idx="46">
                  <c:v>46692</c:v>
                </c:pt>
                <c:pt idx="47">
                  <c:v>46722</c:v>
                </c:pt>
                <c:pt idx="48">
                  <c:v>46753</c:v>
                </c:pt>
                <c:pt idx="49">
                  <c:v>46784</c:v>
                </c:pt>
                <c:pt idx="50">
                  <c:v>46813</c:v>
                </c:pt>
                <c:pt idx="51">
                  <c:v>46844</c:v>
                </c:pt>
                <c:pt idx="52">
                  <c:v>46874</c:v>
                </c:pt>
                <c:pt idx="53">
                  <c:v>46905</c:v>
                </c:pt>
                <c:pt idx="54">
                  <c:v>46935</c:v>
                </c:pt>
                <c:pt idx="55">
                  <c:v>46966</c:v>
                </c:pt>
                <c:pt idx="56">
                  <c:v>46997</c:v>
                </c:pt>
                <c:pt idx="57">
                  <c:v>47027</c:v>
                </c:pt>
                <c:pt idx="58">
                  <c:v>47058</c:v>
                </c:pt>
                <c:pt idx="59">
                  <c:v>47088</c:v>
                </c:pt>
                <c:pt idx="60">
                  <c:v>47119</c:v>
                </c:pt>
                <c:pt idx="61">
                  <c:v>47150</c:v>
                </c:pt>
                <c:pt idx="62">
                  <c:v>47178</c:v>
                </c:pt>
                <c:pt idx="63">
                  <c:v>47209</c:v>
                </c:pt>
                <c:pt idx="64">
                  <c:v>47239</c:v>
                </c:pt>
                <c:pt idx="65">
                  <c:v>47270</c:v>
                </c:pt>
                <c:pt idx="66">
                  <c:v>47300</c:v>
                </c:pt>
                <c:pt idx="67">
                  <c:v>47331</c:v>
                </c:pt>
                <c:pt idx="68">
                  <c:v>47362</c:v>
                </c:pt>
                <c:pt idx="69">
                  <c:v>47392</c:v>
                </c:pt>
                <c:pt idx="70">
                  <c:v>47423</c:v>
                </c:pt>
                <c:pt idx="71">
                  <c:v>47453</c:v>
                </c:pt>
                <c:pt idx="72">
                  <c:v>47484</c:v>
                </c:pt>
                <c:pt idx="73">
                  <c:v>47515</c:v>
                </c:pt>
                <c:pt idx="74">
                  <c:v>47543</c:v>
                </c:pt>
                <c:pt idx="75">
                  <c:v>47574</c:v>
                </c:pt>
                <c:pt idx="76">
                  <c:v>47604</c:v>
                </c:pt>
                <c:pt idx="77">
                  <c:v>47635</c:v>
                </c:pt>
                <c:pt idx="78">
                  <c:v>47665</c:v>
                </c:pt>
                <c:pt idx="79">
                  <c:v>47696</c:v>
                </c:pt>
                <c:pt idx="80">
                  <c:v>47727</c:v>
                </c:pt>
                <c:pt idx="81">
                  <c:v>47757</c:v>
                </c:pt>
                <c:pt idx="82">
                  <c:v>47788</c:v>
                </c:pt>
                <c:pt idx="83">
                  <c:v>47818</c:v>
                </c:pt>
              </c:numCache>
            </c:numRef>
          </c:cat>
          <c:val>
            <c:numRef>
              <c:f>'Denver (Unity)'!$J$2:$J$85</c:f>
              <c:numCache>
                <c:formatCode>General</c:formatCode>
                <c:ptCount val="84"/>
                <c:pt idx="0">
                  <c:v>90</c:v>
                </c:pt>
                <c:pt idx="1">
                  <c:v>90</c:v>
                </c:pt>
                <c:pt idx="2">
                  <c:v>90</c:v>
                </c:pt>
                <c:pt idx="3">
                  <c:v>90</c:v>
                </c:pt>
                <c:pt idx="4">
                  <c:v>90</c:v>
                </c:pt>
                <c:pt idx="5">
                  <c:v>90</c:v>
                </c:pt>
                <c:pt idx="6">
                  <c:v>90</c:v>
                </c:pt>
                <c:pt idx="7">
                  <c:v>90</c:v>
                </c:pt>
                <c:pt idx="8">
                  <c:v>90</c:v>
                </c:pt>
                <c:pt idx="9">
                  <c:v>90</c:v>
                </c:pt>
                <c:pt idx="10">
                  <c:v>90</c:v>
                </c:pt>
                <c:pt idx="11">
                  <c:v>90</c:v>
                </c:pt>
                <c:pt idx="12">
                  <c:v>90</c:v>
                </c:pt>
                <c:pt idx="13">
                  <c:v>90</c:v>
                </c:pt>
                <c:pt idx="14">
                  <c:v>90</c:v>
                </c:pt>
                <c:pt idx="15">
                  <c:v>90</c:v>
                </c:pt>
                <c:pt idx="16">
                  <c:v>90</c:v>
                </c:pt>
                <c:pt idx="17">
                  <c:v>90</c:v>
                </c:pt>
                <c:pt idx="18">
                  <c:v>90</c:v>
                </c:pt>
                <c:pt idx="19">
                  <c:v>90</c:v>
                </c:pt>
                <c:pt idx="20">
                  <c:v>90</c:v>
                </c:pt>
                <c:pt idx="21">
                  <c:v>90</c:v>
                </c:pt>
                <c:pt idx="22">
                  <c:v>90</c:v>
                </c:pt>
                <c:pt idx="23">
                  <c:v>90</c:v>
                </c:pt>
                <c:pt idx="24">
                  <c:v>90</c:v>
                </c:pt>
                <c:pt idx="25">
                  <c:v>90</c:v>
                </c:pt>
                <c:pt idx="26">
                  <c:v>90</c:v>
                </c:pt>
                <c:pt idx="27">
                  <c:v>90</c:v>
                </c:pt>
                <c:pt idx="28">
                  <c:v>90</c:v>
                </c:pt>
                <c:pt idx="29">
                  <c:v>90</c:v>
                </c:pt>
                <c:pt idx="30">
                  <c:v>90</c:v>
                </c:pt>
                <c:pt idx="31">
                  <c:v>90</c:v>
                </c:pt>
                <c:pt idx="32">
                  <c:v>90</c:v>
                </c:pt>
                <c:pt idx="33">
                  <c:v>90</c:v>
                </c:pt>
                <c:pt idx="34">
                  <c:v>90</c:v>
                </c:pt>
                <c:pt idx="35">
                  <c:v>90</c:v>
                </c:pt>
                <c:pt idx="36">
                  <c:v>90</c:v>
                </c:pt>
                <c:pt idx="37">
                  <c:v>90</c:v>
                </c:pt>
                <c:pt idx="38">
                  <c:v>90</c:v>
                </c:pt>
                <c:pt idx="39">
                  <c:v>90</c:v>
                </c:pt>
                <c:pt idx="40">
                  <c:v>90</c:v>
                </c:pt>
                <c:pt idx="41">
                  <c:v>90</c:v>
                </c:pt>
                <c:pt idx="42">
                  <c:v>90</c:v>
                </c:pt>
                <c:pt idx="43">
                  <c:v>90</c:v>
                </c:pt>
                <c:pt idx="44">
                  <c:v>90</c:v>
                </c:pt>
                <c:pt idx="45">
                  <c:v>90</c:v>
                </c:pt>
                <c:pt idx="46">
                  <c:v>90</c:v>
                </c:pt>
                <c:pt idx="47">
                  <c:v>90</c:v>
                </c:pt>
                <c:pt idx="48">
                  <c:v>90</c:v>
                </c:pt>
                <c:pt idx="49">
                  <c:v>90</c:v>
                </c:pt>
                <c:pt idx="50">
                  <c:v>90</c:v>
                </c:pt>
                <c:pt idx="51">
                  <c:v>90</c:v>
                </c:pt>
                <c:pt idx="52">
                  <c:v>90</c:v>
                </c:pt>
                <c:pt idx="53">
                  <c:v>90</c:v>
                </c:pt>
                <c:pt idx="54">
                  <c:v>90</c:v>
                </c:pt>
                <c:pt idx="55">
                  <c:v>90</c:v>
                </c:pt>
                <c:pt idx="56">
                  <c:v>90</c:v>
                </c:pt>
                <c:pt idx="57">
                  <c:v>90</c:v>
                </c:pt>
                <c:pt idx="58">
                  <c:v>90</c:v>
                </c:pt>
                <c:pt idx="59">
                  <c:v>90</c:v>
                </c:pt>
                <c:pt idx="60">
                  <c:v>90</c:v>
                </c:pt>
                <c:pt idx="61">
                  <c:v>90</c:v>
                </c:pt>
                <c:pt idx="62">
                  <c:v>90</c:v>
                </c:pt>
                <c:pt idx="63">
                  <c:v>90</c:v>
                </c:pt>
                <c:pt idx="64">
                  <c:v>90</c:v>
                </c:pt>
                <c:pt idx="65">
                  <c:v>90</c:v>
                </c:pt>
                <c:pt idx="66">
                  <c:v>90</c:v>
                </c:pt>
                <c:pt idx="67">
                  <c:v>90</c:v>
                </c:pt>
                <c:pt idx="68">
                  <c:v>90</c:v>
                </c:pt>
                <c:pt idx="69">
                  <c:v>90</c:v>
                </c:pt>
                <c:pt idx="70">
                  <c:v>90</c:v>
                </c:pt>
                <c:pt idx="71">
                  <c:v>90</c:v>
                </c:pt>
                <c:pt idx="72">
                  <c:v>90</c:v>
                </c:pt>
                <c:pt idx="73">
                  <c:v>90</c:v>
                </c:pt>
                <c:pt idx="74">
                  <c:v>90</c:v>
                </c:pt>
                <c:pt idx="75">
                  <c:v>90</c:v>
                </c:pt>
                <c:pt idx="76">
                  <c:v>90</c:v>
                </c:pt>
                <c:pt idx="77">
                  <c:v>90</c:v>
                </c:pt>
                <c:pt idx="78">
                  <c:v>90</c:v>
                </c:pt>
                <c:pt idx="79">
                  <c:v>90</c:v>
                </c:pt>
                <c:pt idx="80">
                  <c:v>90</c:v>
                </c:pt>
                <c:pt idx="81">
                  <c:v>90</c:v>
                </c:pt>
                <c:pt idx="82">
                  <c:v>90</c:v>
                </c:pt>
                <c:pt idx="83">
                  <c:v>90</c:v>
                </c:pt>
              </c:numCache>
            </c:numRef>
          </c:val>
          <c:smooth val="0"/>
          <c:extLst>
            <c:ext xmlns:c16="http://schemas.microsoft.com/office/drawing/2014/chart" uri="{C3380CC4-5D6E-409C-BE32-E72D297353CC}">
              <c16:uniqueId val="{00000002-BB41-47EC-8A8A-500426F27843}"/>
            </c:ext>
          </c:extLst>
        </c:ser>
        <c:dLbls>
          <c:showLegendKey val="0"/>
          <c:showVal val="0"/>
          <c:showCatName val="0"/>
          <c:showSerName val="0"/>
          <c:showPercent val="0"/>
          <c:showBubbleSize val="0"/>
        </c:dLbls>
        <c:marker val="1"/>
        <c:smooth val="0"/>
        <c:axId val="923718064"/>
        <c:axId val="923722640"/>
      </c:lineChart>
      <c:dateAx>
        <c:axId val="92371806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mmm\-yy" sourceLinked="1"/>
        <c:majorTickMark val="none"/>
        <c:minorTickMark val="none"/>
        <c:tickLblPos val="nextTo"/>
        <c:spPr>
          <a:noFill/>
          <a:ln>
            <a:solidFill>
              <a:schemeClr val="accent1"/>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23722640"/>
        <c:crosses val="autoZero"/>
        <c:auto val="1"/>
        <c:lblOffset val="100"/>
        <c:baseTimeUnit val="months"/>
        <c:majorUnit val="2"/>
        <c:majorTimeUnit val="months"/>
      </c:dateAx>
      <c:valAx>
        <c:axId val="923722640"/>
        <c:scaling>
          <c:orientation val="minMax"/>
          <c:max val="100"/>
          <c:min val="20"/>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23718064"/>
        <c:crosses val="autoZero"/>
        <c:crossBetween val="between"/>
      </c:valAx>
      <c:spPr>
        <a:noFill/>
        <a:ln>
          <a:noFill/>
        </a:ln>
        <a:effectLst/>
      </c:spPr>
    </c:plotArea>
    <c:legend>
      <c:legendPos val="r"/>
      <c:layout>
        <c:manualLayout>
          <c:xMode val="edge"/>
          <c:yMode val="edge"/>
          <c:x val="0.5758645091356861"/>
          <c:y val="0.59729804112593499"/>
          <c:w val="0.10060911883467524"/>
          <c:h val="0.20129327726251511"/>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2122179596548852E-2"/>
          <c:y val="5.1946402806843532E-2"/>
          <c:w val="0.93787777127228489"/>
          <c:h val="0.79654771237573796"/>
        </c:manualLayout>
      </c:layout>
      <c:lineChart>
        <c:grouping val="standard"/>
        <c:varyColors val="0"/>
        <c:ser>
          <c:idx val="0"/>
          <c:order val="0"/>
          <c:tx>
            <c:strRef>
              <c:f>'Denver (HX)'!$H$1</c:f>
              <c:strCache>
                <c:ptCount val="1"/>
                <c:pt idx="0">
                  <c:v>In use (%)</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numRef>
              <c:f>'Denver (HX)'!$C$2:$C$109</c:f>
              <c:numCache>
                <c:formatCode>mmm\-yy</c:formatCode>
                <c:ptCount val="108"/>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pt idx="35">
                  <c:v>45627</c:v>
                </c:pt>
                <c:pt idx="36">
                  <c:v>45658</c:v>
                </c:pt>
                <c:pt idx="37">
                  <c:v>45689</c:v>
                </c:pt>
                <c:pt idx="38">
                  <c:v>45717</c:v>
                </c:pt>
                <c:pt idx="39">
                  <c:v>45748</c:v>
                </c:pt>
                <c:pt idx="40">
                  <c:v>45778</c:v>
                </c:pt>
                <c:pt idx="41">
                  <c:v>45809</c:v>
                </c:pt>
                <c:pt idx="42">
                  <c:v>45839</c:v>
                </c:pt>
                <c:pt idx="43">
                  <c:v>45870</c:v>
                </c:pt>
                <c:pt idx="44">
                  <c:v>45901</c:v>
                </c:pt>
                <c:pt idx="45">
                  <c:v>45931</c:v>
                </c:pt>
                <c:pt idx="46">
                  <c:v>45962</c:v>
                </c:pt>
                <c:pt idx="47">
                  <c:v>45992</c:v>
                </c:pt>
                <c:pt idx="48">
                  <c:v>46023</c:v>
                </c:pt>
                <c:pt idx="49">
                  <c:v>46054</c:v>
                </c:pt>
                <c:pt idx="50">
                  <c:v>46082</c:v>
                </c:pt>
                <c:pt idx="51">
                  <c:v>46113</c:v>
                </c:pt>
                <c:pt idx="52">
                  <c:v>46143</c:v>
                </c:pt>
                <c:pt idx="53">
                  <c:v>46174</c:v>
                </c:pt>
                <c:pt idx="54">
                  <c:v>46204</c:v>
                </c:pt>
                <c:pt idx="55">
                  <c:v>46235</c:v>
                </c:pt>
                <c:pt idx="56">
                  <c:v>46266</c:v>
                </c:pt>
                <c:pt idx="57">
                  <c:v>46296</c:v>
                </c:pt>
                <c:pt idx="58">
                  <c:v>46327</c:v>
                </c:pt>
                <c:pt idx="59">
                  <c:v>46357</c:v>
                </c:pt>
                <c:pt idx="60">
                  <c:v>46388</c:v>
                </c:pt>
                <c:pt idx="61">
                  <c:v>46419</c:v>
                </c:pt>
                <c:pt idx="62">
                  <c:v>46447</c:v>
                </c:pt>
                <c:pt idx="63">
                  <c:v>46478</c:v>
                </c:pt>
                <c:pt idx="64">
                  <c:v>46508</c:v>
                </c:pt>
                <c:pt idx="65">
                  <c:v>46539</c:v>
                </c:pt>
                <c:pt idx="66">
                  <c:v>46569</c:v>
                </c:pt>
                <c:pt idx="67">
                  <c:v>46600</c:v>
                </c:pt>
                <c:pt idx="68">
                  <c:v>46631</c:v>
                </c:pt>
                <c:pt idx="69">
                  <c:v>46661</c:v>
                </c:pt>
                <c:pt idx="70">
                  <c:v>46692</c:v>
                </c:pt>
                <c:pt idx="71">
                  <c:v>46722</c:v>
                </c:pt>
                <c:pt idx="72">
                  <c:v>46753</c:v>
                </c:pt>
                <c:pt idx="73">
                  <c:v>46784</c:v>
                </c:pt>
                <c:pt idx="74">
                  <c:v>46813</c:v>
                </c:pt>
                <c:pt idx="75">
                  <c:v>46844</c:v>
                </c:pt>
                <c:pt idx="76">
                  <c:v>46874</c:v>
                </c:pt>
                <c:pt idx="77">
                  <c:v>46905</c:v>
                </c:pt>
                <c:pt idx="78">
                  <c:v>46935</c:v>
                </c:pt>
                <c:pt idx="79">
                  <c:v>46966</c:v>
                </c:pt>
                <c:pt idx="80">
                  <c:v>46997</c:v>
                </c:pt>
                <c:pt idx="81">
                  <c:v>47027</c:v>
                </c:pt>
                <c:pt idx="82">
                  <c:v>47058</c:v>
                </c:pt>
                <c:pt idx="83">
                  <c:v>47088</c:v>
                </c:pt>
                <c:pt idx="84">
                  <c:v>47119</c:v>
                </c:pt>
                <c:pt idx="85">
                  <c:v>47150</c:v>
                </c:pt>
                <c:pt idx="86">
                  <c:v>47178</c:v>
                </c:pt>
                <c:pt idx="87">
                  <c:v>47209</c:v>
                </c:pt>
                <c:pt idx="88">
                  <c:v>47239</c:v>
                </c:pt>
                <c:pt idx="89">
                  <c:v>47270</c:v>
                </c:pt>
                <c:pt idx="90">
                  <c:v>47300</c:v>
                </c:pt>
                <c:pt idx="91">
                  <c:v>47331</c:v>
                </c:pt>
                <c:pt idx="92">
                  <c:v>47362</c:v>
                </c:pt>
                <c:pt idx="93">
                  <c:v>47392</c:v>
                </c:pt>
                <c:pt idx="94">
                  <c:v>47423</c:v>
                </c:pt>
                <c:pt idx="95">
                  <c:v>47453</c:v>
                </c:pt>
                <c:pt idx="96">
                  <c:v>47484</c:v>
                </c:pt>
                <c:pt idx="97">
                  <c:v>47515</c:v>
                </c:pt>
                <c:pt idx="98">
                  <c:v>47543</c:v>
                </c:pt>
                <c:pt idx="99">
                  <c:v>47574</c:v>
                </c:pt>
                <c:pt idx="100">
                  <c:v>47604</c:v>
                </c:pt>
                <c:pt idx="101">
                  <c:v>47635</c:v>
                </c:pt>
                <c:pt idx="102">
                  <c:v>47665</c:v>
                </c:pt>
                <c:pt idx="103">
                  <c:v>47696</c:v>
                </c:pt>
                <c:pt idx="104">
                  <c:v>47727</c:v>
                </c:pt>
                <c:pt idx="105">
                  <c:v>47757</c:v>
                </c:pt>
                <c:pt idx="106">
                  <c:v>47788</c:v>
                </c:pt>
                <c:pt idx="107">
                  <c:v>47818</c:v>
                </c:pt>
              </c:numCache>
            </c:numRef>
          </c:cat>
          <c:val>
            <c:numRef>
              <c:f>'Denver (HX)'!$H$2:$H$109</c:f>
              <c:numCache>
                <c:formatCode>0.0</c:formatCode>
                <c:ptCount val="108"/>
                <c:pt idx="0">
                  <c:v>49.221789883268485</c:v>
                </c:pt>
                <c:pt idx="1">
                  <c:v>49.610894941634243</c:v>
                </c:pt>
                <c:pt idx="2">
                  <c:v>50</c:v>
                </c:pt>
                <c:pt idx="3">
                  <c:v>48.199999999999996</c:v>
                </c:pt>
                <c:pt idx="4">
                  <c:v>48.249027237354085</c:v>
                </c:pt>
                <c:pt idx="5">
                  <c:v>49.027237354085599</c:v>
                </c:pt>
                <c:pt idx="6">
                  <c:v>49.805447470817128</c:v>
                </c:pt>
                <c:pt idx="7">
                  <c:v>44.357976653696504</c:v>
                </c:pt>
                <c:pt idx="8">
                  <c:v>45.914396887159533</c:v>
                </c:pt>
                <c:pt idx="9">
                  <c:v>46.692607003891048</c:v>
                </c:pt>
                <c:pt idx="10">
                  <c:v>47.081712062256805</c:v>
                </c:pt>
                <c:pt idx="11">
                  <c:v>48.638132295719842</c:v>
                </c:pt>
                <c:pt idx="12">
                  <c:v>47.470817120622563</c:v>
                </c:pt>
                <c:pt idx="13">
                  <c:v>47.859922178988327</c:v>
                </c:pt>
                <c:pt idx="14">
                  <c:v>46.692607003891048</c:v>
                </c:pt>
                <c:pt idx="15">
                  <c:v>46.303501945525291</c:v>
                </c:pt>
                <c:pt idx="16">
                  <c:v>47.081712062256805</c:v>
                </c:pt>
                <c:pt idx="17">
                  <c:v>43.579766536964982</c:v>
                </c:pt>
                <c:pt idx="18">
                  <c:v>44.747081712062261</c:v>
                </c:pt>
                <c:pt idx="19">
                  <c:v>45.525291828793776</c:v>
                </c:pt>
                <c:pt idx="20">
                  <c:v>46.692607003891048</c:v>
                </c:pt>
                <c:pt idx="21">
                  <c:v>47.470817120622563</c:v>
                </c:pt>
                <c:pt idx="22">
                  <c:v>48.638132295719842</c:v>
                </c:pt>
                <c:pt idx="23">
                  <c:v>49.027237354085599</c:v>
                </c:pt>
                <c:pt idx="24">
                  <c:v>47.470817120622563</c:v>
                </c:pt>
                <c:pt idx="25">
                  <c:v>48.638132295719842</c:v>
                </c:pt>
                <c:pt idx="26">
                  <c:v>48.249027237354085</c:v>
                </c:pt>
                <c:pt idx="27">
                  <c:v>47.859922178988327</c:v>
                </c:pt>
                <c:pt idx="28">
                  <c:v>46.303501945525291</c:v>
                </c:pt>
                <c:pt idx="29">
                  <c:v>45.136186770428019</c:v>
                </c:pt>
                <c:pt idx="30">
                  <c:v>45.525291828793776</c:v>
                </c:pt>
                <c:pt idx="31">
                  <c:v>46.303501945525291</c:v>
                </c:pt>
                <c:pt idx="32">
                  <c:v>46.303501945525291</c:v>
                </c:pt>
                <c:pt idx="33">
                  <c:v>47.859922178988327</c:v>
                </c:pt>
                <c:pt idx="34">
                  <c:v>48.249027237354085</c:v>
                </c:pt>
                <c:pt idx="35">
                  <c:v>49.027237354085599</c:v>
                </c:pt>
                <c:pt idx="36">
                  <c:v>49.027237354085599</c:v>
                </c:pt>
                <c:pt idx="37">
                  <c:v>49.805447470817128</c:v>
                </c:pt>
                <c:pt idx="38">
                  <c:v>49.805447470817128</c:v>
                </c:pt>
                <c:pt idx="39">
                  <c:v>49.416342412451357</c:v>
                </c:pt>
                <c:pt idx="40">
                  <c:v>50.194552529182879</c:v>
                </c:pt>
                <c:pt idx="41">
                  <c:v>49.805447470817128</c:v>
                </c:pt>
                <c:pt idx="42">
                  <c:v>47.859922178988327</c:v>
                </c:pt>
                <c:pt idx="43">
                  <c:v>47.470817120622563</c:v>
                </c:pt>
                <c:pt idx="44">
                  <c:v>47.859922178988327</c:v>
                </c:pt>
                <c:pt idx="45">
                  <c:v>49.027237354085599</c:v>
                </c:pt>
                <c:pt idx="46">
                  <c:v>49.027237354085599</c:v>
                </c:pt>
                <c:pt idx="47">
                  <c:v>49.805447470817128</c:v>
                </c:pt>
                <c:pt idx="48">
                  <c:v>49.805447470817128</c:v>
                </c:pt>
                <c:pt idx="49">
                  <c:v>49.805447470817128</c:v>
                </c:pt>
                <c:pt idx="50">
                  <c:v>49.805447470817128</c:v>
                </c:pt>
                <c:pt idx="51">
                  <c:v>49.805447470817128</c:v>
                </c:pt>
                <c:pt idx="52">
                  <c:v>49.805447470817128</c:v>
                </c:pt>
                <c:pt idx="53">
                  <c:v>49.805447470817128</c:v>
                </c:pt>
                <c:pt idx="54">
                  <c:v>50.194552529182879</c:v>
                </c:pt>
                <c:pt idx="55">
                  <c:v>49.805447470817128</c:v>
                </c:pt>
              </c:numCache>
            </c:numRef>
          </c:val>
          <c:smooth val="0"/>
          <c:extLst>
            <c:ext xmlns:c16="http://schemas.microsoft.com/office/drawing/2014/chart" uri="{C3380CC4-5D6E-409C-BE32-E72D297353CC}">
              <c16:uniqueId val="{00000000-40E0-4714-9E41-59E927BE9D12}"/>
            </c:ext>
          </c:extLst>
        </c:ser>
        <c:ser>
          <c:idx val="1"/>
          <c:order val="1"/>
          <c:tx>
            <c:strRef>
              <c:f>'Denver (HX)'!$I$1</c:f>
              <c:strCache>
                <c:ptCount val="1"/>
                <c:pt idx="0">
                  <c:v>Forecast (%)</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numRef>
              <c:f>'Denver (HX)'!$C$2:$C$109</c:f>
              <c:numCache>
                <c:formatCode>mmm\-yy</c:formatCode>
                <c:ptCount val="108"/>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pt idx="35">
                  <c:v>45627</c:v>
                </c:pt>
                <c:pt idx="36">
                  <c:v>45658</c:v>
                </c:pt>
                <c:pt idx="37">
                  <c:v>45689</c:v>
                </c:pt>
                <c:pt idx="38">
                  <c:v>45717</c:v>
                </c:pt>
                <c:pt idx="39">
                  <c:v>45748</c:v>
                </c:pt>
                <c:pt idx="40">
                  <c:v>45778</c:v>
                </c:pt>
                <c:pt idx="41">
                  <c:v>45809</c:v>
                </c:pt>
                <c:pt idx="42">
                  <c:v>45839</c:v>
                </c:pt>
                <c:pt idx="43">
                  <c:v>45870</c:v>
                </c:pt>
                <c:pt idx="44">
                  <c:v>45901</c:v>
                </c:pt>
                <c:pt idx="45">
                  <c:v>45931</c:v>
                </c:pt>
                <c:pt idx="46">
                  <c:v>45962</c:v>
                </c:pt>
                <c:pt idx="47">
                  <c:v>45992</c:v>
                </c:pt>
                <c:pt idx="48">
                  <c:v>46023</c:v>
                </c:pt>
                <c:pt idx="49">
                  <c:v>46054</c:v>
                </c:pt>
                <c:pt idx="50">
                  <c:v>46082</c:v>
                </c:pt>
                <c:pt idx="51">
                  <c:v>46113</c:v>
                </c:pt>
                <c:pt idx="52">
                  <c:v>46143</c:v>
                </c:pt>
                <c:pt idx="53">
                  <c:v>46174</c:v>
                </c:pt>
                <c:pt idx="54">
                  <c:v>46204</c:v>
                </c:pt>
                <c:pt idx="55">
                  <c:v>46235</c:v>
                </c:pt>
                <c:pt idx="56">
                  <c:v>46266</c:v>
                </c:pt>
                <c:pt idx="57">
                  <c:v>46296</c:v>
                </c:pt>
                <c:pt idx="58">
                  <c:v>46327</c:v>
                </c:pt>
                <c:pt idx="59">
                  <c:v>46357</c:v>
                </c:pt>
                <c:pt idx="60">
                  <c:v>46388</c:v>
                </c:pt>
                <c:pt idx="61">
                  <c:v>46419</c:v>
                </c:pt>
                <c:pt idx="62">
                  <c:v>46447</c:v>
                </c:pt>
                <c:pt idx="63">
                  <c:v>46478</c:v>
                </c:pt>
                <c:pt idx="64">
                  <c:v>46508</c:v>
                </c:pt>
                <c:pt idx="65">
                  <c:v>46539</c:v>
                </c:pt>
                <c:pt idx="66">
                  <c:v>46569</c:v>
                </c:pt>
                <c:pt idx="67">
                  <c:v>46600</c:v>
                </c:pt>
                <c:pt idx="68">
                  <c:v>46631</c:v>
                </c:pt>
                <c:pt idx="69">
                  <c:v>46661</c:v>
                </c:pt>
                <c:pt idx="70">
                  <c:v>46692</c:v>
                </c:pt>
                <c:pt idx="71">
                  <c:v>46722</c:v>
                </c:pt>
                <c:pt idx="72">
                  <c:v>46753</c:v>
                </c:pt>
                <c:pt idx="73">
                  <c:v>46784</c:v>
                </c:pt>
                <c:pt idx="74">
                  <c:v>46813</c:v>
                </c:pt>
                <c:pt idx="75">
                  <c:v>46844</c:v>
                </c:pt>
                <c:pt idx="76">
                  <c:v>46874</c:v>
                </c:pt>
                <c:pt idx="77">
                  <c:v>46905</c:v>
                </c:pt>
                <c:pt idx="78">
                  <c:v>46935</c:v>
                </c:pt>
                <c:pt idx="79">
                  <c:v>46966</c:v>
                </c:pt>
                <c:pt idx="80">
                  <c:v>46997</c:v>
                </c:pt>
                <c:pt idx="81">
                  <c:v>47027</c:v>
                </c:pt>
                <c:pt idx="82">
                  <c:v>47058</c:v>
                </c:pt>
                <c:pt idx="83">
                  <c:v>47088</c:v>
                </c:pt>
                <c:pt idx="84">
                  <c:v>47119</c:v>
                </c:pt>
                <c:pt idx="85">
                  <c:v>47150</c:v>
                </c:pt>
                <c:pt idx="86">
                  <c:v>47178</c:v>
                </c:pt>
                <c:pt idx="87">
                  <c:v>47209</c:v>
                </c:pt>
                <c:pt idx="88">
                  <c:v>47239</c:v>
                </c:pt>
                <c:pt idx="89">
                  <c:v>47270</c:v>
                </c:pt>
                <c:pt idx="90">
                  <c:v>47300</c:v>
                </c:pt>
                <c:pt idx="91">
                  <c:v>47331</c:v>
                </c:pt>
                <c:pt idx="92">
                  <c:v>47362</c:v>
                </c:pt>
                <c:pt idx="93">
                  <c:v>47392</c:v>
                </c:pt>
                <c:pt idx="94">
                  <c:v>47423</c:v>
                </c:pt>
                <c:pt idx="95">
                  <c:v>47453</c:v>
                </c:pt>
                <c:pt idx="96">
                  <c:v>47484</c:v>
                </c:pt>
                <c:pt idx="97">
                  <c:v>47515</c:v>
                </c:pt>
                <c:pt idx="98">
                  <c:v>47543</c:v>
                </c:pt>
                <c:pt idx="99">
                  <c:v>47574</c:v>
                </c:pt>
                <c:pt idx="100">
                  <c:v>47604</c:v>
                </c:pt>
                <c:pt idx="101">
                  <c:v>47635</c:v>
                </c:pt>
                <c:pt idx="102">
                  <c:v>47665</c:v>
                </c:pt>
                <c:pt idx="103">
                  <c:v>47696</c:v>
                </c:pt>
                <c:pt idx="104">
                  <c:v>47727</c:v>
                </c:pt>
                <c:pt idx="105">
                  <c:v>47757</c:v>
                </c:pt>
                <c:pt idx="106">
                  <c:v>47788</c:v>
                </c:pt>
                <c:pt idx="107">
                  <c:v>47818</c:v>
                </c:pt>
              </c:numCache>
            </c:numRef>
          </c:cat>
          <c:val>
            <c:numRef>
              <c:f>'Denver (HX)'!$I$2:$I$109</c:f>
              <c:numCache>
                <c:formatCode>0.0</c:formatCode>
                <c:ptCount val="108"/>
                <c:pt idx="54">
                  <c:v>50.194552529182879</c:v>
                </c:pt>
                <c:pt idx="55">
                  <c:v>49.805447470817128</c:v>
                </c:pt>
                <c:pt idx="56">
                  <c:v>50.125897219486561</c:v>
                </c:pt>
                <c:pt idx="57">
                  <c:v>50.448408751487669</c:v>
                </c:pt>
                <c:pt idx="58">
                  <c:v>50.772995332396498</c:v>
                </c:pt>
                <c:pt idx="59">
                  <c:v>51.099670313140201</c:v>
                </c:pt>
                <c:pt idx="60">
                  <c:v>51.428447130546196</c:v>
                </c:pt>
                <c:pt idx="61">
                  <c:v>51.759339307894855</c:v>
                </c:pt>
                <c:pt idx="62">
                  <c:v>52.092360455475742</c:v>
                </c:pt>
                <c:pt idx="63">
                  <c:v>52.427524271147419</c:v>
                </c:pt>
                <c:pt idx="64">
                  <c:v>52.764844540900924</c:v>
                </c:pt>
                <c:pt idx="65">
                  <c:v>53.10433513942673</c:v>
                </c:pt>
                <c:pt idx="66">
                  <c:v>53.446010030685521</c:v>
                </c:pt>
                <c:pt idx="67">
                  <c:v>53.789883268482484</c:v>
                </c:pt>
                <c:pt idx="68">
                  <c:v>54.135968997045481</c:v>
                </c:pt>
                <c:pt idx="69">
                  <c:v>54.484281451606684</c:v>
                </c:pt>
                <c:pt idx="70">
                  <c:v>54.834834958988225</c:v>
                </c:pt>
                <c:pt idx="71">
                  <c:v>55.187643938191421</c:v>
                </c:pt>
                <c:pt idx="72">
                  <c:v>55.542722900989894</c:v>
                </c:pt>
                <c:pt idx="73">
                  <c:v>55.900086452526445</c:v>
                </c:pt>
                <c:pt idx="74">
                  <c:v>56.259749291913799</c:v>
                </c:pt>
                <c:pt idx="75">
                  <c:v>56.621726212839206</c:v>
                </c:pt>
                <c:pt idx="76">
                  <c:v>56.986032104172992</c:v>
                </c:pt>
                <c:pt idx="77">
                  <c:v>57.352681950580852</c:v>
                </c:pt>
                <c:pt idx="78">
                  <c:v>57.72169083314035</c:v>
                </c:pt>
                <c:pt idx="79">
                  <c:v>58.093073929961079</c:v>
                </c:pt>
                <c:pt idx="80">
                  <c:v>58.466846516809113</c:v>
                </c:pt>
                <c:pt idx="81">
                  <c:v>58.843023967735206</c:v>
                </c:pt>
                <c:pt idx="82">
                  <c:v>59.221621755707275</c:v>
                </c:pt>
                <c:pt idx="83">
                  <c:v>59.602655453246726</c:v>
                </c:pt>
                <c:pt idx="84">
                  <c:v>59.986140733069071</c:v>
                </c:pt>
                <c:pt idx="85">
                  <c:v>60.372093368728542</c:v>
                </c:pt>
                <c:pt idx="86">
                  <c:v>60.760529235266894</c:v>
                </c:pt>
                <c:pt idx="87">
                  <c:v>61.151464309866334</c:v>
                </c:pt>
                <c:pt idx="88">
                  <c:v>61.54491467250682</c:v>
                </c:pt>
                <c:pt idx="89">
                  <c:v>61.940896506627318</c:v>
                </c:pt>
                <c:pt idx="90">
                  <c:v>62.339426099791559</c:v>
                </c:pt>
                <c:pt idx="91">
                  <c:v>62.740519844357955</c:v>
                </c:pt>
                <c:pt idx="92">
                  <c:v>63.14419423815383</c:v>
                </c:pt>
                <c:pt idx="93">
                  <c:v>63.550465885154004</c:v>
                </c:pt>
                <c:pt idx="94">
                  <c:v>63.959351496163841</c:v>
                </c:pt>
                <c:pt idx="95">
                  <c:v>64.370867889506442</c:v>
                </c:pt>
                <c:pt idx="96">
                  <c:v>64.785031991714575</c:v>
                </c:pt>
                <c:pt idx="97">
                  <c:v>65.201860838226807</c:v>
                </c:pt>
                <c:pt idx="98">
                  <c:v>65.621371574088201</c:v>
                </c:pt>
                <c:pt idx="99">
                  <c:v>66.043581454655623</c:v>
                </c:pt>
                <c:pt idx="100">
                  <c:v>66.468507846307332</c:v>
                </c:pt>
                <c:pt idx="101">
                  <c:v>66.896168227157489</c:v>
                </c:pt>
                <c:pt idx="102">
                  <c:v>67.326580187774866</c:v>
                </c:pt>
                <c:pt idx="103">
                  <c:v>67.759761431906568</c:v>
                </c:pt>
                <c:pt idx="104">
                  <c:v>68.195729777206111</c:v>
                </c:pt>
                <c:pt idx="105">
                  <c:v>68.6345031559663</c:v>
                </c:pt>
                <c:pt idx="106">
                  <c:v>69.076099615856918</c:v>
                </c:pt>
                <c:pt idx="107">
                  <c:v>69.520537320666932</c:v>
                </c:pt>
              </c:numCache>
            </c:numRef>
          </c:val>
          <c:smooth val="0"/>
          <c:extLst>
            <c:ext xmlns:c16="http://schemas.microsoft.com/office/drawing/2014/chart" uri="{C3380CC4-5D6E-409C-BE32-E72D297353CC}">
              <c16:uniqueId val="{00000001-40E0-4714-9E41-59E927BE9D12}"/>
            </c:ext>
          </c:extLst>
        </c:ser>
        <c:ser>
          <c:idx val="2"/>
          <c:order val="2"/>
          <c:tx>
            <c:strRef>
              <c:f>'Denver (HX)'!$J$1</c:f>
              <c:strCache>
                <c:ptCount val="1"/>
                <c:pt idx="0">
                  <c:v>Max %</c:v>
                </c:pt>
              </c:strCache>
            </c:strRef>
          </c:tx>
          <c:spPr>
            <a:ln w="22225" cap="rnd">
              <a:solidFill>
                <a:schemeClr val="accent3"/>
              </a:solidFill>
            </a:ln>
            <a:effectLst>
              <a:glow rad="139700">
                <a:schemeClr val="accent3">
                  <a:satMod val="175000"/>
                  <a:alpha val="14000"/>
                </a:schemeClr>
              </a:glow>
            </a:effectLst>
          </c:spPr>
          <c:marker>
            <c:symbol val="none"/>
          </c:marker>
          <c:cat>
            <c:numRef>
              <c:f>'Denver (HX)'!$C$2:$C$109</c:f>
              <c:numCache>
                <c:formatCode>mmm\-yy</c:formatCode>
                <c:ptCount val="108"/>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pt idx="35">
                  <c:v>45627</c:v>
                </c:pt>
                <c:pt idx="36">
                  <c:v>45658</c:v>
                </c:pt>
                <c:pt idx="37">
                  <c:v>45689</c:v>
                </c:pt>
                <c:pt idx="38">
                  <c:v>45717</c:v>
                </c:pt>
                <c:pt idx="39">
                  <c:v>45748</c:v>
                </c:pt>
                <c:pt idx="40">
                  <c:v>45778</c:v>
                </c:pt>
                <c:pt idx="41">
                  <c:v>45809</c:v>
                </c:pt>
                <c:pt idx="42">
                  <c:v>45839</c:v>
                </c:pt>
                <c:pt idx="43">
                  <c:v>45870</c:v>
                </c:pt>
                <c:pt idx="44">
                  <c:v>45901</c:v>
                </c:pt>
                <c:pt idx="45">
                  <c:v>45931</c:v>
                </c:pt>
                <c:pt idx="46">
                  <c:v>45962</c:v>
                </c:pt>
                <c:pt idx="47">
                  <c:v>45992</c:v>
                </c:pt>
                <c:pt idx="48">
                  <c:v>46023</c:v>
                </c:pt>
                <c:pt idx="49">
                  <c:v>46054</c:v>
                </c:pt>
                <c:pt idx="50">
                  <c:v>46082</c:v>
                </c:pt>
                <c:pt idx="51">
                  <c:v>46113</c:v>
                </c:pt>
                <c:pt idx="52">
                  <c:v>46143</c:v>
                </c:pt>
                <c:pt idx="53">
                  <c:v>46174</c:v>
                </c:pt>
                <c:pt idx="54">
                  <c:v>46204</c:v>
                </c:pt>
                <c:pt idx="55">
                  <c:v>46235</c:v>
                </c:pt>
                <c:pt idx="56">
                  <c:v>46266</c:v>
                </c:pt>
                <c:pt idx="57">
                  <c:v>46296</c:v>
                </c:pt>
                <c:pt idx="58">
                  <c:v>46327</c:v>
                </c:pt>
                <c:pt idx="59">
                  <c:v>46357</c:v>
                </c:pt>
                <c:pt idx="60">
                  <c:v>46388</c:v>
                </c:pt>
                <c:pt idx="61">
                  <c:v>46419</c:v>
                </c:pt>
                <c:pt idx="62">
                  <c:v>46447</c:v>
                </c:pt>
                <c:pt idx="63">
                  <c:v>46478</c:v>
                </c:pt>
                <c:pt idx="64">
                  <c:v>46508</c:v>
                </c:pt>
                <c:pt idx="65">
                  <c:v>46539</c:v>
                </c:pt>
                <c:pt idx="66">
                  <c:v>46569</c:v>
                </c:pt>
                <c:pt idx="67">
                  <c:v>46600</c:v>
                </c:pt>
                <c:pt idx="68">
                  <c:v>46631</c:v>
                </c:pt>
                <c:pt idx="69">
                  <c:v>46661</c:v>
                </c:pt>
                <c:pt idx="70">
                  <c:v>46692</c:v>
                </c:pt>
                <c:pt idx="71">
                  <c:v>46722</c:v>
                </c:pt>
                <c:pt idx="72">
                  <c:v>46753</c:v>
                </c:pt>
                <c:pt idx="73">
                  <c:v>46784</c:v>
                </c:pt>
                <c:pt idx="74">
                  <c:v>46813</c:v>
                </c:pt>
                <c:pt idx="75">
                  <c:v>46844</c:v>
                </c:pt>
                <c:pt idx="76">
                  <c:v>46874</c:v>
                </c:pt>
                <c:pt idx="77">
                  <c:v>46905</c:v>
                </c:pt>
                <c:pt idx="78">
                  <c:v>46935</c:v>
                </c:pt>
                <c:pt idx="79">
                  <c:v>46966</c:v>
                </c:pt>
                <c:pt idx="80">
                  <c:v>46997</c:v>
                </c:pt>
                <c:pt idx="81">
                  <c:v>47027</c:v>
                </c:pt>
                <c:pt idx="82">
                  <c:v>47058</c:v>
                </c:pt>
                <c:pt idx="83">
                  <c:v>47088</c:v>
                </c:pt>
                <c:pt idx="84">
                  <c:v>47119</c:v>
                </c:pt>
                <c:pt idx="85">
                  <c:v>47150</c:v>
                </c:pt>
                <c:pt idx="86">
                  <c:v>47178</c:v>
                </c:pt>
                <c:pt idx="87">
                  <c:v>47209</c:v>
                </c:pt>
                <c:pt idx="88">
                  <c:v>47239</c:v>
                </c:pt>
                <c:pt idx="89">
                  <c:v>47270</c:v>
                </c:pt>
                <c:pt idx="90">
                  <c:v>47300</c:v>
                </c:pt>
                <c:pt idx="91">
                  <c:v>47331</c:v>
                </c:pt>
                <c:pt idx="92">
                  <c:v>47362</c:v>
                </c:pt>
                <c:pt idx="93">
                  <c:v>47392</c:v>
                </c:pt>
                <c:pt idx="94">
                  <c:v>47423</c:v>
                </c:pt>
                <c:pt idx="95">
                  <c:v>47453</c:v>
                </c:pt>
                <c:pt idx="96">
                  <c:v>47484</c:v>
                </c:pt>
                <c:pt idx="97">
                  <c:v>47515</c:v>
                </c:pt>
                <c:pt idx="98">
                  <c:v>47543</c:v>
                </c:pt>
                <c:pt idx="99">
                  <c:v>47574</c:v>
                </c:pt>
                <c:pt idx="100">
                  <c:v>47604</c:v>
                </c:pt>
                <c:pt idx="101">
                  <c:v>47635</c:v>
                </c:pt>
                <c:pt idx="102">
                  <c:v>47665</c:v>
                </c:pt>
                <c:pt idx="103">
                  <c:v>47696</c:v>
                </c:pt>
                <c:pt idx="104">
                  <c:v>47727</c:v>
                </c:pt>
                <c:pt idx="105">
                  <c:v>47757</c:v>
                </c:pt>
                <c:pt idx="106">
                  <c:v>47788</c:v>
                </c:pt>
                <c:pt idx="107">
                  <c:v>47818</c:v>
                </c:pt>
              </c:numCache>
            </c:numRef>
          </c:cat>
          <c:val>
            <c:numRef>
              <c:f>'Denver (HX)'!$J$2:$J$109</c:f>
              <c:numCache>
                <c:formatCode>General</c:formatCode>
                <c:ptCount val="108"/>
                <c:pt idx="0">
                  <c:v>75</c:v>
                </c:pt>
                <c:pt idx="1">
                  <c:v>75</c:v>
                </c:pt>
                <c:pt idx="2">
                  <c:v>75</c:v>
                </c:pt>
                <c:pt idx="3">
                  <c:v>75</c:v>
                </c:pt>
                <c:pt idx="4">
                  <c:v>75</c:v>
                </c:pt>
                <c:pt idx="5">
                  <c:v>75</c:v>
                </c:pt>
                <c:pt idx="6">
                  <c:v>75</c:v>
                </c:pt>
                <c:pt idx="7">
                  <c:v>75</c:v>
                </c:pt>
                <c:pt idx="8">
                  <c:v>75</c:v>
                </c:pt>
                <c:pt idx="9">
                  <c:v>75</c:v>
                </c:pt>
                <c:pt idx="10">
                  <c:v>75</c:v>
                </c:pt>
                <c:pt idx="11">
                  <c:v>75</c:v>
                </c:pt>
                <c:pt idx="12">
                  <c:v>75</c:v>
                </c:pt>
                <c:pt idx="13">
                  <c:v>75</c:v>
                </c:pt>
                <c:pt idx="14">
                  <c:v>75</c:v>
                </c:pt>
                <c:pt idx="15">
                  <c:v>75</c:v>
                </c:pt>
                <c:pt idx="16">
                  <c:v>75</c:v>
                </c:pt>
                <c:pt idx="17">
                  <c:v>75</c:v>
                </c:pt>
                <c:pt idx="18">
                  <c:v>75</c:v>
                </c:pt>
                <c:pt idx="19">
                  <c:v>75</c:v>
                </c:pt>
                <c:pt idx="20">
                  <c:v>75</c:v>
                </c:pt>
                <c:pt idx="21">
                  <c:v>75</c:v>
                </c:pt>
                <c:pt idx="22">
                  <c:v>75</c:v>
                </c:pt>
                <c:pt idx="23">
                  <c:v>75</c:v>
                </c:pt>
                <c:pt idx="24">
                  <c:v>75</c:v>
                </c:pt>
                <c:pt idx="25">
                  <c:v>75</c:v>
                </c:pt>
                <c:pt idx="26">
                  <c:v>75</c:v>
                </c:pt>
                <c:pt idx="27">
                  <c:v>75</c:v>
                </c:pt>
                <c:pt idx="28">
                  <c:v>75</c:v>
                </c:pt>
                <c:pt idx="29">
                  <c:v>75</c:v>
                </c:pt>
                <c:pt idx="30">
                  <c:v>75</c:v>
                </c:pt>
                <c:pt idx="31">
                  <c:v>75</c:v>
                </c:pt>
                <c:pt idx="32">
                  <c:v>75</c:v>
                </c:pt>
                <c:pt idx="33">
                  <c:v>75</c:v>
                </c:pt>
                <c:pt idx="34">
                  <c:v>75</c:v>
                </c:pt>
                <c:pt idx="35">
                  <c:v>75</c:v>
                </c:pt>
                <c:pt idx="36">
                  <c:v>75</c:v>
                </c:pt>
                <c:pt idx="37">
                  <c:v>75</c:v>
                </c:pt>
                <c:pt idx="38">
                  <c:v>75</c:v>
                </c:pt>
                <c:pt idx="39">
                  <c:v>75</c:v>
                </c:pt>
                <c:pt idx="40">
                  <c:v>75</c:v>
                </c:pt>
                <c:pt idx="41">
                  <c:v>75</c:v>
                </c:pt>
                <c:pt idx="42">
                  <c:v>75</c:v>
                </c:pt>
                <c:pt idx="43">
                  <c:v>75</c:v>
                </c:pt>
                <c:pt idx="44">
                  <c:v>75</c:v>
                </c:pt>
                <c:pt idx="45">
                  <c:v>75</c:v>
                </c:pt>
                <c:pt idx="46">
                  <c:v>75</c:v>
                </c:pt>
                <c:pt idx="47">
                  <c:v>75</c:v>
                </c:pt>
                <c:pt idx="48">
                  <c:v>75</c:v>
                </c:pt>
                <c:pt idx="49">
                  <c:v>75</c:v>
                </c:pt>
                <c:pt idx="50">
                  <c:v>75</c:v>
                </c:pt>
                <c:pt idx="51">
                  <c:v>75</c:v>
                </c:pt>
                <c:pt idx="52">
                  <c:v>75</c:v>
                </c:pt>
                <c:pt idx="53">
                  <c:v>75</c:v>
                </c:pt>
                <c:pt idx="54">
                  <c:v>75</c:v>
                </c:pt>
                <c:pt idx="55">
                  <c:v>75</c:v>
                </c:pt>
                <c:pt idx="56">
                  <c:v>75</c:v>
                </c:pt>
                <c:pt idx="57">
                  <c:v>75</c:v>
                </c:pt>
                <c:pt idx="58">
                  <c:v>75</c:v>
                </c:pt>
                <c:pt idx="59">
                  <c:v>75</c:v>
                </c:pt>
                <c:pt idx="60">
                  <c:v>75</c:v>
                </c:pt>
                <c:pt idx="61">
                  <c:v>75</c:v>
                </c:pt>
                <c:pt idx="62">
                  <c:v>75</c:v>
                </c:pt>
                <c:pt idx="63">
                  <c:v>75</c:v>
                </c:pt>
                <c:pt idx="64">
                  <c:v>75</c:v>
                </c:pt>
                <c:pt idx="65">
                  <c:v>75</c:v>
                </c:pt>
                <c:pt idx="66">
                  <c:v>75</c:v>
                </c:pt>
                <c:pt idx="67">
                  <c:v>75</c:v>
                </c:pt>
                <c:pt idx="68">
                  <c:v>75</c:v>
                </c:pt>
                <c:pt idx="69">
                  <c:v>75</c:v>
                </c:pt>
                <c:pt idx="70">
                  <c:v>75</c:v>
                </c:pt>
                <c:pt idx="71">
                  <c:v>75</c:v>
                </c:pt>
                <c:pt idx="72">
                  <c:v>75</c:v>
                </c:pt>
                <c:pt idx="73">
                  <c:v>75</c:v>
                </c:pt>
                <c:pt idx="74">
                  <c:v>75</c:v>
                </c:pt>
                <c:pt idx="75">
                  <c:v>75</c:v>
                </c:pt>
                <c:pt idx="76">
                  <c:v>75</c:v>
                </c:pt>
                <c:pt idx="77">
                  <c:v>75</c:v>
                </c:pt>
                <c:pt idx="78">
                  <c:v>75</c:v>
                </c:pt>
                <c:pt idx="79">
                  <c:v>75</c:v>
                </c:pt>
                <c:pt idx="80">
                  <c:v>75</c:v>
                </c:pt>
                <c:pt idx="81">
                  <c:v>75</c:v>
                </c:pt>
                <c:pt idx="82">
                  <c:v>75</c:v>
                </c:pt>
                <c:pt idx="83">
                  <c:v>75</c:v>
                </c:pt>
                <c:pt idx="84">
                  <c:v>75</c:v>
                </c:pt>
                <c:pt idx="85">
                  <c:v>75</c:v>
                </c:pt>
                <c:pt idx="86">
                  <c:v>75</c:v>
                </c:pt>
                <c:pt idx="87">
                  <c:v>75</c:v>
                </c:pt>
                <c:pt idx="88">
                  <c:v>75</c:v>
                </c:pt>
                <c:pt idx="89">
                  <c:v>75</c:v>
                </c:pt>
                <c:pt idx="90">
                  <c:v>75</c:v>
                </c:pt>
                <c:pt idx="91">
                  <c:v>75</c:v>
                </c:pt>
                <c:pt idx="92">
                  <c:v>75</c:v>
                </c:pt>
                <c:pt idx="93">
                  <c:v>75</c:v>
                </c:pt>
                <c:pt idx="94">
                  <c:v>75</c:v>
                </c:pt>
                <c:pt idx="95">
                  <c:v>75</c:v>
                </c:pt>
                <c:pt idx="96">
                  <c:v>75</c:v>
                </c:pt>
                <c:pt idx="97">
                  <c:v>75</c:v>
                </c:pt>
                <c:pt idx="98">
                  <c:v>75</c:v>
                </c:pt>
                <c:pt idx="99">
                  <c:v>75</c:v>
                </c:pt>
                <c:pt idx="100">
                  <c:v>75</c:v>
                </c:pt>
                <c:pt idx="101">
                  <c:v>75</c:v>
                </c:pt>
                <c:pt idx="102">
                  <c:v>75</c:v>
                </c:pt>
                <c:pt idx="103">
                  <c:v>75</c:v>
                </c:pt>
                <c:pt idx="104">
                  <c:v>75</c:v>
                </c:pt>
                <c:pt idx="105">
                  <c:v>75</c:v>
                </c:pt>
                <c:pt idx="106">
                  <c:v>75</c:v>
                </c:pt>
                <c:pt idx="107">
                  <c:v>75</c:v>
                </c:pt>
              </c:numCache>
            </c:numRef>
          </c:val>
          <c:smooth val="0"/>
          <c:extLst>
            <c:ext xmlns:c16="http://schemas.microsoft.com/office/drawing/2014/chart" uri="{C3380CC4-5D6E-409C-BE32-E72D297353CC}">
              <c16:uniqueId val="{00000002-40E0-4714-9E41-59E927BE9D12}"/>
            </c:ext>
          </c:extLst>
        </c:ser>
        <c:dLbls>
          <c:showLegendKey val="0"/>
          <c:showVal val="0"/>
          <c:showCatName val="0"/>
          <c:showSerName val="0"/>
          <c:showPercent val="0"/>
          <c:showBubbleSize val="0"/>
        </c:dLbls>
        <c:marker val="1"/>
        <c:smooth val="0"/>
        <c:axId val="923718064"/>
        <c:axId val="923722640"/>
      </c:lineChart>
      <c:dateAx>
        <c:axId val="92371806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mmm\-yy" sourceLinked="1"/>
        <c:majorTickMark val="none"/>
        <c:minorTickMark val="none"/>
        <c:tickLblPos val="nextTo"/>
        <c:spPr>
          <a:noFill/>
          <a:ln>
            <a:solidFill>
              <a:schemeClr val="accent1"/>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23722640"/>
        <c:crosses val="autoZero"/>
        <c:auto val="1"/>
        <c:lblOffset val="100"/>
        <c:baseTimeUnit val="months"/>
        <c:majorUnit val="2"/>
        <c:majorTimeUnit val="months"/>
      </c:dateAx>
      <c:valAx>
        <c:axId val="923722640"/>
        <c:scaling>
          <c:orientation val="minMax"/>
          <c:max val="100"/>
          <c:min val="20"/>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23718064"/>
        <c:crosses val="autoZero"/>
        <c:crossBetween val="between"/>
      </c:valAx>
      <c:spPr>
        <a:noFill/>
        <a:ln>
          <a:noFill/>
        </a:ln>
        <a:effectLst/>
      </c:spPr>
    </c:plotArea>
    <c:legend>
      <c:legendPos val="r"/>
      <c:layout>
        <c:manualLayout>
          <c:xMode val="edge"/>
          <c:yMode val="edge"/>
          <c:x val="0.5758645091356861"/>
          <c:y val="0.59729804112593499"/>
          <c:w val="9.8310292650557657E-2"/>
          <c:h val="0.20754619529954232"/>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'Denver (ESX)'!$H$1</c:f>
              <c:strCache>
                <c:ptCount val="1"/>
                <c:pt idx="0">
                  <c:v>In use (%)</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numRef>
              <c:f>'Denver (ESX)'!$C$2:$C$109</c:f>
              <c:numCache>
                <c:formatCode>mmm\-yy</c:formatCode>
                <c:ptCount val="108"/>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pt idx="35">
                  <c:v>45627</c:v>
                </c:pt>
                <c:pt idx="36">
                  <c:v>45658</c:v>
                </c:pt>
                <c:pt idx="37">
                  <c:v>45689</c:v>
                </c:pt>
                <c:pt idx="38">
                  <c:v>45717</c:v>
                </c:pt>
                <c:pt idx="39">
                  <c:v>45748</c:v>
                </c:pt>
                <c:pt idx="40">
                  <c:v>45778</c:v>
                </c:pt>
                <c:pt idx="41">
                  <c:v>45809</c:v>
                </c:pt>
                <c:pt idx="42">
                  <c:v>45839</c:v>
                </c:pt>
                <c:pt idx="43">
                  <c:v>45870</c:v>
                </c:pt>
                <c:pt idx="44">
                  <c:v>45901</c:v>
                </c:pt>
                <c:pt idx="45">
                  <c:v>45931</c:v>
                </c:pt>
                <c:pt idx="46">
                  <c:v>45962</c:v>
                </c:pt>
                <c:pt idx="47">
                  <c:v>45992</c:v>
                </c:pt>
                <c:pt idx="48">
                  <c:v>46023</c:v>
                </c:pt>
                <c:pt idx="49">
                  <c:v>46054</c:v>
                </c:pt>
                <c:pt idx="50">
                  <c:v>46082</c:v>
                </c:pt>
                <c:pt idx="51">
                  <c:v>46113</c:v>
                </c:pt>
                <c:pt idx="52">
                  <c:v>46143</c:v>
                </c:pt>
                <c:pt idx="53">
                  <c:v>46174</c:v>
                </c:pt>
                <c:pt idx="54">
                  <c:v>46204</c:v>
                </c:pt>
                <c:pt idx="55">
                  <c:v>46235</c:v>
                </c:pt>
                <c:pt idx="56">
                  <c:v>46266</c:v>
                </c:pt>
                <c:pt idx="57">
                  <c:v>46296</c:v>
                </c:pt>
                <c:pt idx="58">
                  <c:v>46327</c:v>
                </c:pt>
                <c:pt idx="59">
                  <c:v>46357</c:v>
                </c:pt>
                <c:pt idx="60">
                  <c:v>46388</c:v>
                </c:pt>
                <c:pt idx="61">
                  <c:v>46419</c:v>
                </c:pt>
                <c:pt idx="62">
                  <c:v>46447</c:v>
                </c:pt>
                <c:pt idx="63">
                  <c:v>46478</c:v>
                </c:pt>
                <c:pt idx="64">
                  <c:v>46508</c:v>
                </c:pt>
                <c:pt idx="65">
                  <c:v>46539</c:v>
                </c:pt>
                <c:pt idx="66">
                  <c:v>46569</c:v>
                </c:pt>
                <c:pt idx="67">
                  <c:v>46600</c:v>
                </c:pt>
                <c:pt idx="68">
                  <c:v>46631</c:v>
                </c:pt>
                <c:pt idx="69">
                  <c:v>46661</c:v>
                </c:pt>
                <c:pt idx="70">
                  <c:v>46692</c:v>
                </c:pt>
                <c:pt idx="71">
                  <c:v>46722</c:v>
                </c:pt>
                <c:pt idx="72">
                  <c:v>46753</c:v>
                </c:pt>
                <c:pt idx="73">
                  <c:v>46784</c:v>
                </c:pt>
                <c:pt idx="74">
                  <c:v>46813</c:v>
                </c:pt>
                <c:pt idx="75">
                  <c:v>46844</c:v>
                </c:pt>
                <c:pt idx="76">
                  <c:v>46874</c:v>
                </c:pt>
                <c:pt idx="77">
                  <c:v>46905</c:v>
                </c:pt>
                <c:pt idx="78">
                  <c:v>46935</c:v>
                </c:pt>
                <c:pt idx="79">
                  <c:v>46966</c:v>
                </c:pt>
                <c:pt idx="80">
                  <c:v>46997</c:v>
                </c:pt>
                <c:pt idx="81">
                  <c:v>47027</c:v>
                </c:pt>
                <c:pt idx="82">
                  <c:v>47058</c:v>
                </c:pt>
                <c:pt idx="83">
                  <c:v>47088</c:v>
                </c:pt>
                <c:pt idx="84">
                  <c:v>47119</c:v>
                </c:pt>
                <c:pt idx="85">
                  <c:v>47150</c:v>
                </c:pt>
                <c:pt idx="86">
                  <c:v>47178</c:v>
                </c:pt>
                <c:pt idx="87">
                  <c:v>47209</c:v>
                </c:pt>
                <c:pt idx="88">
                  <c:v>47239</c:v>
                </c:pt>
                <c:pt idx="89">
                  <c:v>47270</c:v>
                </c:pt>
                <c:pt idx="90">
                  <c:v>47300</c:v>
                </c:pt>
                <c:pt idx="91">
                  <c:v>47331</c:v>
                </c:pt>
                <c:pt idx="92">
                  <c:v>47362</c:v>
                </c:pt>
                <c:pt idx="93">
                  <c:v>47392</c:v>
                </c:pt>
                <c:pt idx="94">
                  <c:v>47423</c:v>
                </c:pt>
                <c:pt idx="95">
                  <c:v>47453</c:v>
                </c:pt>
                <c:pt idx="96">
                  <c:v>47484</c:v>
                </c:pt>
                <c:pt idx="97">
                  <c:v>47515</c:v>
                </c:pt>
                <c:pt idx="98">
                  <c:v>47543</c:v>
                </c:pt>
                <c:pt idx="99">
                  <c:v>47574</c:v>
                </c:pt>
                <c:pt idx="100">
                  <c:v>47604</c:v>
                </c:pt>
                <c:pt idx="101">
                  <c:v>47635</c:v>
                </c:pt>
                <c:pt idx="102">
                  <c:v>47665</c:v>
                </c:pt>
                <c:pt idx="103">
                  <c:v>47696</c:v>
                </c:pt>
                <c:pt idx="104">
                  <c:v>47727</c:v>
                </c:pt>
                <c:pt idx="105">
                  <c:v>47757</c:v>
                </c:pt>
                <c:pt idx="106">
                  <c:v>47788</c:v>
                </c:pt>
                <c:pt idx="107">
                  <c:v>47818</c:v>
                </c:pt>
              </c:numCache>
            </c:numRef>
          </c:cat>
          <c:val>
            <c:numRef>
              <c:f>'Denver (ESX)'!$H$2:$H$109</c:f>
              <c:numCache>
                <c:formatCode>0.0</c:formatCode>
                <c:ptCount val="108"/>
                <c:pt idx="0">
                  <c:v>54.545454545454554</c:v>
                </c:pt>
                <c:pt idx="1">
                  <c:v>55.194805194805198</c:v>
                </c:pt>
                <c:pt idx="2">
                  <c:v>55.84415584415585</c:v>
                </c:pt>
                <c:pt idx="3">
                  <c:v>48.701298701298704</c:v>
                </c:pt>
                <c:pt idx="4">
                  <c:v>49.350649350649348</c:v>
                </c:pt>
                <c:pt idx="5">
                  <c:v>49.350649350649348</c:v>
                </c:pt>
                <c:pt idx="6">
                  <c:v>49.350649350649348</c:v>
                </c:pt>
                <c:pt idx="7">
                  <c:v>49.350649350649348</c:v>
                </c:pt>
                <c:pt idx="8">
                  <c:v>49.350649350649348</c:v>
                </c:pt>
                <c:pt idx="9">
                  <c:v>49.350649350649348</c:v>
                </c:pt>
                <c:pt idx="10">
                  <c:v>49.350649350649348</c:v>
                </c:pt>
                <c:pt idx="11">
                  <c:v>49.350649350649348</c:v>
                </c:pt>
                <c:pt idx="12">
                  <c:v>49.870129870129873</c:v>
                </c:pt>
                <c:pt idx="13">
                  <c:v>50.194805194805205</c:v>
                </c:pt>
                <c:pt idx="14">
                  <c:v>50.584415584415588</c:v>
                </c:pt>
                <c:pt idx="15">
                  <c:v>51.623376623376629</c:v>
                </c:pt>
                <c:pt idx="16">
                  <c:v>52.532467532467543</c:v>
                </c:pt>
                <c:pt idx="17">
                  <c:v>52.922077922077925</c:v>
                </c:pt>
                <c:pt idx="18">
                  <c:v>53.246753246753244</c:v>
                </c:pt>
                <c:pt idx="19">
                  <c:v>54.02597402597403</c:v>
                </c:pt>
                <c:pt idx="20">
                  <c:v>53.63636363636364</c:v>
                </c:pt>
                <c:pt idx="21">
                  <c:v>54.870129870129873</c:v>
                </c:pt>
                <c:pt idx="22">
                  <c:v>54.870129870129873</c:v>
                </c:pt>
                <c:pt idx="23">
                  <c:v>55.064935064935071</c:v>
                </c:pt>
                <c:pt idx="24">
                  <c:v>55.259740259740262</c:v>
                </c:pt>
                <c:pt idx="25">
                  <c:v>57.207792207792217</c:v>
                </c:pt>
                <c:pt idx="26">
                  <c:v>57.272727272727273</c:v>
                </c:pt>
                <c:pt idx="27">
                  <c:v>57.66233766233767</c:v>
                </c:pt>
                <c:pt idx="28">
                  <c:v>57.66233766233767</c:v>
                </c:pt>
                <c:pt idx="29">
                  <c:v>60.389610389610404</c:v>
                </c:pt>
                <c:pt idx="30">
                  <c:v>63.441558441558442</c:v>
                </c:pt>
                <c:pt idx="31">
                  <c:v>64.480519480519476</c:v>
                </c:pt>
                <c:pt idx="32">
                  <c:v>64.480519480519476</c:v>
                </c:pt>
                <c:pt idx="33">
                  <c:v>64.480519480519476</c:v>
                </c:pt>
                <c:pt idx="34">
                  <c:v>65.194805194805198</c:v>
                </c:pt>
                <c:pt idx="35">
                  <c:v>65.194805194805198</c:v>
                </c:pt>
                <c:pt idx="36">
                  <c:v>65.194805194805198</c:v>
                </c:pt>
                <c:pt idx="37">
                  <c:v>65.779220779220793</c:v>
                </c:pt>
                <c:pt idx="38">
                  <c:v>66.233766233766232</c:v>
                </c:pt>
                <c:pt idx="39">
                  <c:v>67.142857142857153</c:v>
                </c:pt>
                <c:pt idx="40">
                  <c:v>67.987012987013003</c:v>
                </c:pt>
                <c:pt idx="41">
                  <c:v>70.714285714285722</c:v>
                </c:pt>
                <c:pt idx="42">
                  <c:v>70.714285714285722</c:v>
                </c:pt>
                <c:pt idx="43">
                  <c:v>71.298701298701303</c:v>
                </c:pt>
                <c:pt idx="44">
                  <c:v>72.012987012987011</c:v>
                </c:pt>
                <c:pt idx="45">
                  <c:v>72.012987012987011</c:v>
                </c:pt>
                <c:pt idx="46">
                  <c:v>72.857142857142861</c:v>
                </c:pt>
                <c:pt idx="47">
                  <c:v>72.792207792207805</c:v>
                </c:pt>
                <c:pt idx="48">
                  <c:v>72.987012987013003</c:v>
                </c:pt>
                <c:pt idx="49">
                  <c:v>72.857142857142861</c:v>
                </c:pt>
                <c:pt idx="50">
                  <c:v>72.792207792207805</c:v>
                </c:pt>
                <c:pt idx="51">
                  <c:v>72.792207792207805</c:v>
                </c:pt>
                <c:pt idx="52">
                  <c:v>72.792207792207805</c:v>
                </c:pt>
                <c:pt idx="53">
                  <c:v>72.792207792207805</c:v>
                </c:pt>
                <c:pt idx="54">
                  <c:v>72.727272727272734</c:v>
                </c:pt>
                <c:pt idx="55">
                  <c:v>72.597402597402606</c:v>
                </c:pt>
              </c:numCache>
            </c:numRef>
          </c:val>
          <c:smooth val="0"/>
          <c:extLst>
            <c:ext xmlns:c16="http://schemas.microsoft.com/office/drawing/2014/chart" uri="{C3380CC4-5D6E-409C-BE32-E72D297353CC}">
              <c16:uniqueId val="{00000000-A2FF-44CE-92B3-42504739794C}"/>
            </c:ext>
          </c:extLst>
        </c:ser>
        <c:ser>
          <c:idx val="1"/>
          <c:order val="1"/>
          <c:tx>
            <c:strRef>
              <c:f>'Denver (ESX)'!$I$1</c:f>
              <c:strCache>
                <c:ptCount val="1"/>
                <c:pt idx="0">
                  <c:v>Forecast (%)</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numRef>
              <c:f>'Denver (ESX)'!$C$2:$C$109</c:f>
              <c:numCache>
                <c:formatCode>mmm\-yy</c:formatCode>
                <c:ptCount val="108"/>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pt idx="35">
                  <c:v>45627</c:v>
                </c:pt>
                <c:pt idx="36">
                  <c:v>45658</c:v>
                </c:pt>
                <c:pt idx="37">
                  <c:v>45689</c:v>
                </c:pt>
                <c:pt idx="38">
                  <c:v>45717</c:v>
                </c:pt>
                <c:pt idx="39">
                  <c:v>45748</c:v>
                </c:pt>
                <c:pt idx="40">
                  <c:v>45778</c:v>
                </c:pt>
                <c:pt idx="41">
                  <c:v>45809</c:v>
                </c:pt>
                <c:pt idx="42">
                  <c:v>45839</c:v>
                </c:pt>
                <c:pt idx="43">
                  <c:v>45870</c:v>
                </c:pt>
                <c:pt idx="44">
                  <c:v>45901</c:v>
                </c:pt>
                <c:pt idx="45">
                  <c:v>45931</c:v>
                </c:pt>
                <c:pt idx="46">
                  <c:v>45962</c:v>
                </c:pt>
                <c:pt idx="47">
                  <c:v>45992</c:v>
                </c:pt>
                <c:pt idx="48">
                  <c:v>46023</c:v>
                </c:pt>
                <c:pt idx="49">
                  <c:v>46054</c:v>
                </c:pt>
                <c:pt idx="50">
                  <c:v>46082</c:v>
                </c:pt>
                <c:pt idx="51">
                  <c:v>46113</c:v>
                </c:pt>
                <c:pt idx="52">
                  <c:v>46143</c:v>
                </c:pt>
                <c:pt idx="53">
                  <c:v>46174</c:v>
                </c:pt>
                <c:pt idx="54">
                  <c:v>46204</c:v>
                </c:pt>
                <c:pt idx="55">
                  <c:v>46235</c:v>
                </c:pt>
                <c:pt idx="56">
                  <c:v>46266</c:v>
                </c:pt>
                <c:pt idx="57">
                  <c:v>46296</c:v>
                </c:pt>
                <c:pt idx="58">
                  <c:v>46327</c:v>
                </c:pt>
                <c:pt idx="59">
                  <c:v>46357</c:v>
                </c:pt>
                <c:pt idx="60">
                  <c:v>46388</c:v>
                </c:pt>
                <c:pt idx="61">
                  <c:v>46419</c:v>
                </c:pt>
                <c:pt idx="62">
                  <c:v>46447</c:v>
                </c:pt>
                <c:pt idx="63">
                  <c:v>46478</c:v>
                </c:pt>
                <c:pt idx="64">
                  <c:v>46508</c:v>
                </c:pt>
                <c:pt idx="65">
                  <c:v>46539</c:v>
                </c:pt>
                <c:pt idx="66">
                  <c:v>46569</c:v>
                </c:pt>
                <c:pt idx="67">
                  <c:v>46600</c:v>
                </c:pt>
                <c:pt idx="68">
                  <c:v>46631</c:v>
                </c:pt>
                <c:pt idx="69">
                  <c:v>46661</c:v>
                </c:pt>
                <c:pt idx="70">
                  <c:v>46692</c:v>
                </c:pt>
                <c:pt idx="71">
                  <c:v>46722</c:v>
                </c:pt>
                <c:pt idx="72">
                  <c:v>46753</c:v>
                </c:pt>
                <c:pt idx="73">
                  <c:v>46784</c:v>
                </c:pt>
                <c:pt idx="74">
                  <c:v>46813</c:v>
                </c:pt>
                <c:pt idx="75">
                  <c:v>46844</c:v>
                </c:pt>
                <c:pt idx="76">
                  <c:v>46874</c:v>
                </c:pt>
                <c:pt idx="77">
                  <c:v>46905</c:v>
                </c:pt>
                <c:pt idx="78">
                  <c:v>46935</c:v>
                </c:pt>
                <c:pt idx="79">
                  <c:v>46966</c:v>
                </c:pt>
                <c:pt idx="80">
                  <c:v>46997</c:v>
                </c:pt>
                <c:pt idx="81">
                  <c:v>47027</c:v>
                </c:pt>
                <c:pt idx="82">
                  <c:v>47058</c:v>
                </c:pt>
                <c:pt idx="83">
                  <c:v>47088</c:v>
                </c:pt>
                <c:pt idx="84">
                  <c:v>47119</c:v>
                </c:pt>
                <c:pt idx="85">
                  <c:v>47150</c:v>
                </c:pt>
                <c:pt idx="86">
                  <c:v>47178</c:v>
                </c:pt>
                <c:pt idx="87">
                  <c:v>47209</c:v>
                </c:pt>
                <c:pt idx="88">
                  <c:v>47239</c:v>
                </c:pt>
                <c:pt idx="89">
                  <c:v>47270</c:v>
                </c:pt>
                <c:pt idx="90">
                  <c:v>47300</c:v>
                </c:pt>
                <c:pt idx="91">
                  <c:v>47331</c:v>
                </c:pt>
                <c:pt idx="92">
                  <c:v>47362</c:v>
                </c:pt>
                <c:pt idx="93">
                  <c:v>47392</c:v>
                </c:pt>
                <c:pt idx="94">
                  <c:v>47423</c:v>
                </c:pt>
                <c:pt idx="95">
                  <c:v>47453</c:v>
                </c:pt>
                <c:pt idx="96">
                  <c:v>47484</c:v>
                </c:pt>
                <c:pt idx="97">
                  <c:v>47515</c:v>
                </c:pt>
                <c:pt idx="98">
                  <c:v>47543</c:v>
                </c:pt>
                <c:pt idx="99">
                  <c:v>47574</c:v>
                </c:pt>
                <c:pt idx="100">
                  <c:v>47604</c:v>
                </c:pt>
                <c:pt idx="101">
                  <c:v>47635</c:v>
                </c:pt>
                <c:pt idx="102">
                  <c:v>47665</c:v>
                </c:pt>
                <c:pt idx="103">
                  <c:v>47696</c:v>
                </c:pt>
                <c:pt idx="104">
                  <c:v>47727</c:v>
                </c:pt>
                <c:pt idx="105">
                  <c:v>47757</c:v>
                </c:pt>
                <c:pt idx="106">
                  <c:v>47788</c:v>
                </c:pt>
                <c:pt idx="107">
                  <c:v>47818</c:v>
                </c:pt>
              </c:numCache>
            </c:numRef>
          </c:cat>
          <c:val>
            <c:numRef>
              <c:f>'Denver (ESX)'!$I$2:$I$109</c:f>
              <c:numCache>
                <c:formatCode>0.0</c:formatCode>
                <c:ptCount val="108"/>
                <c:pt idx="55">
                  <c:v>72.597402597402606</c:v>
                </c:pt>
                <c:pt idx="56">
                  <c:v>73.064496471622334</c:v>
                </c:pt>
                <c:pt idx="57">
                  <c:v>73.534595641892992</c:v>
                </c:pt>
                <c:pt idx="58">
                  <c:v>74.007719444379859</c:v>
                </c:pt>
                <c:pt idx="59">
                  <c:v>74.483887339657684</c:v>
                </c:pt>
                <c:pt idx="60">
                  <c:v>74.963118913511138</c:v>
                </c:pt>
                <c:pt idx="61">
                  <c:v>75.445433877740442</c:v>
                </c:pt>
                <c:pt idx="62">
                  <c:v>75.930852070972094</c:v>
                </c:pt>
                <c:pt idx="63">
                  <c:v>76.419393459474946</c:v>
                </c:pt>
                <c:pt idx="64">
                  <c:v>76.911078137981406</c:v>
                </c:pt>
                <c:pt idx="65">
                  <c:v>77.405926330513992</c:v>
                </c:pt>
                <c:pt idx="66">
                  <c:v>77.90395839121723</c:v>
                </c:pt>
                <c:pt idx="67">
                  <c:v>78.405194805194782</c:v>
                </c:pt>
                <c:pt idx="68">
                  <c:v>78.909656189352091</c:v>
                </c:pt>
                <c:pt idx="69">
                  <c:v>79.417363293244406</c:v>
                </c:pt>
                <c:pt idx="70">
                  <c:v>79.92833699993021</c:v>
                </c:pt>
                <c:pt idx="71">
                  <c:v>80.442598326830264</c:v>
                </c:pt>
                <c:pt idx="72">
                  <c:v>80.960168426592006</c:v>
                </c:pt>
                <c:pt idx="73">
                  <c:v>81.481068587959641</c:v>
                </c:pt>
                <c:pt idx="74">
                  <c:v>82.005320236649823</c:v>
                </c:pt>
                <c:pt idx="75">
                  <c:v>82.532944936232909</c:v>
                </c:pt>
                <c:pt idx="76">
                  <c:v>83.063964389019887</c:v>
                </c:pt>
                <c:pt idx="77">
                  <c:v>83.598400436955089</c:v>
                </c:pt>
                <c:pt idx="78">
                  <c:v>84.136275062514571</c:v>
                </c:pt>
                <c:pt idx="79">
                  <c:v>84.677610389610336</c:v>
                </c:pt>
                <c:pt idx="80">
                  <c:v>85.22242868450023</c:v>
                </c:pt>
                <c:pt idx="81">
                  <c:v>85.770752356703923</c:v>
                </c:pt>
                <c:pt idx="82">
                  <c:v>86.322603959924592</c:v>
                </c:pt>
                <c:pt idx="83">
                  <c:v>86.878006192976656</c:v>
                </c:pt>
                <c:pt idx="84">
                  <c:v>87.436981900719317</c:v>
                </c:pt>
                <c:pt idx="85">
                  <c:v>87.999554074996382</c:v>
                </c:pt>
                <c:pt idx="86">
                  <c:v>88.565745855581795</c:v>
                </c:pt>
                <c:pt idx="87">
                  <c:v>89.135580531131509</c:v>
                </c:pt>
                <c:pt idx="88">
                  <c:v>89.709081540141455</c:v>
                </c:pt>
                <c:pt idx="89">
                  <c:v>90.28627247191146</c:v>
                </c:pt>
                <c:pt idx="90">
                  <c:v>90.867177067515726</c:v>
                </c:pt>
                <c:pt idx="91">
                  <c:v>91.451819220779143</c:v>
                </c:pt>
                <c:pt idx="92">
                  <c:v>92.040222979260221</c:v>
                </c:pt>
                <c:pt idx="93">
                  <c:v>92.6324125452402</c:v>
                </c:pt>
                <c:pt idx="94">
                  <c:v>93.228412276718544</c:v>
                </c:pt>
                <c:pt idx="95">
                  <c:v>93.828246688414779</c:v>
                </c:pt>
                <c:pt idx="96">
                  <c:v>94.431940452776857</c:v>
                </c:pt>
                <c:pt idx="97">
                  <c:v>95.039518400996087</c:v>
                </c:pt>
                <c:pt idx="98">
                  <c:v>95.651005524028307</c:v>
                </c:pt>
                <c:pt idx="99">
                  <c:v>96.266426973622018</c:v>
                </c:pt>
                <c:pt idx="100">
                  <c:v>96.885808063352741</c:v>
                </c:pt>
                <c:pt idx="101">
                  <c:v>97.509174269664385</c:v>
                </c:pt>
                <c:pt idx="102">
                  <c:v>98.136551232916972</c:v>
                </c:pt>
                <c:pt idx="103">
                  <c:v>98.767964758441437</c:v>
                </c:pt>
                <c:pt idx="104">
                  <c:v>99.403440817601023</c:v>
                </c:pt>
                <c:pt idx="105">
                  <c:v>100.04300554885941</c:v>
                </c:pt>
                <c:pt idx="106">
                  <c:v>100.686685258856</c:v>
                </c:pt>
                <c:pt idx="107">
                  <c:v>101.33450642348791</c:v>
                </c:pt>
              </c:numCache>
            </c:numRef>
          </c:val>
          <c:smooth val="0"/>
          <c:extLst>
            <c:ext xmlns:c16="http://schemas.microsoft.com/office/drawing/2014/chart" uri="{C3380CC4-5D6E-409C-BE32-E72D297353CC}">
              <c16:uniqueId val="{00000001-A2FF-44CE-92B3-42504739794C}"/>
            </c:ext>
          </c:extLst>
        </c:ser>
        <c:ser>
          <c:idx val="2"/>
          <c:order val="2"/>
          <c:tx>
            <c:strRef>
              <c:f>'Denver (ESX)'!$J$1</c:f>
              <c:strCache>
                <c:ptCount val="1"/>
                <c:pt idx="0">
                  <c:v>Max %</c:v>
                </c:pt>
              </c:strCache>
            </c:strRef>
          </c:tx>
          <c:spPr>
            <a:ln w="22225" cap="rnd">
              <a:solidFill>
                <a:schemeClr val="accent3"/>
              </a:solidFill>
            </a:ln>
            <a:effectLst>
              <a:glow rad="139700">
                <a:schemeClr val="accent3">
                  <a:satMod val="175000"/>
                  <a:alpha val="14000"/>
                </a:schemeClr>
              </a:glow>
            </a:effectLst>
          </c:spPr>
          <c:marker>
            <c:symbol val="none"/>
          </c:marker>
          <c:cat>
            <c:numRef>
              <c:f>'Denver (ESX)'!$C$2:$C$109</c:f>
              <c:numCache>
                <c:formatCode>mmm\-yy</c:formatCode>
                <c:ptCount val="108"/>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pt idx="35">
                  <c:v>45627</c:v>
                </c:pt>
                <c:pt idx="36">
                  <c:v>45658</c:v>
                </c:pt>
                <c:pt idx="37">
                  <c:v>45689</c:v>
                </c:pt>
                <c:pt idx="38">
                  <c:v>45717</c:v>
                </c:pt>
                <c:pt idx="39">
                  <c:v>45748</c:v>
                </c:pt>
                <c:pt idx="40">
                  <c:v>45778</c:v>
                </c:pt>
                <c:pt idx="41">
                  <c:v>45809</c:v>
                </c:pt>
                <c:pt idx="42">
                  <c:v>45839</c:v>
                </c:pt>
                <c:pt idx="43">
                  <c:v>45870</c:v>
                </c:pt>
                <c:pt idx="44">
                  <c:v>45901</c:v>
                </c:pt>
                <c:pt idx="45">
                  <c:v>45931</c:v>
                </c:pt>
                <c:pt idx="46">
                  <c:v>45962</c:v>
                </c:pt>
                <c:pt idx="47">
                  <c:v>45992</c:v>
                </c:pt>
                <c:pt idx="48">
                  <c:v>46023</c:v>
                </c:pt>
                <c:pt idx="49">
                  <c:v>46054</c:v>
                </c:pt>
                <c:pt idx="50">
                  <c:v>46082</c:v>
                </c:pt>
                <c:pt idx="51">
                  <c:v>46113</c:v>
                </c:pt>
                <c:pt idx="52">
                  <c:v>46143</c:v>
                </c:pt>
                <c:pt idx="53">
                  <c:v>46174</c:v>
                </c:pt>
                <c:pt idx="54">
                  <c:v>46204</c:v>
                </c:pt>
                <c:pt idx="55">
                  <c:v>46235</c:v>
                </c:pt>
                <c:pt idx="56">
                  <c:v>46266</c:v>
                </c:pt>
                <c:pt idx="57">
                  <c:v>46296</c:v>
                </c:pt>
                <c:pt idx="58">
                  <c:v>46327</c:v>
                </c:pt>
                <c:pt idx="59">
                  <c:v>46357</c:v>
                </c:pt>
                <c:pt idx="60">
                  <c:v>46388</c:v>
                </c:pt>
                <c:pt idx="61">
                  <c:v>46419</c:v>
                </c:pt>
                <c:pt idx="62">
                  <c:v>46447</c:v>
                </c:pt>
                <c:pt idx="63">
                  <c:v>46478</c:v>
                </c:pt>
                <c:pt idx="64">
                  <c:v>46508</c:v>
                </c:pt>
                <c:pt idx="65">
                  <c:v>46539</c:v>
                </c:pt>
                <c:pt idx="66">
                  <c:v>46569</c:v>
                </c:pt>
                <c:pt idx="67">
                  <c:v>46600</c:v>
                </c:pt>
                <c:pt idx="68">
                  <c:v>46631</c:v>
                </c:pt>
                <c:pt idx="69">
                  <c:v>46661</c:v>
                </c:pt>
                <c:pt idx="70">
                  <c:v>46692</c:v>
                </c:pt>
                <c:pt idx="71">
                  <c:v>46722</c:v>
                </c:pt>
                <c:pt idx="72">
                  <c:v>46753</c:v>
                </c:pt>
                <c:pt idx="73">
                  <c:v>46784</c:v>
                </c:pt>
                <c:pt idx="74">
                  <c:v>46813</c:v>
                </c:pt>
                <c:pt idx="75">
                  <c:v>46844</c:v>
                </c:pt>
                <c:pt idx="76">
                  <c:v>46874</c:v>
                </c:pt>
                <c:pt idx="77">
                  <c:v>46905</c:v>
                </c:pt>
                <c:pt idx="78">
                  <c:v>46935</c:v>
                </c:pt>
                <c:pt idx="79">
                  <c:v>46966</c:v>
                </c:pt>
                <c:pt idx="80">
                  <c:v>46997</c:v>
                </c:pt>
                <c:pt idx="81">
                  <c:v>47027</c:v>
                </c:pt>
                <c:pt idx="82">
                  <c:v>47058</c:v>
                </c:pt>
                <c:pt idx="83">
                  <c:v>47088</c:v>
                </c:pt>
                <c:pt idx="84">
                  <c:v>47119</c:v>
                </c:pt>
                <c:pt idx="85">
                  <c:v>47150</c:v>
                </c:pt>
                <c:pt idx="86">
                  <c:v>47178</c:v>
                </c:pt>
                <c:pt idx="87">
                  <c:v>47209</c:v>
                </c:pt>
                <c:pt idx="88">
                  <c:v>47239</c:v>
                </c:pt>
                <c:pt idx="89">
                  <c:v>47270</c:v>
                </c:pt>
                <c:pt idx="90">
                  <c:v>47300</c:v>
                </c:pt>
                <c:pt idx="91">
                  <c:v>47331</c:v>
                </c:pt>
                <c:pt idx="92">
                  <c:v>47362</c:v>
                </c:pt>
                <c:pt idx="93">
                  <c:v>47392</c:v>
                </c:pt>
                <c:pt idx="94">
                  <c:v>47423</c:v>
                </c:pt>
                <c:pt idx="95">
                  <c:v>47453</c:v>
                </c:pt>
                <c:pt idx="96">
                  <c:v>47484</c:v>
                </c:pt>
                <c:pt idx="97">
                  <c:v>47515</c:v>
                </c:pt>
                <c:pt idx="98">
                  <c:v>47543</c:v>
                </c:pt>
                <c:pt idx="99">
                  <c:v>47574</c:v>
                </c:pt>
                <c:pt idx="100">
                  <c:v>47604</c:v>
                </c:pt>
                <c:pt idx="101">
                  <c:v>47635</c:v>
                </c:pt>
                <c:pt idx="102">
                  <c:v>47665</c:v>
                </c:pt>
                <c:pt idx="103">
                  <c:v>47696</c:v>
                </c:pt>
                <c:pt idx="104">
                  <c:v>47727</c:v>
                </c:pt>
                <c:pt idx="105">
                  <c:v>47757</c:v>
                </c:pt>
                <c:pt idx="106">
                  <c:v>47788</c:v>
                </c:pt>
                <c:pt idx="107">
                  <c:v>47818</c:v>
                </c:pt>
              </c:numCache>
            </c:numRef>
          </c:cat>
          <c:val>
            <c:numRef>
              <c:f>'Denver (ESX)'!$J$2:$J$109</c:f>
              <c:numCache>
                <c:formatCode>General</c:formatCode>
                <c:ptCount val="108"/>
                <c:pt idx="0">
                  <c:v>90</c:v>
                </c:pt>
                <c:pt idx="1">
                  <c:v>90</c:v>
                </c:pt>
                <c:pt idx="2">
                  <c:v>90</c:v>
                </c:pt>
                <c:pt idx="3">
                  <c:v>90</c:v>
                </c:pt>
                <c:pt idx="4">
                  <c:v>90</c:v>
                </c:pt>
                <c:pt idx="5">
                  <c:v>90</c:v>
                </c:pt>
                <c:pt idx="6">
                  <c:v>90</c:v>
                </c:pt>
                <c:pt idx="7">
                  <c:v>90</c:v>
                </c:pt>
                <c:pt idx="8">
                  <c:v>90</c:v>
                </c:pt>
                <c:pt idx="9">
                  <c:v>90</c:v>
                </c:pt>
                <c:pt idx="10">
                  <c:v>90</c:v>
                </c:pt>
                <c:pt idx="11">
                  <c:v>90</c:v>
                </c:pt>
                <c:pt idx="12">
                  <c:v>90</c:v>
                </c:pt>
                <c:pt idx="13">
                  <c:v>90</c:v>
                </c:pt>
                <c:pt idx="14">
                  <c:v>90</c:v>
                </c:pt>
                <c:pt idx="15">
                  <c:v>90</c:v>
                </c:pt>
                <c:pt idx="16">
                  <c:v>90</c:v>
                </c:pt>
                <c:pt idx="17">
                  <c:v>90</c:v>
                </c:pt>
                <c:pt idx="18">
                  <c:v>90</c:v>
                </c:pt>
                <c:pt idx="19">
                  <c:v>90</c:v>
                </c:pt>
                <c:pt idx="20">
                  <c:v>90</c:v>
                </c:pt>
                <c:pt idx="21">
                  <c:v>90</c:v>
                </c:pt>
                <c:pt idx="22">
                  <c:v>90</c:v>
                </c:pt>
                <c:pt idx="23">
                  <c:v>90</c:v>
                </c:pt>
                <c:pt idx="24">
                  <c:v>90</c:v>
                </c:pt>
                <c:pt idx="25">
                  <c:v>90</c:v>
                </c:pt>
                <c:pt idx="26">
                  <c:v>90</c:v>
                </c:pt>
                <c:pt idx="27">
                  <c:v>90</c:v>
                </c:pt>
                <c:pt idx="28">
                  <c:v>90</c:v>
                </c:pt>
                <c:pt idx="29">
                  <c:v>90</c:v>
                </c:pt>
                <c:pt idx="30">
                  <c:v>90</c:v>
                </c:pt>
                <c:pt idx="31">
                  <c:v>90</c:v>
                </c:pt>
                <c:pt idx="32">
                  <c:v>90</c:v>
                </c:pt>
                <c:pt idx="33">
                  <c:v>90</c:v>
                </c:pt>
                <c:pt idx="34">
                  <c:v>90</c:v>
                </c:pt>
                <c:pt idx="35">
                  <c:v>90</c:v>
                </c:pt>
                <c:pt idx="36">
                  <c:v>90</c:v>
                </c:pt>
                <c:pt idx="37">
                  <c:v>90</c:v>
                </c:pt>
                <c:pt idx="38">
                  <c:v>90</c:v>
                </c:pt>
                <c:pt idx="39">
                  <c:v>90</c:v>
                </c:pt>
                <c:pt idx="40">
                  <c:v>90</c:v>
                </c:pt>
                <c:pt idx="41">
                  <c:v>90</c:v>
                </c:pt>
                <c:pt idx="42">
                  <c:v>90</c:v>
                </c:pt>
                <c:pt idx="43">
                  <c:v>90</c:v>
                </c:pt>
                <c:pt idx="44">
                  <c:v>90</c:v>
                </c:pt>
                <c:pt idx="45">
                  <c:v>90</c:v>
                </c:pt>
                <c:pt idx="46">
                  <c:v>90</c:v>
                </c:pt>
                <c:pt idx="47">
                  <c:v>90</c:v>
                </c:pt>
                <c:pt idx="48">
                  <c:v>90</c:v>
                </c:pt>
                <c:pt idx="49">
                  <c:v>90</c:v>
                </c:pt>
                <c:pt idx="50">
                  <c:v>90</c:v>
                </c:pt>
                <c:pt idx="51">
                  <c:v>90</c:v>
                </c:pt>
                <c:pt idx="52">
                  <c:v>90</c:v>
                </c:pt>
                <c:pt idx="53">
                  <c:v>90</c:v>
                </c:pt>
                <c:pt idx="54">
                  <c:v>90</c:v>
                </c:pt>
                <c:pt idx="55">
                  <c:v>90</c:v>
                </c:pt>
                <c:pt idx="56">
                  <c:v>90</c:v>
                </c:pt>
                <c:pt idx="57">
                  <c:v>90</c:v>
                </c:pt>
                <c:pt idx="58">
                  <c:v>90</c:v>
                </c:pt>
                <c:pt idx="59">
                  <c:v>90</c:v>
                </c:pt>
                <c:pt idx="60">
                  <c:v>90</c:v>
                </c:pt>
                <c:pt idx="61">
                  <c:v>90</c:v>
                </c:pt>
                <c:pt idx="62">
                  <c:v>90</c:v>
                </c:pt>
                <c:pt idx="63">
                  <c:v>90</c:v>
                </c:pt>
                <c:pt idx="64">
                  <c:v>90</c:v>
                </c:pt>
                <c:pt idx="65">
                  <c:v>90</c:v>
                </c:pt>
                <c:pt idx="66">
                  <c:v>90</c:v>
                </c:pt>
                <c:pt idx="67">
                  <c:v>90</c:v>
                </c:pt>
                <c:pt idx="68">
                  <c:v>90</c:v>
                </c:pt>
                <c:pt idx="69">
                  <c:v>90</c:v>
                </c:pt>
                <c:pt idx="70">
                  <c:v>90</c:v>
                </c:pt>
                <c:pt idx="71">
                  <c:v>90</c:v>
                </c:pt>
                <c:pt idx="72">
                  <c:v>90</c:v>
                </c:pt>
                <c:pt idx="73">
                  <c:v>90</c:v>
                </c:pt>
                <c:pt idx="74">
                  <c:v>90</c:v>
                </c:pt>
                <c:pt idx="75">
                  <c:v>90</c:v>
                </c:pt>
                <c:pt idx="76">
                  <c:v>90</c:v>
                </c:pt>
                <c:pt idx="77">
                  <c:v>90</c:v>
                </c:pt>
                <c:pt idx="78">
                  <c:v>90</c:v>
                </c:pt>
                <c:pt idx="79">
                  <c:v>90</c:v>
                </c:pt>
                <c:pt idx="80">
                  <c:v>90</c:v>
                </c:pt>
                <c:pt idx="81">
                  <c:v>90</c:v>
                </c:pt>
                <c:pt idx="82">
                  <c:v>90</c:v>
                </c:pt>
                <c:pt idx="83">
                  <c:v>90</c:v>
                </c:pt>
                <c:pt idx="84">
                  <c:v>90</c:v>
                </c:pt>
                <c:pt idx="85">
                  <c:v>90</c:v>
                </c:pt>
                <c:pt idx="86">
                  <c:v>90</c:v>
                </c:pt>
                <c:pt idx="87">
                  <c:v>90</c:v>
                </c:pt>
                <c:pt idx="88">
                  <c:v>90</c:v>
                </c:pt>
                <c:pt idx="89">
                  <c:v>90</c:v>
                </c:pt>
                <c:pt idx="90">
                  <c:v>90</c:v>
                </c:pt>
                <c:pt idx="91">
                  <c:v>90</c:v>
                </c:pt>
                <c:pt idx="92">
                  <c:v>90</c:v>
                </c:pt>
                <c:pt idx="93">
                  <c:v>90</c:v>
                </c:pt>
                <c:pt idx="94">
                  <c:v>90</c:v>
                </c:pt>
                <c:pt idx="95">
                  <c:v>90</c:v>
                </c:pt>
                <c:pt idx="96">
                  <c:v>90</c:v>
                </c:pt>
                <c:pt idx="97">
                  <c:v>90</c:v>
                </c:pt>
                <c:pt idx="98">
                  <c:v>90</c:v>
                </c:pt>
                <c:pt idx="99">
                  <c:v>90</c:v>
                </c:pt>
                <c:pt idx="100">
                  <c:v>90</c:v>
                </c:pt>
                <c:pt idx="101">
                  <c:v>90</c:v>
                </c:pt>
                <c:pt idx="102">
                  <c:v>90</c:v>
                </c:pt>
                <c:pt idx="103">
                  <c:v>90</c:v>
                </c:pt>
                <c:pt idx="104">
                  <c:v>90</c:v>
                </c:pt>
                <c:pt idx="105">
                  <c:v>90</c:v>
                </c:pt>
                <c:pt idx="106">
                  <c:v>90</c:v>
                </c:pt>
                <c:pt idx="107">
                  <c:v>90</c:v>
                </c:pt>
              </c:numCache>
            </c:numRef>
          </c:val>
          <c:smooth val="0"/>
          <c:extLst>
            <c:ext xmlns:c16="http://schemas.microsoft.com/office/drawing/2014/chart" uri="{C3380CC4-5D6E-409C-BE32-E72D297353CC}">
              <c16:uniqueId val="{00000002-A2FF-44CE-92B3-42504739794C}"/>
            </c:ext>
          </c:extLst>
        </c:ser>
        <c:dLbls>
          <c:showLegendKey val="0"/>
          <c:showVal val="0"/>
          <c:showCatName val="0"/>
          <c:showSerName val="0"/>
          <c:showPercent val="0"/>
          <c:showBubbleSize val="0"/>
        </c:dLbls>
        <c:marker val="1"/>
        <c:smooth val="0"/>
        <c:axId val="923718064"/>
        <c:axId val="923722640"/>
      </c:lineChart>
      <c:dateAx>
        <c:axId val="92371806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mmm\-yy" sourceLinked="1"/>
        <c:majorTickMark val="none"/>
        <c:minorTickMark val="none"/>
        <c:tickLblPos val="nextTo"/>
        <c:spPr>
          <a:noFill/>
          <a:ln>
            <a:solidFill>
              <a:schemeClr val="accent1"/>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23722640"/>
        <c:crosses val="autoZero"/>
        <c:auto val="1"/>
        <c:lblOffset val="100"/>
        <c:baseTimeUnit val="months"/>
        <c:majorUnit val="2"/>
        <c:majorTimeUnit val="months"/>
      </c:dateAx>
      <c:valAx>
        <c:axId val="923722640"/>
        <c:scaling>
          <c:orientation val="minMax"/>
          <c:max val="100"/>
          <c:min val="20"/>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23718064"/>
        <c:crosses val="autoZero"/>
        <c:crossBetween val="between"/>
      </c:valAx>
      <c:spPr>
        <a:noFill/>
        <a:ln>
          <a:noFill/>
        </a:ln>
        <a:effectLst/>
      </c:spPr>
    </c:plotArea>
    <c:legend>
      <c:legendPos val="r"/>
      <c:layout>
        <c:manualLayout>
          <c:xMode val="edge"/>
          <c:yMode val="edge"/>
          <c:x val="0.5758645091356861"/>
          <c:y val="0.59729804112593499"/>
          <c:w val="9.8310292650557657E-2"/>
          <c:h val="0.20754619529954232"/>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0151000454636012E-2"/>
          <c:y val="6.772473229233221E-2"/>
          <c:w val="0.93984899954536394"/>
          <c:h val="0.78341483964869796"/>
        </c:manualLayout>
      </c:layout>
      <c:lineChart>
        <c:grouping val="standard"/>
        <c:varyColors val="0"/>
        <c:ser>
          <c:idx val="0"/>
          <c:order val="0"/>
          <c:tx>
            <c:strRef>
              <c:f>'Denver (FPS)'!$H$1</c:f>
              <c:strCache>
                <c:ptCount val="1"/>
                <c:pt idx="0">
                  <c:v>In use (%)</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numRef>
              <c:f>'Denver (FPS)'!$C$2:$C$109</c:f>
              <c:numCache>
                <c:formatCode>mmm\-yy</c:formatCode>
                <c:ptCount val="108"/>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pt idx="35">
                  <c:v>45627</c:v>
                </c:pt>
                <c:pt idx="36">
                  <c:v>45658</c:v>
                </c:pt>
                <c:pt idx="37">
                  <c:v>45689</c:v>
                </c:pt>
                <c:pt idx="38">
                  <c:v>45717</c:v>
                </c:pt>
                <c:pt idx="39">
                  <c:v>45748</c:v>
                </c:pt>
                <c:pt idx="40">
                  <c:v>45778</c:v>
                </c:pt>
                <c:pt idx="41">
                  <c:v>45809</c:v>
                </c:pt>
                <c:pt idx="42">
                  <c:v>45839</c:v>
                </c:pt>
                <c:pt idx="43">
                  <c:v>45870</c:v>
                </c:pt>
                <c:pt idx="44">
                  <c:v>45901</c:v>
                </c:pt>
                <c:pt idx="45">
                  <c:v>45931</c:v>
                </c:pt>
                <c:pt idx="46">
                  <c:v>45962</c:v>
                </c:pt>
                <c:pt idx="47">
                  <c:v>45992</c:v>
                </c:pt>
                <c:pt idx="48">
                  <c:v>46023</c:v>
                </c:pt>
                <c:pt idx="49">
                  <c:v>46054</c:v>
                </c:pt>
                <c:pt idx="50">
                  <c:v>46082</c:v>
                </c:pt>
                <c:pt idx="51">
                  <c:v>46113</c:v>
                </c:pt>
                <c:pt idx="52">
                  <c:v>46143</c:v>
                </c:pt>
                <c:pt idx="53">
                  <c:v>46174</c:v>
                </c:pt>
                <c:pt idx="54">
                  <c:v>46204</c:v>
                </c:pt>
                <c:pt idx="55">
                  <c:v>46235</c:v>
                </c:pt>
                <c:pt idx="56">
                  <c:v>46266</c:v>
                </c:pt>
                <c:pt idx="57">
                  <c:v>46296</c:v>
                </c:pt>
                <c:pt idx="58">
                  <c:v>46327</c:v>
                </c:pt>
                <c:pt idx="59">
                  <c:v>46357</c:v>
                </c:pt>
                <c:pt idx="60">
                  <c:v>46388</c:v>
                </c:pt>
                <c:pt idx="61">
                  <c:v>46419</c:v>
                </c:pt>
                <c:pt idx="62">
                  <c:v>46447</c:v>
                </c:pt>
                <c:pt idx="63">
                  <c:v>46478</c:v>
                </c:pt>
                <c:pt idx="64">
                  <c:v>46508</c:v>
                </c:pt>
                <c:pt idx="65">
                  <c:v>46539</c:v>
                </c:pt>
                <c:pt idx="66">
                  <c:v>46569</c:v>
                </c:pt>
                <c:pt idx="67">
                  <c:v>46600</c:v>
                </c:pt>
                <c:pt idx="68">
                  <c:v>46631</c:v>
                </c:pt>
                <c:pt idx="69">
                  <c:v>46661</c:v>
                </c:pt>
                <c:pt idx="70">
                  <c:v>46692</c:v>
                </c:pt>
                <c:pt idx="71">
                  <c:v>46722</c:v>
                </c:pt>
                <c:pt idx="72">
                  <c:v>46753</c:v>
                </c:pt>
                <c:pt idx="73">
                  <c:v>46784</c:v>
                </c:pt>
                <c:pt idx="74">
                  <c:v>46813</c:v>
                </c:pt>
                <c:pt idx="75">
                  <c:v>46844</c:v>
                </c:pt>
                <c:pt idx="76">
                  <c:v>46874</c:v>
                </c:pt>
                <c:pt idx="77">
                  <c:v>46905</c:v>
                </c:pt>
                <c:pt idx="78">
                  <c:v>46935</c:v>
                </c:pt>
                <c:pt idx="79">
                  <c:v>46966</c:v>
                </c:pt>
                <c:pt idx="80">
                  <c:v>46997</c:v>
                </c:pt>
                <c:pt idx="81">
                  <c:v>47027</c:v>
                </c:pt>
                <c:pt idx="82">
                  <c:v>47058</c:v>
                </c:pt>
                <c:pt idx="83">
                  <c:v>47088</c:v>
                </c:pt>
                <c:pt idx="84">
                  <c:v>47119</c:v>
                </c:pt>
                <c:pt idx="85">
                  <c:v>47150</c:v>
                </c:pt>
                <c:pt idx="86">
                  <c:v>47178</c:v>
                </c:pt>
                <c:pt idx="87">
                  <c:v>47209</c:v>
                </c:pt>
                <c:pt idx="88">
                  <c:v>47239</c:v>
                </c:pt>
                <c:pt idx="89">
                  <c:v>47270</c:v>
                </c:pt>
                <c:pt idx="90">
                  <c:v>47300</c:v>
                </c:pt>
                <c:pt idx="91">
                  <c:v>47331</c:v>
                </c:pt>
                <c:pt idx="92">
                  <c:v>47362</c:v>
                </c:pt>
                <c:pt idx="93">
                  <c:v>47392</c:v>
                </c:pt>
                <c:pt idx="94">
                  <c:v>47423</c:v>
                </c:pt>
                <c:pt idx="95">
                  <c:v>47453</c:v>
                </c:pt>
                <c:pt idx="96">
                  <c:v>47484</c:v>
                </c:pt>
                <c:pt idx="97">
                  <c:v>47515</c:v>
                </c:pt>
                <c:pt idx="98">
                  <c:v>47543</c:v>
                </c:pt>
                <c:pt idx="99">
                  <c:v>47574</c:v>
                </c:pt>
                <c:pt idx="100">
                  <c:v>47604</c:v>
                </c:pt>
                <c:pt idx="101">
                  <c:v>47635</c:v>
                </c:pt>
                <c:pt idx="102">
                  <c:v>47665</c:v>
                </c:pt>
                <c:pt idx="103">
                  <c:v>47696</c:v>
                </c:pt>
                <c:pt idx="104">
                  <c:v>47727</c:v>
                </c:pt>
                <c:pt idx="105">
                  <c:v>47757</c:v>
                </c:pt>
                <c:pt idx="106">
                  <c:v>47788</c:v>
                </c:pt>
                <c:pt idx="107">
                  <c:v>47818</c:v>
                </c:pt>
              </c:numCache>
            </c:numRef>
          </c:cat>
          <c:val>
            <c:numRef>
              <c:f>'Denver (FPS)'!$H$2:$H$109</c:f>
              <c:numCache>
                <c:formatCode>0.0</c:formatCode>
                <c:ptCount val="108"/>
                <c:pt idx="0">
                  <c:v>58.878504672897201</c:v>
                </c:pt>
                <c:pt idx="1">
                  <c:v>58.878504672897201</c:v>
                </c:pt>
                <c:pt idx="2">
                  <c:v>58.878504672897201</c:v>
                </c:pt>
                <c:pt idx="3">
                  <c:v>62.990654205607491</c:v>
                </c:pt>
                <c:pt idx="4">
                  <c:v>64.485981308411226</c:v>
                </c:pt>
                <c:pt idx="5">
                  <c:v>64.485981308411226</c:v>
                </c:pt>
                <c:pt idx="6">
                  <c:v>63.551401869158887</c:v>
                </c:pt>
                <c:pt idx="7">
                  <c:v>66.355140186915889</c:v>
                </c:pt>
                <c:pt idx="8">
                  <c:v>68.224299065420567</c:v>
                </c:pt>
                <c:pt idx="9">
                  <c:v>68.224299065420567</c:v>
                </c:pt>
                <c:pt idx="10">
                  <c:v>71.028037383177562</c:v>
                </c:pt>
                <c:pt idx="11">
                  <c:v>71.962616822429908</c:v>
                </c:pt>
                <c:pt idx="12">
                  <c:v>72.710280373831779</c:v>
                </c:pt>
                <c:pt idx="13">
                  <c:v>72.99065420560747</c:v>
                </c:pt>
                <c:pt idx="14">
                  <c:v>73.271028037383175</c:v>
                </c:pt>
                <c:pt idx="15">
                  <c:v>73.925233644859816</c:v>
                </c:pt>
                <c:pt idx="16">
                  <c:v>74.672897196261687</c:v>
                </c:pt>
                <c:pt idx="17">
                  <c:v>75.514018691588788</c:v>
                </c:pt>
                <c:pt idx="18">
                  <c:v>76.074766355140198</c:v>
                </c:pt>
                <c:pt idx="19">
                  <c:v>76.822429906542069</c:v>
                </c:pt>
                <c:pt idx="20">
                  <c:v>77.289719626168235</c:v>
                </c:pt>
                <c:pt idx="21">
                  <c:v>77.943925233644862</c:v>
                </c:pt>
                <c:pt idx="22">
                  <c:v>78.504672897196272</c:v>
                </c:pt>
                <c:pt idx="23">
                  <c:v>81.588785046728987</c:v>
                </c:pt>
                <c:pt idx="24">
                  <c:v>81.775700934579447</c:v>
                </c:pt>
                <c:pt idx="25">
                  <c:v>80</c:v>
                </c:pt>
                <c:pt idx="26">
                  <c:v>80</c:v>
                </c:pt>
                <c:pt idx="27">
                  <c:v>80.654205607476655</c:v>
                </c:pt>
                <c:pt idx="28">
                  <c:v>81.028037383177576</c:v>
                </c:pt>
                <c:pt idx="29">
                  <c:v>81.682242990654203</c:v>
                </c:pt>
                <c:pt idx="30">
                  <c:v>82.149532710280369</c:v>
                </c:pt>
                <c:pt idx="31">
                  <c:v>82.990654205607498</c:v>
                </c:pt>
                <c:pt idx="32">
                  <c:v>83.55140186915888</c:v>
                </c:pt>
                <c:pt idx="33">
                  <c:v>84.01869158878506</c:v>
                </c:pt>
                <c:pt idx="34">
                  <c:v>84.392523364485982</c:v>
                </c:pt>
                <c:pt idx="35">
                  <c:v>85.046728971962608</c:v>
                </c:pt>
                <c:pt idx="36">
                  <c:v>85.514018691588788</c:v>
                </c:pt>
                <c:pt idx="37">
                  <c:v>85.981308411214954</c:v>
                </c:pt>
                <c:pt idx="38">
                  <c:v>85.981308411214954</c:v>
                </c:pt>
                <c:pt idx="39">
                  <c:v>83.78378378378379</c:v>
                </c:pt>
                <c:pt idx="40">
                  <c:v>84.14414414414415</c:v>
                </c:pt>
                <c:pt idx="41">
                  <c:v>84.504504504504524</c:v>
                </c:pt>
                <c:pt idx="42">
                  <c:v>84.954954954954957</c:v>
                </c:pt>
                <c:pt idx="43">
                  <c:v>85.315315315315317</c:v>
                </c:pt>
                <c:pt idx="44">
                  <c:v>85.945945945945951</c:v>
                </c:pt>
                <c:pt idx="45">
                  <c:v>82.5</c:v>
                </c:pt>
                <c:pt idx="46">
                  <c:v>83.017241379310363</c:v>
                </c:pt>
                <c:pt idx="47">
                  <c:v>82.84482758620689</c:v>
                </c:pt>
                <c:pt idx="48">
                  <c:v>83.017241379310363</c:v>
                </c:pt>
                <c:pt idx="49">
                  <c:v>83.879310344827601</c:v>
                </c:pt>
                <c:pt idx="50">
                  <c:v>83.793103448275872</c:v>
                </c:pt>
                <c:pt idx="51">
                  <c:v>83.793103448275872</c:v>
                </c:pt>
                <c:pt idx="52">
                  <c:v>84.137931034482762</c:v>
                </c:pt>
                <c:pt idx="53">
                  <c:v>84.396551724137922</c:v>
                </c:pt>
                <c:pt idx="54">
                  <c:v>85.172413793103459</c:v>
                </c:pt>
                <c:pt idx="55">
                  <c:v>86.034482758620697</c:v>
                </c:pt>
              </c:numCache>
            </c:numRef>
          </c:val>
          <c:smooth val="0"/>
          <c:extLst>
            <c:ext xmlns:c16="http://schemas.microsoft.com/office/drawing/2014/chart" uri="{C3380CC4-5D6E-409C-BE32-E72D297353CC}">
              <c16:uniqueId val="{00000000-B56E-4DD5-803A-D52F50E8D1E3}"/>
            </c:ext>
          </c:extLst>
        </c:ser>
        <c:ser>
          <c:idx val="1"/>
          <c:order val="1"/>
          <c:tx>
            <c:strRef>
              <c:f>'Denver (FPS)'!$I$1</c:f>
              <c:strCache>
                <c:ptCount val="1"/>
                <c:pt idx="0">
                  <c:v>Forecast (%)</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numRef>
              <c:f>'Denver (FPS)'!$C$2:$C$109</c:f>
              <c:numCache>
                <c:formatCode>mmm\-yy</c:formatCode>
                <c:ptCount val="108"/>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pt idx="35">
                  <c:v>45627</c:v>
                </c:pt>
                <c:pt idx="36">
                  <c:v>45658</c:v>
                </c:pt>
                <c:pt idx="37">
                  <c:v>45689</c:v>
                </c:pt>
                <c:pt idx="38">
                  <c:v>45717</c:v>
                </c:pt>
                <c:pt idx="39">
                  <c:v>45748</c:v>
                </c:pt>
                <c:pt idx="40">
                  <c:v>45778</c:v>
                </c:pt>
                <c:pt idx="41">
                  <c:v>45809</c:v>
                </c:pt>
                <c:pt idx="42">
                  <c:v>45839</c:v>
                </c:pt>
                <c:pt idx="43">
                  <c:v>45870</c:v>
                </c:pt>
                <c:pt idx="44">
                  <c:v>45901</c:v>
                </c:pt>
                <c:pt idx="45">
                  <c:v>45931</c:v>
                </c:pt>
                <c:pt idx="46">
                  <c:v>45962</c:v>
                </c:pt>
                <c:pt idx="47">
                  <c:v>45992</c:v>
                </c:pt>
                <c:pt idx="48">
                  <c:v>46023</c:v>
                </c:pt>
                <c:pt idx="49">
                  <c:v>46054</c:v>
                </c:pt>
                <c:pt idx="50">
                  <c:v>46082</c:v>
                </c:pt>
                <c:pt idx="51">
                  <c:v>46113</c:v>
                </c:pt>
                <c:pt idx="52">
                  <c:v>46143</c:v>
                </c:pt>
                <c:pt idx="53">
                  <c:v>46174</c:v>
                </c:pt>
                <c:pt idx="54">
                  <c:v>46204</c:v>
                </c:pt>
                <c:pt idx="55">
                  <c:v>46235</c:v>
                </c:pt>
                <c:pt idx="56">
                  <c:v>46266</c:v>
                </c:pt>
                <c:pt idx="57">
                  <c:v>46296</c:v>
                </c:pt>
                <c:pt idx="58">
                  <c:v>46327</c:v>
                </c:pt>
                <c:pt idx="59">
                  <c:v>46357</c:v>
                </c:pt>
                <c:pt idx="60">
                  <c:v>46388</c:v>
                </c:pt>
                <c:pt idx="61">
                  <c:v>46419</c:v>
                </c:pt>
                <c:pt idx="62">
                  <c:v>46447</c:v>
                </c:pt>
                <c:pt idx="63">
                  <c:v>46478</c:v>
                </c:pt>
                <c:pt idx="64">
                  <c:v>46508</c:v>
                </c:pt>
                <c:pt idx="65">
                  <c:v>46539</c:v>
                </c:pt>
                <c:pt idx="66">
                  <c:v>46569</c:v>
                </c:pt>
                <c:pt idx="67">
                  <c:v>46600</c:v>
                </c:pt>
                <c:pt idx="68">
                  <c:v>46631</c:v>
                </c:pt>
                <c:pt idx="69">
                  <c:v>46661</c:v>
                </c:pt>
                <c:pt idx="70">
                  <c:v>46692</c:v>
                </c:pt>
                <c:pt idx="71">
                  <c:v>46722</c:v>
                </c:pt>
                <c:pt idx="72">
                  <c:v>46753</c:v>
                </c:pt>
                <c:pt idx="73">
                  <c:v>46784</c:v>
                </c:pt>
                <c:pt idx="74">
                  <c:v>46813</c:v>
                </c:pt>
                <c:pt idx="75">
                  <c:v>46844</c:v>
                </c:pt>
                <c:pt idx="76">
                  <c:v>46874</c:v>
                </c:pt>
                <c:pt idx="77">
                  <c:v>46905</c:v>
                </c:pt>
                <c:pt idx="78">
                  <c:v>46935</c:v>
                </c:pt>
                <c:pt idx="79">
                  <c:v>46966</c:v>
                </c:pt>
                <c:pt idx="80">
                  <c:v>46997</c:v>
                </c:pt>
                <c:pt idx="81">
                  <c:v>47027</c:v>
                </c:pt>
                <c:pt idx="82">
                  <c:v>47058</c:v>
                </c:pt>
                <c:pt idx="83">
                  <c:v>47088</c:v>
                </c:pt>
                <c:pt idx="84">
                  <c:v>47119</c:v>
                </c:pt>
                <c:pt idx="85">
                  <c:v>47150</c:v>
                </c:pt>
                <c:pt idx="86">
                  <c:v>47178</c:v>
                </c:pt>
                <c:pt idx="87">
                  <c:v>47209</c:v>
                </c:pt>
                <c:pt idx="88">
                  <c:v>47239</c:v>
                </c:pt>
                <c:pt idx="89">
                  <c:v>47270</c:v>
                </c:pt>
                <c:pt idx="90">
                  <c:v>47300</c:v>
                </c:pt>
                <c:pt idx="91">
                  <c:v>47331</c:v>
                </c:pt>
                <c:pt idx="92">
                  <c:v>47362</c:v>
                </c:pt>
                <c:pt idx="93">
                  <c:v>47392</c:v>
                </c:pt>
                <c:pt idx="94">
                  <c:v>47423</c:v>
                </c:pt>
                <c:pt idx="95">
                  <c:v>47453</c:v>
                </c:pt>
                <c:pt idx="96">
                  <c:v>47484</c:v>
                </c:pt>
                <c:pt idx="97">
                  <c:v>47515</c:v>
                </c:pt>
                <c:pt idx="98">
                  <c:v>47543</c:v>
                </c:pt>
                <c:pt idx="99">
                  <c:v>47574</c:v>
                </c:pt>
                <c:pt idx="100">
                  <c:v>47604</c:v>
                </c:pt>
                <c:pt idx="101">
                  <c:v>47635</c:v>
                </c:pt>
                <c:pt idx="102">
                  <c:v>47665</c:v>
                </c:pt>
                <c:pt idx="103">
                  <c:v>47696</c:v>
                </c:pt>
                <c:pt idx="104">
                  <c:v>47727</c:v>
                </c:pt>
                <c:pt idx="105">
                  <c:v>47757</c:v>
                </c:pt>
                <c:pt idx="106">
                  <c:v>47788</c:v>
                </c:pt>
                <c:pt idx="107">
                  <c:v>47818</c:v>
                </c:pt>
              </c:numCache>
            </c:numRef>
          </c:cat>
          <c:val>
            <c:numRef>
              <c:f>'Denver (FPS)'!$I$2:$I$109</c:f>
              <c:numCache>
                <c:formatCode>0.0</c:formatCode>
                <c:ptCount val="108"/>
                <c:pt idx="55">
                  <c:v>86.034482758620697</c:v>
                </c:pt>
                <c:pt idx="56">
                  <c:v>86.588031211188238</c:v>
                </c:pt>
                <c:pt idx="57">
                  <c:v>87.145141211166944</c:v>
                </c:pt>
                <c:pt idx="58">
                  <c:v>87.70583567366009</c:v>
                </c:pt>
                <c:pt idx="59">
                  <c:v>88.270137661207428</c:v>
                </c:pt>
                <c:pt idx="60">
                  <c:v>88.838070384733797</c:v>
                </c:pt>
                <c:pt idx="61">
                  <c:v>89.409657204503773</c:v>
                </c:pt>
                <c:pt idx="62">
                  <c:v>89.984921631082642</c:v>
                </c:pt>
                <c:pt idx="63">
                  <c:v>90.56388732630333</c:v>
                </c:pt>
                <c:pt idx="64">
                  <c:v>91.146578104239723</c:v>
                </c:pt>
                <c:pt idx="65">
                  <c:v>91.733017932186172</c:v>
                </c:pt>
                <c:pt idx="66">
                  <c:v>92.323230931643351</c:v>
                </c:pt>
                <c:pt idx="67">
                  <c:v>92.91724137931034</c:v>
                </c:pt>
                <c:pt idx="68">
                  <c:v>93.515073708083278</c:v>
                </c:pt>
                <c:pt idx="69">
                  <c:v>94.116752508060273</c:v>
                </c:pt>
                <c:pt idx="70">
                  <c:v>94.722302527552884</c:v>
                </c:pt>
                <c:pt idx="71">
                  <c:v>95.33174867410402</c:v>
                </c:pt>
                <c:pt idx="72">
                  <c:v>95.945116015512482</c:v>
                </c:pt>
                <c:pt idx="73">
                  <c:v>96.562429780864065</c:v>
                </c:pt>
                <c:pt idx="74">
                  <c:v>97.183715361569242</c:v>
                </c:pt>
                <c:pt idx="75">
                  <c:v>97.808998312407596</c:v>
                </c:pt>
                <c:pt idx="76">
                  <c:v>98.438304352578896</c:v>
                </c:pt>
                <c:pt idx="77">
                  <c:v>99.071659366761082</c:v>
                </c:pt>
                <c:pt idx="78">
                  <c:v>99.709089406174812</c:v>
                </c:pt>
                <c:pt idx="79">
                  <c:v>100.35062068965517</c:v>
                </c:pt>
                <c:pt idx="80">
                  <c:v>100.99627960472995</c:v>
                </c:pt>
                <c:pt idx="81">
                  <c:v>101.64609270870508</c:v>
                </c:pt>
                <c:pt idx="82">
                  <c:v>102.3000867297571</c:v>
                </c:pt>
                <c:pt idx="83">
                  <c:v>102.9582885680323</c:v>
                </c:pt>
                <c:pt idx="84">
                  <c:v>103.62072529675343</c:v>
                </c:pt>
                <c:pt idx="85">
                  <c:v>104.28742416333314</c:v>
                </c:pt>
                <c:pt idx="86">
                  <c:v>104.95841259049472</c:v>
                </c:pt>
                <c:pt idx="87">
                  <c:v>105.63371817740016</c:v>
                </c:pt>
                <c:pt idx="88">
                  <c:v>106.31336870078516</c:v>
                </c:pt>
                <c:pt idx="89">
                  <c:v>106.99739211610189</c:v>
                </c:pt>
                <c:pt idx="90">
                  <c:v>107.68581655866873</c:v>
                </c:pt>
                <c:pt idx="91">
                  <c:v>108.37867034482751</c:v>
                </c:pt>
                <c:pt idx="92">
                  <c:v>109.07598197310826</c:v>
                </c:pt>
                <c:pt idx="93">
                  <c:v>109.77778012540145</c:v>
                </c:pt>
                <c:pt idx="94">
                  <c:v>110.4840936681376</c:v>
                </c:pt>
                <c:pt idx="95">
                  <c:v>111.19495165347486</c:v>
                </c:pt>
                <c:pt idx="96">
                  <c:v>111.91038332049368</c:v>
                </c:pt>
                <c:pt idx="97">
                  <c:v>112.63041809639975</c:v>
                </c:pt>
                <c:pt idx="98">
                  <c:v>113.35508559773426</c:v>
                </c:pt>
                <c:pt idx="99">
                  <c:v>114.08441563159211</c:v>
                </c:pt>
                <c:pt idx="100">
                  <c:v>114.81843819684792</c:v>
                </c:pt>
                <c:pt idx="101">
                  <c:v>115.55718348539</c:v>
                </c:pt>
                <c:pt idx="102">
                  <c:v>116.3006818833622</c:v>
                </c:pt>
                <c:pt idx="103">
                  <c:v>117.04896397241367</c:v>
                </c:pt>
                <c:pt idx="104">
                  <c:v>117.80206053095689</c:v>
                </c:pt>
                <c:pt idx="105">
                  <c:v>118.56000253543353</c:v>
                </c:pt>
                <c:pt idx="106">
                  <c:v>119.32282116158859</c:v>
                </c:pt>
                <c:pt idx="107">
                  <c:v>120.0905477857528</c:v>
                </c:pt>
              </c:numCache>
            </c:numRef>
          </c:val>
          <c:smooth val="0"/>
          <c:extLst>
            <c:ext xmlns:c16="http://schemas.microsoft.com/office/drawing/2014/chart" uri="{C3380CC4-5D6E-409C-BE32-E72D297353CC}">
              <c16:uniqueId val="{00000001-B56E-4DD5-803A-D52F50E8D1E3}"/>
            </c:ext>
          </c:extLst>
        </c:ser>
        <c:ser>
          <c:idx val="2"/>
          <c:order val="2"/>
          <c:tx>
            <c:strRef>
              <c:f>'Denver (FPS)'!$J$1</c:f>
              <c:strCache>
                <c:ptCount val="1"/>
                <c:pt idx="0">
                  <c:v>Max %</c:v>
                </c:pt>
              </c:strCache>
            </c:strRef>
          </c:tx>
          <c:spPr>
            <a:ln w="22225" cap="rnd">
              <a:solidFill>
                <a:schemeClr val="accent3"/>
              </a:solidFill>
            </a:ln>
            <a:effectLst>
              <a:glow rad="139700">
                <a:schemeClr val="accent3">
                  <a:satMod val="175000"/>
                  <a:alpha val="14000"/>
                </a:schemeClr>
              </a:glow>
            </a:effectLst>
          </c:spPr>
          <c:marker>
            <c:symbol val="none"/>
          </c:marker>
          <c:cat>
            <c:numRef>
              <c:f>'Denver (FPS)'!$C$2:$C$109</c:f>
              <c:numCache>
                <c:formatCode>mmm\-yy</c:formatCode>
                <c:ptCount val="108"/>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pt idx="35">
                  <c:v>45627</c:v>
                </c:pt>
                <c:pt idx="36">
                  <c:v>45658</c:v>
                </c:pt>
                <c:pt idx="37">
                  <c:v>45689</c:v>
                </c:pt>
                <c:pt idx="38">
                  <c:v>45717</c:v>
                </c:pt>
                <c:pt idx="39">
                  <c:v>45748</c:v>
                </c:pt>
                <c:pt idx="40">
                  <c:v>45778</c:v>
                </c:pt>
                <c:pt idx="41">
                  <c:v>45809</c:v>
                </c:pt>
                <c:pt idx="42">
                  <c:v>45839</c:v>
                </c:pt>
                <c:pt idx="43">
                  <c:v>45870</c:v>
                </c:pt>
                <c:pt idx="44">
                  <c:v>45901</c:v>
                </c:pt>
                <c:pt idx="45">
                  <c:v>45931</c:v>
                </c:pt>
                <c:pt idx="46">
                  <c:v>45962</c:v>
                </c:pt>
                <c:pt idx="47">
                  <c:v>45992</c:v>
                </c:pt>
                <c:pt idx="48">
                  <c:v>46023</c:v>
                </c:pt>
                <c:pt idx="49">
                  <c:v>46054</c:v>
                </c:pt>
                <c:pt idx="50">
                  <c:v>46082</c:v>
                </c:pt>
                <c:pt idx="51">
                  <c:v>46113</c:v>
                </c:pt>
                <c:pt idx="52">
                  <c:v>46143</c:v>
                </c:pt>
                <c:pt idx="53">
                  <c:v>46174</c:v>
                </c:pt>
                <c:pt idx="54">
                  <c:v>46204</c:v>
                </c:pt>
                <c:pt idx="55">
                  <c:v>46235</c:v>
                </c:pt>
                <c:pt idx="56">
                  <c:v>46266</c:v>
                </c:pt>
                <c:pt idx="57">
                  <c:v>46296</c:v>
                </c:pt>
                <c:pt idx="58">
                  <c:v>46327</c:v>
                </c:pt>
                <c:pt idx="59">
                  <c:v>46357</c:v>
                </c:pt>
                <c:pt idx="60">
                  <c:v>46388</c:v>
                </c:pt>
                <c:pt idx="61">
                  <c:v>46419</c:v>
                </c:pt>
                <c:pt idx="62">
                  <c:v>46447</c:v>
                </c:pt>
                <c:pt idx="63">
                  <c:v>46478</c:v>
                </c:pt>
                <c:pt idx="64">
                  <c:v>46508</c:v>
                </c:pt>
                <c:pt idx="65">
                  <c:v>46539</c:v>
                </c:pt>
                <c:pt idx="66">
                  <c:v>46569</c:v>
                </c:pt>
                <c:pt idx="67">
                  <c:v>46600</c:v>
                </c:pt>
                <c:pt idx="68">
                  <c:v>46631</c:v>
                </c:pt>
                <c:pt idx="69">
                  <c:v>46661</c:v>
                </c:pt>
                <c:pt idx="70">
                  <c:v>46692</c:v>
                </c:pt>
                <c:pt idx="71">
                  <c:v>46722</c:v>
                </c:pt>
                <c:pt idx="72">
                  <c:v>46753</c:v>
                </c:pt>
                <c:pt idx="73">
                  <c:v>46784</c:v>
                </c:pt>
                <c:pt idx="74">
                  <c:v>46813</c:v>
                </c:pt>
                <c:pt idx="75">
                  <c:v>46844</c:v>
                </c:pt>
                <c:pt idx="76">
                  <c:v>46874</c:v>
                </c:pt>
                <c:pt idx="77">
                  <c:v>46905</c:v>
                </c:pt>
                <c:pt idx="78">
                  <c:v>46935</c:v>
                </c:pt>
                <c:pt idx="79">
                  <c:v>46966</c:v>
                </c:pt>
                <c:pt idx="80">
                  <c:v>46997</c:v>
                </c:pt>
                <c:pt idx="81">
                  <c:v>47027</c:v>
                </c:pt>
                <c:pt idx="82">
                  <c:v>47058</c:v>
                </c:pt>
                <c:pt idx="83">
                  <c:v>47088</c:v>
                </c:pt>
                <c:pt idx="84">
                  <c:v>47119</c:v>
                </c:pt>
                <c:pt idx="85">
                  <c:v>47150</c:v>
                </c:pt>
                <c:pt idx="86">
                  <c:v>47178</c:v>
                </c:pt>
                <c:pt idx="87">
                  <c:v>47209</c:v>
                </c:pt>
                <c:pt idx="88">
                  <c:v>47239</c:v>
                </c:pt>
                <c:pt idx="89">
                  <c:v>47270</c:v>
                </c:pt>
                <c:pt idx="90">
                  <c:v>47300</c:v>
                </c:pt>
                <c:pt idx="91">
                  <c:v>47331</c:v>
                </c:pt>
                <c:pt idx="92">
                  <c:v>47362</c:v>
                </c:pt>
                <c:pt idx="93">
                  <c:v>47392</c:v>
                </c:pt>
                <c:pt idx="94">
                  <c:v>47423</c:v>
                </c:pt>
                <c:pt idx="95">
                  <c:v>47453</c:v>
                </c:pt>
                <c:pt idx="96">
                  <c:v>47484</c:v>
                </c:pt>
                <c:pt idx="97">
                  <c:v>47515</c:v>
                </c:pt>
                <c:pt idx="98">
                  <c:v>47543</c:v>
                </c:pt>
                <c:pt idx="99">
                  <c:v>47574</c:v>
                </c:pt>
                <c:pt idx="100">
                  <c:v>47604</c:v>
                </c:pt>
                <c:pt idx="101">
                  <c:v>47635</c:v>
                </c:pt>
                <c:pt idx="102">
                  <c:v>47665</c:v>
                </c:pt>
                <c:pt idx="103">
                  <c:v>47696</c:v>
                </c:pt>
                <c:pt idx="104">
                  <c:v>47727</c:v>
                </c:pt>
                <c:pt idx="105">
                  <c:v>47757</c:v>
                </c:pt>
                <c:pt idx="106">
                  <c:v>47788</c:v>
                </c:pt>
                <c:pt idx="107">
                  <c:v>47818</c:v>
                </c:pt>
              </c:numCache>
            </c:numRef>
          </c:cat>
          <c:val>
            <c:numRef>
              <c:f>'Denver (FPS)'!$J$2:$J$109</c:f>
              <c:numCache>
                <c:formatCode>General</c:formatCode>
                <c:ptCount val="108"/>
                <c:pt idx="0">
                  <c:v>90</c:v>
                </c:pt>
                <c:pt idx="1">
                  <c:v>90</c:v>
                </c:pt>
                <c:pt idx="2">
                  <c:v>90</c:v>
                </c:pt>
                <c:pt idx="3">
                  <c:v>90</c:v>
                </c:pt>
                <c:pt idx="4">
                  <c:v>90</c:v>
                </c:pt>
                <c:pt idx="5">
                  <c:v>90</c:v>
                </c:pt>
                <c:pt idx="6">
                  <c:v>90</c:v>
                </c:pt>
                <c:pt idx="7">
                  <c:v>90</c:v>
                </c:pt>
                <c:pt idx="8">
                  <c:v>90</c:v>
                </c:pt>
                <c:pt idx="9">
                  <c:v>90</c:v>
                </c:pt>
                <c:pt idx="10">
                  <c:v>90</c:v>
                </c:pt>
                <c:pt idx="11">
                  <c:v>90</c:v>
                </c:pt>
                <c:pt idx="12">
                  <c:v>90</c:v>
                </c:pt>
                <c:pt idx="13">
                  <c:v>90</c:v>
                </c:pt>
                <c:pt idx="14">
                  <c:v>90</c:v>
                </c:pt>
                <c:pt idx="15">
                  <c:v>90</c:v>
                </c:pt>
                <c:pt idx="16">
                  <c:v>90</c:v>
                </c:pt>
                <c:pt idx="17">
                  <c:v>90</c:v>
                </c:pt>
                <c:pt idx="18">
                  <c:v>90</c:v>
                </c:pt>
                <c:pt idx="19">
                  <c:v>90</c:v>
                </c:pt>
                <c:pt idx="20">
                  <c:v>90</c:v>
                </c:pt>
                <c:pt idx="21">
                  <c:v>90</c:v>
                </c:pt>
                <c:pt idx="22">
                  <c:v>90</c:v>
                </c:pt>
                <c:pt idx="23">
                  <c:v>90</c:v>
                </c:pt>
                <c:pt idx="24">
                  <c:v>90</c:v>
                </c:pt>
                <c:pt idx="25">
                  <c:v>90</c:v>
                </c:pt>
                <c:pt idx="26">
                  <c:v>90</c:v>
                </c:pt>
                <c:pt idx="27">
                  <c:v>90</c:v>
                </c:pt>
                <c:pt idx="28">
                  <c:v>90</c:v>
                </c:pt>
                <c:pt idx="29">
                  <c:v>90</c:v>
                </c:pt>
                <c:pt idx="30">
                  <c:v>90</c:v>
                </c:pt>
                <c:pt idx="31">
                  <c:v>90</c:v>
                </c:pt>
                <c:pt idx="32">
                  <c:v>90</c:v>
                </c:pt>
                <c:pt idx="33">
                  <c:v>90</c:v>
                </c:pt>
                <c:pt idx="34">
                  <c:v>90</c:v>
                </c:pt>
                <c:pt idx="35">
                  <c:v>90</c:v>
                </c:pt>
                <c:pt idx="36">
                  <c:v>90</c:v>
                </c:pt>
                <c:pt idx="37">
                  <c:v>90</c:v>
                </c:pt>
                <c:pt idx="38">
                  <c:v>90</c:v>
                </c:pt>
                <c:pt idx="39">
                  <c:v>90</c:v>
                </c:pt>
                <c:pt idx="40">
                  <c:v>90</c:v>
                </c:pt>
                <c:pt idx="41">
                  <c:v>90</c:v>
                </c:pt>
                <c:pt idx="42">
                  <c:v>90</c:v>
                </c:pt>
                <c:pt idx="43">
                  <c:v>90</c:v>
                </c:pt>
                <c:pt idx="44">
                  <c:v>90</c:v>
                </c:pt>
                <c:pt idx="45">
                  <c:v>90</c:v>
                </c:pt>
                <c:pt idx="46">
                  <c:v>90</c:v>
                </c:pt>
                <c:pt idx="47">
                  <c:v>90</c:v>
                </c:pt>
                <c:pt idx="48">
                  <c:v>90</c:v>
                </c:pt>
                <c:pt idx="49">
                  <c:v>90</c:v>
                </c:pt>
                <c:pt idx="50">
                  <c:v>90</c:v>
                </c:pt>
                <c:pt idx="51">
                  <c:v>90</c:v>
                </c:pt>
                <c:pt idx="52">
                  <c:v>90</c:v>
                </c:pt>
                <c:pt idx="53">
                  <c:v>90</c:v>
                </c:pt>
                <c:pt idx="54">
                  <c:v>90</c:v>
                </c:pt>
                <c:pt idx="55">
                  <c:v>90</c:v>
                </c:pt>
                <c:pt idx="56">
                  <c:v>90</c:v>
                </c:pt>
                <c:pt idx="57">
                  <c:v>90</c:v>
                </c:pt>
                <c:pt idx="58">
                  <c:v>90</c:v>
                </c:pt>
                <c:pt idx="59">
                  <c:v>90</c:v>
                </c:pt>
                <c:pt idx="60">
                  <c:v>90</c:v>
                </c:pt>
                <c:pt idx="61">
                  <c:v>90</c:v>
                </c:pt>
                <c:pt idx="62">
                  <c:v>90</c:v>
                </c:pt>
                <c:pt idx="63">
                  <c:v>90</c:v>
                </c:pt>
                <c:pt idx="64">
                  <c:v>90</c:v>
                </c:pt>
                <c:pt idx="65">
                  <c:v>90</c:v>
                </c:pt>
                <c:pt idx="66">
                  <c:v>90</c:v>
                </c:pt>
                <c:pt idx="67">
                  <c:v>90</c:v>
                </c:pt>
                <c:pt idx="68">
                  <c:v>90</c:v>
                </c:pt>
                <c:pt idx="69">
                  <c:v>90</c:v>
                </c:pt>
                <c:pt idx="70">
                  <c:v>90</c:v>
                </c:pt>
                <c:pt idx="71">
                  <c:v>90</c:v>
                </c:pt>
                <c:pt idx="72">
                  <c:v>90</c:v>
                </c:pt>
                <c:pt idx="73">
                  <c:v>90</c:v>
                </c:pt>
                <c:pt idx="74">
                  <c:v>90</c:v>
                </c:pt>
                <c:pt idx="75">
                  <c:v>90</c:v>
                </c:pt>
                <c:pt idx="76">
                  <c:v>90</c:v>
                </c:pt>
                <c:pt idx="77">
                  <c:v>90</c:v>
                </c:pt>
                <c:pt idx="78">
                  <c:v>90</c:v>
                </c:pt>
                <c:pt idx="79">
                  <c:v>90</c:v>
                </c:pt>
                <c:pt idx="80">
                  <c:v>90</c:v>
                </c:pt>
                <c:pt idx="81">
                  <c:v>90</c:v>
                </c:pt>
                <c:pt idx="82">
                  <c:v>90</c:v>
                </c:pt>
                <c:pt idx="83">
                  <c:v>90</c:v>
                </c:pt>
                <c:pt idx="84">
                  <c:v>90</c:v>
                </c:pt>
                <c:pt idx="85">
                  <c:v>90</c:v>
                </c:pt>
                <c:pt idx="86">
                  <c:v>90</c:v>
                </c:pt>
                <c:pt idx="87">
                  <c:v>90</c:v>
                </c:pt>
                <c:pt idx="88">
                  <c:v>90</c:v>
                </c:pt>
                <c:pt idx="89">
                  <c:v>90</c:v>
                </c:pt>
                <c:pt idx="90">
                  <c:v>90</c:v>
                </c:pt>
                <c:pt idx="91">
                  <c:v>90</c:v>
                </c:pt>
                <c:pt idx="92">
                  <c:v>90</c:v>
                </c:pt>
                <c:pt idx="93">
                  <c:v>90</c:v>
                </c:pt>
                <c:pt idx="94">
                  <c:v>90</c:v>
                </c:pt>
                <c:pt idx="95">
                  <c:v>90</c:v>
                </c:pt>
                <c:pt idx="96">
                  <c:v>90</c:v>
                </c:pt>
                <c:pt idx="97">
                  <c:v>90</c:v>
                </c:pt>
                <c:pt idx="98">
                  <c:v>90</c:v>
                </c:pt>
                <c:pt idx="99">
                  <c:v>90</c:v>
                </c:pt>
                <c:pt idx="100">
                  <c:v>90</c:v>
                </c:pt>
                <c:pt idx="101">
                  <c:v>90</c:v>
                </c:pt>
                <c:pt idx="102">
                  <c:v>90</c:v>
                </c:pt>
                <c:pt idx="103">
                  <c:v>90</c:v>
                </c:pt>
                <c:pt idx="104">
                  <c:v>90</c:v>
                </c:pt>
                <c:pt idx="105">
                  <c:v>90</c:v>
                </c:pt>
                <c:pt idx="106">
                  <c:v>90</c:v>
                </c:pt>
                <c:pt idx="107">
                  <c:v>90</c:v>
                </c:pt>
              </c:numCache>
            </c:numRef>
          </c:val>
          <c:smooth val="0"/>
          <c:extLst>
            <c:ext xmlns:c16="http://schemas.microsoft.com/office/drawing/2014/chart" uri="{C3380CC4-5D6E-409C-BE32-E72D297353CC}">
              <c16:uniqueId val="{00000002-B56E-4DD5-803A-D52F50E8D1E3}"/>
            </c:ext>
          </c:extLst>
        </c:ser>
        <c:dLbls>
          <c:showLegendKey val="0"/>
          <c:showVal val="0"/>
          <c:showCatName val="0"/>
          <c:showSerName val="0"/>
          <c:showPercent val="0"/>
          <c:showBubbleSize val="0"/>
        </c:dLbls>
        <c:marker val="1"/>
        <c:smooth val="0"/>
        <c:axId val="923718064"/>
        <c:axId val="923722640"/>
      </c:lineChart>
      <c:dateAx>
        <c:axId val="92371806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mmm\-yy" sourceLinked="1"/>
        <c:majorTickMark val="none"/>
        <c:minorTickMark val="none"/>
        <c:tickLblPos val="nextTo"/>
        <c:spPr>
          <a:noFill/>
          <a:ln>
            <a:solidFill>
              <a:schemeClr val="accent1"/>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23722640"/>
        <c:crosses val="autoZero"/>
        <c:auto val="1"/>
        <c:lblOffset val="100"/>
        <c:baseTimeUnit val="months"/>
        <c:majorUnit val="2"/>
        <c:majorTimeUnit val="months"/>
      </c:dateAx>
      <c:valAx>
        <c:axId val="923722640"/>
        <c:scaling>
          <c:orientation val="minMax"/>
          <c:max val="100"/>
          <c:min val="20"/>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23718064"/>
        <c:crosses val="autoZero"/>
        <c:crossBetween val="between"/>
      </c:valAx>
      <c:spPr>
        <a:noFill/>
        <a:ln>
          <a:noFill/>
        </a:ln>
        <a:effectLst/>
      </c:spPr>
    </c:plotArea>
    <c:legend>
      <c:legendPos val="r"/>
      <c:layout>
        <c:manualLayout>
          <c:xMode val="edge"/>
          <c:yMode val="edge"/>
          <c:x val="0.5758645091356861"/>
          <c:y val="0.59729804112593499"/>
          <c:w val="9.8310292650557657E-2"/>
          <c:h val="0.20754619529954232"/>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'Mechelen (HX)'!$H$1</c:f>
              <c:strCache>
                <c:ptCount val="1"/>
                <c:pt idx="0">
                  <c:v>In use (%)</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numRef>
              <c:f>'Mechelen (HX)'!$C$2:$C$105</c:f>
              <c:numCache>
                <c:formatCode>mmm\-yy</c:formatCode>
                <c:ptCount val="10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pt idx="35">
                  <c:v>45627</c:v>
                </c:pt>
                <c:pt idx="36">
                  <c:v>45658</c:v>
                </c:pt>
                <c:pt idx="37">
                  <c:v>45689</c:v>
                </c:pt>
                <c:pt idx="38">
                  <c:v>45717</c:v>
                </c:pt>
                <c:pt idx="39">
                  <c:v>45748</c:v>
                </c:pt>
                <c:pt idx="40">
                  <c:v>45778</c:v>
                </c:pt>
                <c:pt idx="41">
                  <c:v>45809</c:v>
                </c:pt>
                <c:pt idx="42">
                  <c:v>45839</c:v>
                </c:pt>
                <c:pt idx="43">
                  <c:v>45870</c:v>
                </c:pt>
                <c:pt idx="44">
                  <c:v>45901</c:v>
                </c:pt>
                <c:pt idx="45">
                  <c:v>45931</c:v>
                </c:pt>
                <c:pt idx="46">
                  <c:v>45962</c:v>
                </c:pt>
                <c:pt idx="47">
                  <c:v>45992</c:v>
                </c:pt>
                <c:pt idx="48">
                  <c:v>46023</c:v>
                </c:pt>
                <c:pt idx="49">
                  <c:v>46054</c:v>
                </c:pt>
                <c:pt idx="50">
                  <c:v>46082</c:v>
                </c:pt>
                <c:pt idx="51">
                  <c:v>46113</c:v>
                </c:pt>
                <c:pt idx="52">
                  <c:v>46143</c:v>
                </c:pt>
                <c:pt idx="53">
                  <c:v>46174</c:v>
                </c:pt>
                <c:pt idx="54">
                  <c:v>46204</c:v>
                </c:pt>
                <c:pt idx="55">
                  <c:v>46235</c:v>
                </c:pt>
                <c:pt idx="56">
                  <c:v>46266</c:v>
                </c:pt>
                <c:pt idx="57">
                  <c:v>46296</c:v>
                </c:pt>
                <c:pt idx="58">
                  <c:v>46327</c:v>
                </c:pt>
                <c:pt idx="59">
                  <c:v>46357</c:v>
                </c:pt>
                <c:pt idx="60">
                  <c:v>46388</c:v>
                </c:pt>
                <c:pt idx="61">
                  <c:v>46419</c:v>
                </c:pt>
                <c:pt idx="62">
                  <c:v>46447</c:v>
                </c:pt>
                <c:pt idx="63">
                  <c:v>46478</c:v>
                </c:pt>
                <c:pt idx="64">
                  <c:v>46508</c:v>
                </c:pt>
                <c:pt idx="65">
                  <c:v>46539</c:v>
                </c:pt>
                <c:pt idx="66">
                  <c:v>46569</c:v>
                </c:pt>
                <c:pt idx="67">
                  <c:v>46600</c:v>
                </c:pt>
                <c:pt idx="68">
                  <c:v>46631</c:v>
                </c:pt>
                <c:pt idx="69">
                  <c:v>46661</c:v>
                </c:pt>
                <c:pt idx="70">
                  <c:v>46692</c:v>
                </c:pt>
                <c:pt idx="71">
                  <c:v>46722</c:v>
                </c:pt>
                <c:pt idx="72">
                  <c:v>46753</c:v>
                </c:pt>
                <c:pt idx="73">
                  <c:v>46784</c:v>
                </c:pt>
                <c:pt idx="74">
                  <c:v>46813</c:v>
                </c:pt>
                <c:pt idx="75">
                  <c:v>46844</c:v>
                </c:pt>
                <c:pt idx="76">
                  <c:v>46874</c:v>
                </c:pt>
                <c:pt idx="77">
                  <c:v>46905</c:v>
                </c:pt>
                <c:pt idx="78">
                  <c:v>46935</c:v>
                </c:pt>
                <c:pt idx="79">
                  <c:v>46966</c:v>
                </c:pt>
                <c:pt idx="80">
                  <c:v>46997</c:v>
                </c:pt>
                <c:pt idx="81">
                  <c:v>47027</c:v>
                </c:pt>
                <c:pt idx="82">
                  <c:v>47058</c:v>
                </c:pt>
                <c:pt idx="83">
                  <c:v>47088</c:v>
                </c:pt>
                <c:pt idx="84">
                  <c:v>47119</c:v>
                </c:pt>
                <c:pt idx="85">
                  <c:v>47150</c:v>
                </c:pt>
                <c:pt idx="86">
                  <c:v>47178</c:v>
                </c:pt>
                <c:pt idx="87">
                  <c:v>47209</c:v>
                </c:pt>
                <c:pt idx="88">
                  <c:v>47239</c:v>
                </c:pt>
                <c:pt idx="89">
                  <c:v>47270</c:v>
                </c:pt>
                <c:pt idx="90">
                  <c:v>47300</c:v>
                </c:pt>
                <c:pt idx="91">
                  <c:v>47331</c:v>
                </c:pt>
                <c:pt idx="92">
                  <c:v>47362</c:v>
                </c:pt>
                <c:pt idx="93">
                  <c:v>47392</c:v>
                </c:pt>
                <c:pt idx="94">
                  <c:v>47423</c:v>
                </c:pt>
                <c:pt idx="95">
                  <c:v>47453</c:v>
                </c:pt>
                <c:pt idx="96">
                  <c:v>47484</c:v>
                </c:pt>
                <c:pt idx="97">
                  <c:v>47515</c:v>
                </c:pt>
                <c:pt idx="98">
                  <c:v>47543</c:v>
                </c:pt>
                <c:pt idx="99">
                  <c:v>47574</c:v>
                </c:pt>
                <c:pt idx="100">
                  <c:v>47604</c:v>
                </c:pt>
                <c:pt idx="101">
                  <c:v>47635</c:v>
                </c:pt>
                <c:pt idx="102">
                  <c:v>47665</c:v>
                </c:pt>
                <c:pt idx="103">
                  <c:v>47696</c:v>
                </c:pt>
              </c:numCache>
            </c:numRef>
          </c:cat>
          <c:val>
            <c:numRef>
              <c:f>'Mechelen (HX)'!$H$2:$H$95</c:f>
              <c:numCache>
                <c:formatCode>0.0</c:formatCode>
                <c:ptCount val="94"/>
                <c:pt idx="0">
                  <c:v>75.706214689265536</c:v>
                </c:pt>
                <c:pt idx="1">
                  <c:v>75.988700564971751</c:v>
                </c:pt>
                <c:pt idx="2">
                  <c:v>76.836158192090394</c:v>
                </c:pt>
                <c:pt idx="3">
                  <c:v>77.401129943502823</c:v>
                </c:pt>
                <c:pt idx="4">
                  <c:v>76.553672316384194</c:v>
                </c:pt>
                <c:pt idx="5">
                  <c:v>76.27118644067798</c:v>
                </c:pt>
                <c:pt idx="6">
                  <c:v>75.988700564971751</c:v>
                </c:pt>
                <c:pt idx="7">
                  <c:v>75.706214689265536</c:v>
                </c:pt>
                <c:pt idx="8">
                  <c:v>75.423728813559322</c:v>
                </c:pt>
                <c:pt idx="9">
                  <c:v>75.141242937853121</c:v>
                </c:pt>
                <c:pt idx="10">
                  <c:v>75.423728813559322</c:v>
                </c:pt>
                <c:pt idx="11">
                  <c:v>74.576271186440678</c:v>
                </c:pt>
                <c:pt idx="12">
                  <c:v>74.011299435028249</c:v>
                </c:pt>
                <c:pt idx="13">
                  <c:v>72.881355932203391</c:v>
                </c:pt>
                <c:pt idx="14">
                  <c:v>71.751412429378519</c:v>
                </c:pt>
                <c:pt idx="15">
                  <c:v>71.751412429378519</c:v>
                </c:pt>
                <c:pt idx="16">
                  <c:v>72.881355932203391</c:v>
                </c:pt>
                <c:pt idx="17">
                  <c:v>38.841807909604519</c:v>
                </c:pt>
                <c:pt idx="18">
                  <c:v>42.93785310734463</c:v>
                </c:pt>
                <c:pt idx="19">
                  <c:v>44.915254237288138</c:v>
                </c:pt>
                <c:pt idx="20">
                  <c:v>46.610169491525426</c:v>
                </c:pt>
                <c:pt idx="21">
                  <c:v>46.327683615819211</c:v>
                </c:pt>
                <c:pt idx="22">
                  <c:v>48.305084745762713</c:v>
                </c:pt>
                <c:pt idx="23">
                  <c:v>49.858757062146893</c:v>
                </c:pt>
                <c:pt idx="24">
                  <c:v>48.305084745762713</c:v>
                </c:pt>
                <c:pt idx="25">
                  <c:v>48.305084745762713</c:v>
                </c:pt>
                <c:pt idx="26">
                  <c:v>49.152542372881349</c:v>
                </c:pt>
                <c:pt idx="27">
                  <c:v>49.858757062146893</c:v>
                </c:pt>
                <c:pt idx="28">
                  <c:v>48.022598870056498</c:v>
                </c:pt>
                <c:pt idx="29">
                  <c:v>46.468926553672318</c:v>
                </c:pt>
                <c:pt idx="30">
                  <c:v>46.751412429378533</c:v>
                </c:pt>
                <c:pt idx="31">
                  <c:v>49.717514124293793</c:v>
                </c:pt>
                <c:pt idx="32">
                  <c:v>57.7683615819209</c:v>
                </c:pt>
                <c:pt idx="33">
                  <c:v>62.146892655367239</c:v>
                </c:pt>
                <c:pt idx="34">
                  <c:v>68.079096045197758</c:v>
                </c:pt>
                <c:pt idx="35">
                  <c:v>62.994350282485875</c:v>
                </c:pt>
                <c:pt idx="36">
                  <c:v>64.548022598870062</c:v>
                </c:pt>
                <c:pt idx="37">
                  <c:v>66.525423728813564</c:v>
                </c:pt>
                <c:pt idx="38">
                  <c:v>67.090395480225993</c:v>
                </c:pt>
                <c:pt idx="39">
                  <c:v>67.937853107344637</c:v>
                </c:pt>
                <c:pt idx="40">
                  <c:v>68.361581920903959</c:v>
                </c:pt>
                <c:pt idx="41">
                  <c:v>68.644067796610173</c:v>
                </c:pt>
                <c:pt idx="42">
                  <c:v>69.915254237288138</c:v>
                </c:pt>
                <c:pt idx="43">
                  <c:v>56.111111111111114</c:v>
                </c:pt>
                <c:pt idx="44">
                  <c:v>56.666666666666664</c:v>
                </c:pt>
                <c:pt idx="45">
                  <c:v>57.222222222222221</c:v>
                </c:pt>
                <c:pt idx="46">
                  <c:v>58.666666666666664</c:v>
                </c:pt>
                <c:pt idx="47">
                  <c:v>60.111111111111114</c:v>
                </c:pt>
                <c:pt idx="48">
                  <c:v>60.777777777777786</c:v>
                </c:pt>
                <c:pt idx="49">
                  <c:v>61.55555555555555</c:v>
                </c:pt>
                <c:pt idx="50">
                  <c:v>62.777777777777779</c:v>
                </c:pt>
                <c:pt idx="51">
                  <c:v>63.333333333333329</c:v>
                </c:pt>
                <c:pt idx="52">
                  <c:v>63.888888888888886</c:v>
                </c:pt>
                <c:pt idx="53">
                  <c:v>63.777777777777779</c:v>
                </c:pt>
                <c:pt idx="54">
                  <c:v>65</c:v>
                </c:pt>
                <c:pt idx="55">
                  <c:v>63.333333333333329</c:v>
                </c:pt>
              </c:numCache>
            </c:numRef>
          </c:val>
          <c:smooth val="0"/>
          <c:extLst>
            <c:ext xmlns:c16="http://schemas.microsoft.com/office/drawing/2014/chart" uri="{C3380CC4-5D6E-409C-BE32-E72D297353CC}">
              <c16:uniqueId val="{00000000-912B-45A7-8071-328C3B598E99}"/>
            </c:ext>
          </c:extLst>
        </c:ser>
        <c:ser>
          <c:idx val="1"/>
          <c:order val="1"/>
          <c:tx>
            <c:strRef>
              <c:f>'Mechelen (HX)'!$I$1</c:f>
              <c:strCache>
                <c:ptCount val="1"/>
                <c:pt idx="0">
                  <c:v>Forecast (%)</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numRef>
              <c:f>'Mechelen (HX)'!$C$2:$C$105</c:f>
              <c:numCache>
                <c:formatCode>mmm\-yy</c:formatCode>
                <c:ptCount val="10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pt idx="35">
                  <c:v>45627</c:v>
                </c:pt>
                <c:pt idx="36">
                  <c:v>45658</c:v>
                </c:pt>
                <c:pt idx="37">
                  <c:v>45689</c:v>
                </c:pt>
                <c:pt idx="38">
                  <c:v>45717</c:v>
                </c:pt>
                <c:pt idx="39">
                  <c:v>45748</c:v>
                </c:pt>
                <c:pt idx="40">
                  <c:v>45778</c:v>
                </c:pt>
                <c:pt idx="41">
                  <c:v>45809</c:v>
                </c:pt>
                <c:pt idx="42">
                  <c:v>45839</c:v>
                </c:pt>
                <c:pt idx="43">
                  <c:v>45870</c:v>
                </c:pt>
                <c:pt idx="44">
                  <c:v>45901</c:v>
                </c:pt>
                <c:pt idx="45">
                  <c:v>45931</c:v>
                </c:pt>
                <c:pt idx="46">
                  <c:v>45962</c:v>
                </c:pt>
                <c:pt idx="47">
                  <c:v>45992</c:v>
                </c:pt>
                <c:pt idx="48">
                  <c:v>46023</c:v>
                </c:pt>
                <c:pt idx="49">
                  <c:v>46054</c:v>
                </c:pt>
                <c:pt idx="50">
                  <c:v>46082</c:v>
                </c:pt>
                <c:pt idx="51">
                  <c:v>46113</c:v>
                </c:pt>
                <c:pt idx="52">
                  <c:v>46143</c:v>
                </c:pt>
                <c:pt idx="53">
                  <c:v>46174</c:v>
                </c:pt>
                <c:pt idx="54">
                  <c:v>46204</c:v>
                </c:pt>
                <c:pt idx="55">
                  <c:v>46235</c:v>
                </c:pt>
                <c:pt idx="56">
                  <c:v>46266</c:v>
                </c:pt>
                <c:pt idx="57">
                  <c:v>46296</c:v>
                </c:pt>
                <c:pt idx="58">
                  <c:v>46327</c:v>
                </c:pt>
                <c:pt idx="59">
                  <c:v>46357</c:v>
                </c:pt>
                <c:pt idx="60">
                  <c:v>46388</c:v>
                </c:pt>
                <c:pt idx="61">
                  <c:v>46419</c:v>
                </c:pt>
                <c:pt idx="62">
                  <c:v>46447</c:v>
                </c:pt>
                <c:pt idx="63">
                  <c:v>46478</c:v>
                </c:pt>
                <c:pt idx="64">
                  <c:v>46508</c:v>
                </c:pt>
                <c:pt idx="65">
                  <c:v>46539</c:v>
                </c:pt>
                <c:pt idx="66">
                  <c:v>46569</c:v>
                </c:pt>
                <c:pt idx="67">
                  <c:v>46600</c:v>
                </c:pt>
                <c:pt idx="68">
                  <c:v>46631</c:v>
                </c:pt>
                <c:pt idx="69">
                  <c:v>46661</c:v>
                </c:pt>
                <c:pt idx="70">
                  <c:v>46692</c:v>
                </c:pt>
                <c:pt idx="71">
                  <c:v>46722</c:v>
                </c:pt>
                <c:pt idx="72">
                  <c:v>46753</c:v>
                </c:pt>
                <c:pt idx="73">
                  <c:v>46784</c:v>
                </c:pt>
                <c:pt idx="74">
                  <c:v>46813</c:v>
                </c:pt>
                <c:pt idx="75">
                  <c:v>46844</c:v>
                </c:pt>
                <c:pt idx="76">
                  <c:v>46874</c:v>
                </c:pt>
                <c:pt idx="77">
                  <c:v>46905</c:v>
                </c:pt>
                <c:pt idx="78">
                  <c:v>46935</c:v>
                </c:pt>
                <c:pt idx="79">
                  <c:v>46966</c:v>
                </c:pt>
                <c:pt idx="80">
                  <c:v>46997</c:v>
                </c:pt>
                <c:pt idx="81">
                  <c:v>47027</c:v>
                </c:pt>
                <c:pt idx="82">
                  <c:v>47058</c:v>
                </c:pt>
                <c:pt idx="83">
                  <c:v>47088</c:v>
                </c:pt>
                <c:pt idx="84">
                  <c:v>47119</c:v>
                </c:pt>
                <c:pt idx="85">
                  <c:v>47150</c:v>
                </c:pt>
                <c:pt idx="86">
                  <c:v>47178</c:v>
                </c:pt>
                <c:pt idx="87">
                  <c:v>47209</c:v>
                </c:pt>
                <c:pt idx="88">
                  <c:v>47239</c:v>
                </c:pt>
                <c:pt idx="89">
                  <c:v>47270</c:v>
                </c:pt>
                <c:pt idx="90">
                  <c:v>47300</c:v>
                </c:pt>
                <c:pt idx="91">
                  <c:v>47331</c:v>
                </c:pt>
                <c:pt idx="92">
                  <c:v>47362</c:v>
                </c:pt>
                <c:pt idx="93">
                  <c:v>47392</c:v>
                </c:pt>
                <c:pt idx="94">
                  <c:v>47423</c:v>
                </c:pt>
                <c:pt idx="95">
                  <c:v>47453</c:v>
                </c:pt>
                <c:pt idx="96">
                  <c:v>47484</c:v>
                </c:pt>
                <c:pt idx="97">
                  <c:v>47515</c:v>
                </c:pt>
                <c:pt idx="98">
                  <c:v>47543</c:v>
                </c:pt>
                <c:pt idx="99">
                  <c:v>47574</c:v>
                </c:pt>
                <c:pt idx="100">
                  <c:v>47604</c:v>
                </c:pt>
                <c:pt idx="101">
                  <c:v>47635</c:v>
                </c:pt>
                <c:pt idx="102">
                  <c:v>47665</c:v>
                </c:pt>
                <c:pt idx="103">
                  <c:v>47696</c:v>
                </c:pt>
              </c:numCache>
            </c:numRef>
          </c:cat>
          <c:val>
            <c:numRef>
              <c:f>'Mechelen (HX)'!$I$2:$I$105</c:f>
              <c:numCache>
                <c:formatCode>0.0</c:formatCode>
                <c:ptCount val="104"/>
                <c:pt idx="55">
                  <c:v>63.333333333333329</c:v>
                </c:pt>
                <c:pt idx="56">
                  <c:v>63.740821906966886</c:v>
                </c:pt>
                <c:pt idx="57">
                  <c:v>64.15093227435267</c:v>
                </c:pt>
                <c:pt idx="58">
                  <c:v>64.563681304190652</c:v>
                </c:pt>
                <c:pt idx="59">
                  <c:v>64.979085973714476</c:v>
                </c:pt>
                <c:pt idx="60">
                  <c:v>65.397163369389872</c:v>
                </c:pt>
                <c:pt idx="61">
                  <c:v>65.817930687617334</c:v>
                </c:pt>
                <c:pt idx="62">
                  <c:v>66.241405235439572</c:v>
                </c:pt>
                <c:pt idx="63">
                  <c:v>66.667604431253338</c:v>
                </c:pt>
                <c:pt idx="64">
                  <c:v>67.096545805525821</c:v>
                </c:pt>
                <c:pt idx="65">
                  <c:v>67.528247001515808</c:v>
                </c:pt>
                <c:pt idx="66">
                  <c:v>67.962725775999303</c:v>
                </c:pt>
                <c:pt idx="67">
                  <c:v>68.399999999999977</c:v>
                </c:pt>
                <c:pt idx="68">
                  <c:v>68.840087659524215</c:v>
                </c:pt>
                <c:pt idx="69">
                  <c:v>69.283006856300872</c:v>
                </c:pt>
                <c:pt idx="70">
                  <c:v>69.728775808525896</c:v>
                </c:pt>
                <c:pt idx="71">
                  <c:v>70.177412851611621</c:v>
                </c:pt>
                <c:pt idx="72">
                  <c:v>70.628936438941039</c:v>
                </c:pt>
                <c:pt idx="73">
                  <c:v>71.083365142626704</c:v>
                </c:pt>
                <c:pt idx="74">
                  <c:v>71.540717654274729</c:v>
                </c:pt>
                <c:pt idx="75">
                  <c:v>72.001012785753588</c:v>
                </c:pt>
                <c:pt idx="76">
                  <c:v>72.464269469967874</c:v>
                </c:pt>
                <c:pt idx="77">
                  <c:v>72.930506761637048</c:v>
                </c:pt>
                <c:pt idx="78">
                  <c:v>73.399743838079218</c:v>
                </c:pt>
                <c:pt idx="79">
                  <c:v>73.871999999999957</c:v>
                </c:pt>
                <c:pt idx="80">
                  <c:v>74.347294672286139</c:v>
                </c:pt>
                <c:pt idx="81">
                  <c:v>74.825647404804911</c:v>
                </c:pt>
                <c:pt idx="82">
                  <c:v>75.30707787320793</c:v>
                </c:pt>
                <c:pt idx="83">
                  <c:v>75.791605879740516</c:v>
                </c:pt>
                <c:pt idx="84">
                  <c:v>76.279251354056271</c:v>
                </c:pt>
                <c:pt idx="85">
                  <c:v>76.770034354036795</c:v>
                </c:pt>
                <c:pt idx="86">
                  <c:v>77.263975066616666</c:v>
                </c:pt>
                <c:pt idx="87">
                  <c:v>77.761093808613836</c:v>
                </c:pt>
                <c:pt idx="88">
                  <c:v>78.261411027565259</c:v>
                </c:pt>
                <c:pt idx="89">
                  <c:v>78.764947302567975</c:v>
                </c:pt>
                <c:pt idx="90">
                  <c:v>79.271723345125523</c:v>
                </c:pt>
                <c:pt idx="91">
                  <c:v>79.78175999999992</c:v>
                </c:pt>
                <c:pt idx="92">
                  <c:v>80.295078246068982</c:v>
                </c:pt>
                <c:pt idx="93">
                  <c:v>80.811699197189284</c:v>
                </c:pt>
                <c:pt idx="94">
                  <c:v>81.331644103064534</c:v>
                </c:pt>
                <c:pt idx="95">
                  <c:v>81.854934350119748</c:v>
                </c:pt>
                <c:pt idx="96">
                  <c:v>82.381591462380769</c:v>
                </c:pt>
                <c:pt idx="97">
                  <c:v>82.91163710235972</c:v>
                </c:pt>
                <c:pt idx="98">
                  <c:v>83.44509307194599</c:v>
                </c:pt>
                <c:pt idx="99">
                  <c:v>83.981981313302924</c:v>
                </c:pt>
                <c:pt idx="100">
                  <c:v>84.522323909770464</c:v>
                </c:pt>
                <c:pt idx="101">
                  <c:v>85.066143086773394</c:v>
                </c:pt>
                <c:pt idx="102">
                  <c:v>85.613461212735558</c:v>
                </c:pt>
                <c:pt idx="103">
                  <c:v>86.164300799999921</c:v>
                </c:pt>
              </c:numCache>
            </c:numRef>
          </c:val>
          <c:smooth val="0"/>
          <c:extLst>
            <c:ext xmlns:c16="http://schemas.microsoft.com/office/drawing/2014/chart" uri="{C3380CC4-5D6E-409C-BE32-E72D297353CC}">
              <c16:uniqueId val="{00000001-912B-45A7-8071-328C3B598E99}"/>
            </c:ext>
          </c:extLst>
        </c:ser>
        <c:ser>
          <c:idx val="2"/>
          <c:order val="2"/>
          <c:tx>
            <c:strRef>
              <c:f>'Mechelen (HX)'!$J$1</c:f>
              <c:strCache>
                <c:ptCount val="1"/>
                <c:pt idx="0">
                  <c:v>Max %</c:v>
                </c:pt>
              </c:strCache>
            </c:strRef>
          </c:tx>
          <c:spPr>
            <a:ln w="22225" cap="rnd">
              <a:solidFill>
                <a:schemeClr val="accent3"/>
              </a:solidFill>
            </a:ln>
            <a:effectLst>
              <a:glow rad="139700">
                <a:schemeClr val="accent3">
                  <a:satMod val="175000"/>
                  <a:alpha val="14000"/>
                </a:schemeClr>
              </a:glow>
            </a:effectLst>
          </c:spPr>
          <c:marker>
            <c:symbol val="none"/>
          </c:marker>
          <c:cat>
            <c:numRef>
              <c:f>'Mechelen (HX)'!$C$2:$C$105</c:f>
              <c:numCache>
                <c:formatCode>mmm\-yy</c:formatCode>
                <c:ptCount val="10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pt idx="35">
                  <c:v>45627</c:v>
                </c:pt>
                <c:pt idx="36">
                  <c:v>45658</c:v>
                </c:pt>
                <c:pt idx="37">
                  <c:v>45689</c:v>
                </c:pt>
                <c:pt idx="38">
                  <c:v>45717</c:v>
                </c:pt>
                <c:pt idx="39">
                  <c:v>45748</c:v>
                </c:pt>
                <c:pt idx="40">
                  <c:v>45778</c:v>
                </c:pt>
                <c:pt idx="41">
                  <c:v>45809</c:v>
                </c:pt>
                <c:pt idx="42">
                  <c:v>45839</c:v>
                </c:pt>
                <c:pt idx="43">
                  <c:v>45870</c:v>
                </c:pt>
                <c:pt idx="44">
                  <c:v>45901</c:v>
                </c:pt>
                <c:pt idx="45">
                  <c:v>45931</c:v>
                </c:pt>
                <c:pt idx="46">
                  <c:v>45962</c:v>
                </c:pt>
                <c:pt idx="47">
                  <c:v>45992</c:v>
                </c:pt>
                <c:pt idx="48">
                  <c:v>46023</c:v>
                </c:pt>
                <c:pt idx="49">
                  <c:v>46054</c:v>
                </c:pt>
                <c:pt idx="50">
                  <c:v>46082</c:v>
                </c:pt>
                <c:pt idx="51">
                  <c:v>46113</c:v>
                </c:pt>
                <c:pt idx="52">
                  <c:v>46143</c:v>
                </c:pt>
                <c:pt idx="53">
                  <c:v>46174</c:v>
                </c:pt>
                <c:pt idx="54">
                  <c:v>46204</c:v>
                </c:pt>
                <c:pt idx="55">
                  <c:v>46235</c:v>
                </c:pt>
                <c:pt idx="56">
                  <c:v>46266</c:v>
                </c:pt>
                <c:pt idx="57">
                  <c:v>46296</c:v>
                </c:pt>
                <c:pt idx="58">
                  <c:v>46327</c:v>
                </c:pt>
                <c:pt idx="59">
                  <c:v>46357</c:v>
                </c:pt>
                <c:pt idx="60">
                  <c:v>46388</c:v>
                </c:pt>
                <c:pt idx="61">
                  <c:v>46419</c:v>
                </c:pt>
                <c:pt idx="62">
                  <c:v>46447</c:v>
                </c:pt>
                <c:pt idx="63">
                  <c:v>46478</c:v>
                </c:pt>
                <c:pt idx="64">
                  <c:v>46508</c:v>
                </c:pt>
                <c:pt idx="65">
                  <c:v>46539</c:v>
                </c:pt>
                <c:pt idx="66">
                  <c:v>46569</c:v>
                </c:pt>
                <c:pt idx="67">
                  <c:v>46600</c:v>
                </c:pt>
                <c:pt idx="68">
                  <c:v>46631</c:v>
                </c:pt>
                <c:pt idx="69">
                  <c:v>46661</c:v>
                </c:pt>
                <c:pt idx="70">
                  <c:v>46692</c:v>
                </c:pt>
                <c:pt idx="71">
                  <c:v>46722</c:v>
                </c:pt>
                <c:pt idx="72">
                  <c:v>46753</c:v>
                </c:pt>
                <c:pt idx="73">
                  <c:v>46784</c:v>
                </c:pt>
                <c:pt idx="74">
                  <c:v>46813</c:v>
                </c:pt>
                <c:pt idx="75">
                  <c:v>46844</c:v>
                </c:pt>
                <c:pt idx="76">
                  <c:v>46874</c:v>
                </c:pt>
                <c:pt idx="77">
                  <c:v>46905</c:v>
                </c:pt>
                <c:pt idx="78">
                  <c:v>46935</c:v>
                </c:pt>
                <c:pt idx="79">
                  <c:v>46966</c:v>
                </c:pt>
                <c:pt idx="80">
                  <c:v>46997</c:v>
                </c:pt>
                <c:pt idx="81">
                  <c:v>47027</c:v>
                </c:pt>
                <c:pt idx="82">
                  <c:v>47058</c:v>
                </c:pt>
                <c:pt idx="83">
                  <c:v>47088</c:v>
                </c:pt>
                <c:pt idx="84">
                  <c:v>47119</c:v>
                </c:pt>
                <c:pt idx="85">
                  <c:v>47150</c:v>
                </c:pt>
                <c:pt idx="86">
                  <c:v>47178</c:v>
                </c:pt>
                <c:pt idx="87">
                  <c:v>47209</c:v>
                </c:pt>
                <c:pt idx="88">
                  <c:v>47239</c:v>
                </c:pt>
                <c:pt idx="89">
                  <c:v>47270</c:v>
                </c:pt>
                <c:pt idx="90">
                  <c:v>47300</c:v>
                </c:pt>
                <c:pt idx="91">
                  <c:v>47331</c:v>
                </c:pt>
                <c:pt idx="92">
                  <c:v>47362</c:v>
                </c:pt>
                <c:pt idx="93">
                  <c:v>47392</c:v>
                </c:pt>
                <c:pt idx="94">
                  <c:v>47423</c:v>
                </c:pt>
                <c:pt idx="95">
                  <c:v>47453</c:v>
                </c:pt>
                <c:pt idx="96">
                  <c:v>47484</c:v>
                </c:pt>
                <c:pt idx="97">
                  <c:v>47515</c:v>
                </c:pt>
                <c:pt idx="98">
                  <c:v>47543</c:v>
                </c:pt>
                <c:pt idx="99">
                  <c:v>47574</c:v>
                </c:pt>
                <c:pt idx="100">
                  <c:v>47604</c:v>
                </c:pt>
                <c:pt idx="101">
                  <c:v>47635</c:v>
                </c:pt>
                <c:pt idx="102">
                  <c:v>47665</c:v>
                </c:pt>
                <c:pt idx="103">
                  <c:v>47696</c:v>
                </c:pt>
              </c:numCache>
            </c:numRef>
          </c:cat>
          <c:val>
            <c:numRef>
              <c:f>'Mechelen (HX)'!$J$2:$J$105</c:f>
              <c:numCache>
                <c:formatCode>General</c:formatCode>
                <c:ptCount val="104"/>
                <c:pt idx="0">
                  <c:v>75</c:v>
                </c:pt>
                <c:pt idx="1">
                  <c:v>75</c:v>
                </c:pt>
                <c:pt idx="2">
                  <c:v>75</c:v>
                </c:pt>
                <c:pt idx="3">
                  <c:v>75</c:v>
                </c:pt>
                <c:pt idx="4">
                  <c:v>75</c:v>
                </c:pt>
                <c:pt idx="5">
                  <c:v>75</c:v>
                </c:pt>
                <c:pt idx="6">
                  <c:v>75</c:v>
                </c:pt>
                <c:pt idx="7">
                  <c:v>75</c:v>
                </c:pt>
                <c:pt idx="8">
                  <c:v>75</c:v>
                </c:pt>
                <c:pt idx="9">
                  <c:v>75</c:v>
                </c:pt>
                <c:pt idx="10">
                  <c:v>75</c:v>
                </c:pt>
                <c:pt idx="11">
                  <c:v>75</c:v>
                </c:pt>
                <c:pt idx="12">
                  <c:v>75</c:v>
                </c:pt>
                <c:pt idx="13">
                  <c:v>75</c:v>
                </c:pt>
                <c:pt idx="14">
                  <c:v>75</c:v>
                </c:pt>
                <c:pt idx="15">
                  <c:v>75</c:v>
                </c:pt>
                <c:pt idx="16">
                  <c:v>75</c:v>
                </c:pt>
                <c:pt idx="17">
                  <c:v>75</c:v>
                </c:pt>
                <c:pt idx="18">
                  <c:v>75</c:v>
                </c:pt>
                <c:pt idx="19">
                  <c:v>75</c:v>
                </c:pt>
                <c:pt idx="20">
                  <c:v>75</c:v>
                </c:pt>
                <c:pt idx="21">
                  <c:v>75</c:v>
                </c:pt>
                <c:pt idx="22">
                  <c:v>75</c:v>
                </c:pt>
                <c:pt idx="23">
                  <c:v>75</c:v>
                </c:pt>
                <c:pt idx="24">
                  <c:v>75</c:v>
                </c:pt>
                <c:pt idx="25">
                  <c:v>75</c:v>
                </c:pt>
                <c:pt idx="26">
                  <c:v>75</c:v>
                </c:pt>
                <c:pt idx="27">
                  <c:v>75</c:v>
                </c:pt>
                <c:pt idx="28">
                  <c:v>75</c:v>
                </c:pt>
                <c:pt idx="29">
                  <c:v>75</c:v>
                </c:pt>
                <c:pt idx="30">
                  <c:v>75</c:v>
                </c:pt>
                <c:pt idx="31">
                  <c:v>75</c:v>
                </c:pt>
                <c:pt idx="32">
                  <c:v>75</c:v>
                </c:pt>
                <c:pt idx="33">
                  <c:v>75</c:v>
                </c:pt>
                <c:pt idx="34">
                  <c:v>75</c:v>
                </c:pt>
                <c:pt idx="35">
                  <c:v>75</c:v>
                </c:pt>
                <c:pt idx="36">
                  <c:v>75</c:v>
                </c:pt>
                <c:pt idx="37">
                  <c:v>75</c:v>
                </c:pt>
                <c:pt idx="38">
                  <c:v>75</c:v>
                </c:pt>
                <c:pt idx="39">
                  <c:v>75</c:v>
                </c:pt>
                <c:pt idx="40">
                  <c:v>75</c:v>
                </c:pt>
                <c:pt idx="41">
                  <c:v>75</c:v>
                </c:pt>
                <c:pt idx="42">
                  <c:v>75</c:v>
                </c:pt>
                <c:pt idx="43">
                  <c:v>75</c:v>
                </c:pt>
                <c:pt idx="44">
                  <c:v>75</c:v>
                </c:pt>
                <c:pt idx="45">
                  <c:v>75</c:v>
                </c:pt>
                <c:pt idx="46">
                  <c:v>75</c:v>
                </c:pt>
                <c:pt idx="47">
                  <c:v>75</c:v>
                </c:pt>
                <c:pt idx="48">
                  <c:v>75</c:v>
                </c:pt>
                <c:pt idx="49">
                  <c:v>75</c:v>
                </c:pt>
                <c:pt idx="50">
                  <c:v>75</c:v>
                </c:pt>
                <c:pt idx="51">
                  <c:v>75</c:v>
                </c:pt>
                <c:pt idx="52">
                  <c:v>75</c:v>
                </c:pt>
                <c:pt idx="53">
                  <c:v>75</c:v>
                </c:pt>
                <c:pt idx="54">
                  <c:v>75</c:v>
                </c:pt>
                <c:pt idx="55">
                  <c:v>75</c:v>
                </c:pt>
                <c:pt idx="56">
                  <c:v>75</c:v>
                </c:pt>
                <c:pt idx="57">
                  <c:v>75</c:v>
                </c:pt>
                <c:pt idx="58">
                  <c:v>75</c:v>
                </c:pt>
                <c:pt idx="59">
                  <c:v>75</c:v>
                </c:pt>
                <c:pt idx="60">
                  <c:v>75</c:v>
                </c:pt>
                <c:pt idx="61">
                  <c:v>75</c:v>
                </c:pt>
                <c:pt idx="62">
                  <c:v>75</c:v>
                </c:pt>
                <c:pt idx="63">
                  <c:v>75</c:v>
                </c:pt>
                <c:pt idx="64">
                  <c:v>75</c:v>
                </c:pt>
                <c:pt idx="65">
                  <c:v>75</c:v>
                </c:pt>
                <c:pt idx="66">
                  <c:v>75</c:v>
                </c:pt>
                <c:pt idx="67">
                  <c:v>75</c:v>
                </c:pt>
                <c:pt idx="68">
                  <c:v>75</c:v>
                </c:pt>
                <c:pt idx="69">
                  <c:v>75</c:v>
                </c:pt>
                <c:pt idx="70">
                  <c:v>75</c:v>
                </c:pt>
                <c:pt idx="71">
                  <c:v>75</c:v>
                </c:pt>
                <c:pt idx="72">
                  <c:v>75</c:v>
                </c:pt>
                <c:pt idx="73">
                  <c:v>75</c:v>
                </c:pt>
                <c:pt idx="74">
                  <c:v>75</c:v>
                </c:pt>
                <c:pt idx="75">
                  <c:v>75</c:v>
                </c:pt>
                <c:pt idx="76">
                  <c:v>75</c:v>
                </c:pt>
                <c:pt idx="77">
                  <c:v>75</c:v>
                </c:pt>
                <c:pt idx="78">
                  <c:v>75</c:v>
                </c:pt>
                <c:pt idx="79">
                  <c:v>75</c:v>
                </c:pt>
                <c:pt idx="80">
                  <c:v>75</c:v>
                </c:pt>
                <c:pt idx="81">
                  <c:v>75</c:v>
                </c:pt>
                <c:pt idx="82">
                  <c:v>75</c:v>
                </c:pt>
                <c:pt idx="83">
                  <c:v>75</c:v>
                </c:pt>
                <c:pt idx="84">
                  <c:v>75</c:v>
                </c:pt>
                <c:pt idx="85">
                  <c:v>75</c:v>
                </c:pt>
                <c:pt idx="86">
                  <c:v>75</c:v>
                </c:pt>
                <c:pt idx="87">
                  <c:v>75</c:v>
                </c:pt>
                <c:pt idx="88">
                  <c:v>75</c:v>
                </c:pt>
                <c:pt idx="89">
                  <c:v>75</c:v>
                </c:pt>
                <c:pt idx="90">
                  <c:v>75</c:v>
                </c:pt>
                <c:pt idx="91">
                  <c:v>75</c:v>
                </c:pt>
                <c:pt idx="92">
                  <c:v>75</c:v>
                </c:pt>
                <c:pt idx="93">
                  <c:v>75</c:v>
                </c:pt>
                <c:pt idx="94">
                  <c:v>75</c:v>
                </c:pt>
                <c:pt idx="95">
                  <c:v>75</c:v>
                </c:pt>
                <c:pt idx="96">
                  <c:v>75</c:v>
                </c:pt>
                <c:pt idx="97">
                  <c:v>75</c:v>
                </c:pt>
                <c:pt idx="98">
                  <c:v>75</c:v>
                </c:pt>
                <c:pt idx="99">
                  <c:v>75</c:v>
                </c:pt>
                <c:pt idx="100">
                  <c:v>75</c:v>
                </c:pt>
                <c:pt idx="101">
                  <c:v>75</c:v>
                </c:pt>
                <c:pt idx="102">
                  <c:v>75</c:v>
                </c:pt>
                <c:pt idx="103">
                  <c:v>75</c:v>
                </c:pt>
              </c:numCache>
            </c:numRef>
          </c:val>
          <c:smooth val="0"/>
          <c:extLst>
            <c:ext xmlns:c16="http://schemas.microsoft.com/office/drawing/2014/chart" uri="{C3380CC4-5D6E-409C-BE32-E72D297353CC}">
              <c16:uniqueId val="{00000002-912B-45A7-8071-328C3B598E99}"/>
            </c:ext>
          </c:extLst>
        </c:ser>
        <c:dLbls>
          <c:showLegendKey val="0"/>
          <c:showVal val="0"/>
          <c:showCatName val="0"/>
          <c:showSerName val="0"/>
          <c:showPercent val="0"/>
          <c:showBubbleSize val="0"/>
        </c:dLbls>
        <c:marker val="1"/>
        <c:smooth val="0"/>
        <c:axId val="923718064"/>
        <c:axId val="923722640"/>
      </c:lineChart>
      <c:dateAx>
        <c:axId val="92371806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mmm\-yy"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23722640"/>
        <c:crosses val="autoZero"/>
        <c:auto val="1"/>
        <c:lblOffset val="100"/>
        <c:baseTimeUnit val="months"/>
      </c:dateAx>
      <c:valAx>
        <c:axId val="923722640"/>
        <c:scaling>
          <c:orientation val="minMax"/>
          <c:max val="100"/>
          <c:min val="20"/>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2371806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'AUB (HX)'!$H$1</c:f>
              <c:strCache>
                <c:ptCount val="1"/>
                <c:pt idx="0">
                  <c:v>In use (%)</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numRef>
              <c:f>'AUB (HX)'!$C$2:$C$105</c:f>
              <c:numCache>
                <c:formatCode>mmm\-yy</c:formatCode>
                <c:ptCount val="10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pt idx="36">
                  <c:v>46023</c:v>
                </c:pt>
                <c:pt idx="37">
                  <c:v>46054</c:v>
                </c:pt>
                <c:pt idx="38">
                  <c:v>46082</c:v>
                </c:pt>
                <c:pt idx="39">
                  <c:v>46113</c:v>
                </c:pt>
                <c:pt idx="40">
                  <c:v>46143</c:v>
                </c:pt>
                <c:pt idx="41">
                  <c:v>46174</c:v>
                </c:pt>
                <c:pt idx="42">
                  <c:v>46204</c:v>
                </c:pt>
                <c:pt idx="43">
                  <c:v>46235</c:v>
                </c:pt>
                <c:pt idx="44">
                  <c:v>46266</c:v>
                </c:pt>
                <c:pt idx="45">
                  <c:v>46296</c:v>
                </c:pt>
                <c:pt idx="46">
                  <c:v>46327</c:v>
                </c:pt>
                <c:pt idx="47">
                  <c:v>46357</c:v>
                </c:pt>
                <c:pt idx="48">
                  <c:v>46388</c:v>
                </c:pt>
                <c:pt idx="49">
                  <c:v>46419</c:v>
                </c:pt>
                <c:pt idx="50">
                  <c:v>46447</c:v>
                </c:pt>
                <c:pt idx="51">
                  <c:v>46478</c:v>
                </c:pt>
                <c:pt idx="52">
                  <c:v>46508</c:v>
                </c:pt>
                <c:pt idx="53">
                  <c:v>46539</c:v>
                </c:pt>
                <c:pt idx="54">
                  <c:v>46569</c:v>
                </c:pt>
                <c:pt idx="55">
                  <c:v>46600</c:v>
                </c:pt>
                <c:pt idx="56">
                  <c:v>46631</c:v>
                </c:pt>
                <c:pt idx="57">
                  <c:v>46661</c:v>
                </c:pt>
                <c:pt idx="58">
                  <c:v>46692</c:v>
                </c:pt>
                <c:pt idx="59">
                  <c:v>46722</c:v>
                </c:pt>
                <c:pt idx="60">
                  <c:v>46753</c:v>
                </c:pt>
                <c:pt idx="61">
                  <c:v>46784</c:v>
                </c:pt>
                <c:pt idx="62">
                  <c:v>46813</c:v>
                </c:pt>
                <c:pt idx="63">
                  <c:v>46844</c:v>
                </c:pt>
                <c:pt idx="64">
                  <c:v>46874</c:v>
                </c:pt>
                <c:pt idx="65">
                  <c:v>46905</c:v>
                </c:pt>
                <c:pt idx="66">
                  <c:v>46935</c:v>
                </c:pt>
                <c:pt idx="67">
                  <c:v>46966</c:v>
                </c:pt>
                <c:pt idx="68">
                  <c:v>46997</c:v>
                </c:pt>
                <c:pt idx="69">
                  <c:v>47027</c:v>
                </c:pt>
                <c:pt idx="70">
                  <c:v>47058</c:v>
                </c:pt>
                <c:pt idx="71">
                  <c:v>47088</c:v>
                </c:pt>
                <c:pt idx="72">
                  <c:v>47119</c:v>
                </c:pt>
                <c:pt idx="73">
                  <c:v>47150</c:v>
                </c:pt>
                <c:pt idx="74">
                  <c:v>47178</c:v>
                </c:pt>
                <c:pt idx="75">
                  <c:v>47209</c:v>
                </c:pt>
                <c:pt idx="76">
                  <c:v>47239</c:v>
                </c:pt>
                <c:pt idx="77">
                  <c:v>47270</c:v>
                </c:pt>
                <c:pt idx="78">
                  <c:v>47300</c:v>
                </c:pt>
                <c:pt idx="79">
                  <c:v>47331</c:v>
                </c:pt>
                <c:pt idx="80">
                  <c:v>47362</c:v>
                </c:pt>
                <c:pt idx="81">
                  <c:v>47392</c:v>
                </c:pt>
                <c:pt idx="82">
                  <c:v>47423</c:v>
                </c:pt>
                <c:pt idx="83">
                  <c:v>47453</c:v>
                </c:pt>
                <c:pt idx="84">
                  <c:v>47484</c:v>
                </c:pt>
                <c:pt idx="85">
                  <c:v>47515</c:v>
                </c:pt>
                <c:pt idx="86">
                  <c:v>47543</c:v>
                </c:pt>
                <c:pt idx="87">
                  <c:v>47574</c:v>
                </c:pt>
                <c:pt idx="88">
                  <c:v>47604</c:v>
                </c:pt>
                <c:pt idx="89">
                  <c:v>47635</c:v>
                </c:pt>
                <c:pt idx="90">
                  <c:v>47665</c:v>
                </c:pt>
                <c:pt idx="91">
                  <c:v>47696</c:v>
                </c:pt>
                <c:pt idx="92">
                  <c:v>47727</c:v>
                </c:pt>
                <c:pt idx="93">
                  <c:v>47757</c:v>
                </c:pt>
                <c:pt idx="94">
                  <c:v>47788</c:v>
                </c:pt>
                <c:pt idx="95">
                  <c:v>47818</c:v>
                </c:pt>
              </c:numCache>
            </c:numRef>
          </c:cat>
          <c:val>
            <c:numRef>
              <c:f>'AUB (HX)'!$H$2:$H$95</c:f>
              <c:numCache>
                <c:formatCode>0.0</c:formatCode>
                <c:ptCount val="94"/>
                <c:pt idx="0">
                  <c:v>34.666666666666671</c:v>
                </c:pt>
                <c:pt idx="1">
                  <c:v>36</c:v>
                </c:pt>
                <c:pt idx="2">
                  <c:v>39.333333333333329</c:v>
                </c:pt>
                <c:pt idx="3">
                  <c:v>39.333333333333329</c:v>
                </c:pt>
                <c:pt idx="4">
                  <c:v>43.555555555555557</c:v>
                </c:pt>
                <c:pt idx="5">
                  <c:v>42.888888888888893</c:v>
                </c:pt>
                <c:pt idx="6">
                  <c:v>44.222222222222221</c:v>
                </c:pt>
                <c:pt idx="7">
                  <c:v>44.888888888888886</c:v>
                </c:pt>
                <c:pt idx="8">
                  <c:v>44.888888888888886</c:v>
                </c:pt>
                <c:pt idx="9">
                  <c:v>45.111111111111114</c:v>
                </c:pt>
                <c:pt idx="10">
                  <c:v>45.111111111111114</c:v>
                </c:pt>
                <c:pt idx="11">
                  <c:v>45.777777777777779</c:v>
                </c:pt>
                <c:pt idx="12">
                  <c:v>32.888888888888893</c:v>
                </c:pt>
                <c:pt idx="13">
                  <c:v>34</c:v>
                </c:pt>
                <c:pt idx="14">
                  <c:v>34</c:v>
                </c:pt>
                <c:pt idx="15">
                  <c:v>35.777777777777779</c:v>
                </c:pt>
                <c:pt idx="16">
                  <c:v>34.888888888888886</c:v>
                </c:pt>
                <c:pt idx="17">
                  <c:v>35.333333333333336</c:v>
                </c:pt>
                <c:pt idx="18">
                  <c:v>35.555555555555557</c:v>
                </c:pt>
                <c:pt idx="19">
                  <c:v>38.44444444444445</c:v>
                </c:pt>
                <c:pt idx="20">
                  <c:v>34.222222222222221</c:v>
                </c:pt>
                <c:pt idx="21">
                  <c:v>34.222222222222221</c:v>
                </c:pt>
                <c:pt idx="22">
                  <c:v>36.888888888888893</c:v>
                </c:pt>
                <c:pt idx="23">
                  <c:v>34.222222222222221</c:v>
                </c:pt>
                <c:pt idx="24">
                  <c:v>34.666666666666671</c:v>
                </c:pt>
                <c:pt idx="25">
                  <c:v>35.777777777777779</c:v>
                </c:pt>
                <c:pt idx="26">
                  <c:v>36.666666666666664</c:v>
                </c:pt>
                <c:pt idx="27">
                  <c:v>37.111111111111114</c:v>
                </c:pt>
                <c:pt idx="28">
                  <c:v>37.111111111111114</c:v>
                </c:pt>
                <c:pt idx="29">
                  <c:v>37.333333333333336</c:v>
                </c:pt>
                <c:pt idx="30">
                  <c:v>37.55555555555555</c:v>
                </c:pt>
                <c:pt idx="31">
                  <c:v>37.777777777777779</c:v>
                </c:pt>
                <c:pt idx="32">
                  <c:v>37.777777777777779</c:v>
                </c:pt>
                <c:pt idx="33">
                  <c:v>38.44444444444445</c:v>
                </c:pt>
                <c:pt idx="34">
                  <c:v>38.888888888888893</c:v>
                </c:pt>
                <c:pt idx="35">
                  <c:v>38.888888888888893</c:v>
                </c:pt>
                <c:pt idx="36">
                  <c:v>40.222222222222229</c:v>
                </c:pt>
                <c:pt idx="37">
                  <c:v>43.333333333333336</c:v>
                </c:pt>
                <c:pt idx="38">
                  <c:v>44.666666666666671</c:v>
                </c:pt>
                <c:pt idx="39">
                  <c:v>44.444444444444443</c:v>
                </c:pt>
                <c:pt idx="40">
                  <c:v>45.333333333333329</c:v>
                </c:pt>
                <c:pt idx="41">
                  <c:v>46</c:v>
                </c:pt>
                <c:pt idx="42">
                  <c:v>42.444444444444443</c:v>
                </c:pt>
                <c:pt idx="43">
                  <c:v>44.444444444444443</c:v>
                </c:pt>
              </c:numCache>
            </c:numRef>
          </c:val>
          <c:smooth val="0"/>
          <c:extLst>
            <c:ext xmlns:c16="http://schemas.microsoft.com/office/drawing/2014/chart" uri="{C3380CC4-5D6E-409C-BE32-E72D297353CC}">
              <c16:uniqueId val="{00000000-4435-4E56-B4BD-BDFC72090A2D}"/>
            </c:ext>
          </c:extLst>
        </c:ser>
        <c:ser>
          <c:idx val="1"/>
          <c:order val="1"/>
          <c:tx>
            <c:strRef>
              <c:f>'AUB (HX)'!$I$1</c:f>
              <c:strCache>
                <c:ptCount val="1"/>
                <c:pt idx="0">
                  <c:v>Forecast (%)</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numRef>
              <c:f>'AUB (HX)'!$C$2:$C$105</c:f>
              <c:numCache>
                <c:formatCode>mmm\-yy</c:formatCode>
                <c:ptCount val="10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pt idx="36">
                  <c:v>46023</c:v>
                </c:pt>
                <c:pt idx="37">
                  <c:v>46054</c:v>
                </c:pt>
                <c:pt idx="38">
                  <c:v>46082</c:v>
                </c:pt>
                <c:pt idx="39">
                  <c:v>46113</c:v>
                </c:pt>
                <c:pt idx="40">
                  <c:v>46143</c:v>
                </c:pt>
                <c:pt idx="41">
                  <c:v>46174</c:v>
                </c:pt>
                <c:pt idx="42">
                  <c:v>46204</c:v>
                </c:pt>
                <c:pt idx="43">
                  <c:v>46235</c:v>
                </c:pt>
                <c:pt idx="44">
                  <c:v>46266</c:v>
                </c:pt>
                <c:pt idx="45">
                  <c:v>46296</c:v>
                </c:pt>
                <c:pt idx="46">
                  <c:v>46327</c:v>
                </c:pt>
                <c:pt idx="47">
                  <c:v>46357</c:v>
                </c:pt>
                <c:pt idx="48">
                  <c:v>46388</c:v>
                </c:pt>
                <c:pt idx="49">
                  <c:v>46419</c:v>
                </c:pt>
                <c:pt idx="50">
                  <c:v>46447</c:v>
                </c:pt>
                <c:pt idx="51">
                  <c:v>46478</c:v>
                </c:pt>
                <c:pt idx="52">
                  <c:v>46508</c:v>
                </c:pt>
                <c:pt idx="53">
                  <c:v>46539</c:v>
                </c:pt>
                <c:pt idx="54">
                  <c:v>46569</c:v>
                </c:pt>
                <c:pt idx="55">
                  <c:v>46600</c:v>
                </c:pt>
                <c:pt idx="56">
                  <c:v>46631</c:v>
                </c:pt>
                <c:pt idx="57">
                  <c:v>46661</c:v>
                </c:pt>
                <c:pt idx="58">
                  <c:v>46692</c:v>
                </c:pt>
                <c:pt idx="59">
                  <c:v>46722</c:v>
                </c:pt>
                <c:pt idx="60">
                  <c:v>46753</c:v>
                </c:pt>
                <c:pt idx="61">
                  <c:v>46784</c:v>
                </c:pt>
                <c:pt idx="62">
                  <c:v>46813</c:v>
                </c:pt>
                <c:pt idx="63">
                  <c:v>46844</c:v>
                </c:pt>
                <c:pt idx="64">
                  <c:v>46874</c:v>
                </c:pt>
                <c:pt idx="65">
                  <c:v>46905</c:v>
                </c:pt>
                <c:pt idx="66">
                  <c:v>46935</c:v>
                </c:pt>
                <c:pt idx="67">
                  <c:v>46966</c:v>
                </c:pt>
                <c:pt idx="68">
                  <c:v>46997</c:v>
                </c:pt>
                <c:pt idx="69">
                  <c:v>47027</c:v>
                </c:pt>
                <c:pt idx="70">
                  <c:v>47058</c:v>
                </c:pt>
                <c:pt idx="71">
                  <c:v>47088</c:v>
                </c:pt>
                <c:pt idx="72">
                  <c:v>47119</c:v>
                </c:pt>
                <c:pt idx="73">
                  <c:v>47150</c:v>
                </c:pt>
                <c:pt idx="74">
                  <c:v>47178</c:v>
                </c:pt>
                <c:pt idx="75">
                  <c:v>47209</c:v>
                </c:pt>
                <c:pt idx="76">
                  <c:v>47239</c:v>
                </c:pt>
                <c:pt idx="77">
                  <c:v>47270</c:v>
                </c:pt>
                <c:pt idx="78">
                  <c:v>47300</c:v>
                </c:pt>
                <c:pt idx="79">
                  <c:v>47331</c:v>
                </c:pt>
                <c:pt idx="80">
                  <c:v>47362</c:v>
                </c:pt>
                <c:pt idx="81">
                  <c:v>47392</c:v>
                </c:pt>
                <c:pt idx="82">
                  <c:v>47423</c:v>
                </c:pt>
                <c:pt idx="83">
                  <c:v>47453</c:v>
                </c:pt>
                <c:pt idx="84">
                  <c:v>47484</c:v>
                </c:pt>
                <c:pt idx="85">
                  <c:v>47515</c:v>
                </c:pt>
                <c:pt idx="86">
                  <c:v>47543</c:v>
                </c:pt>
                <c:pt idx="87">
                  <c:v>47574</c:v>
                </c:pt>
                <c:pt idx="88">
                  <c:v>47604</c:v>
                </c:pt>
                <c:pt idx="89">
                  <c:v>47635</c:v>
                </c:pt>
                <c:pt idx="90">
                  <c:v>47665</c:v>
                </c:pt>
                <c:pt idx="91">
                  <c:v>47696</c:v>
                </c:pt>
                <c:pt idx="92">
                  <c:v>47727</c:v>
                </c:pt>
                <c:pt idx="93">
                  <c:v>47757</c:v>
                </c:pt>
                <c:pt idx="94">
                  <c:v>47788</c:v>
                </c:pt>
                <c:pt idx="95">
                  <c:v>47818</c:v>
                </c:pt>
              </c:numCache>
            </c:numRef>
          </c:cat>
          <c:val>
            <c:numRef>
              <c:f>'AUB (HX)'!$I$2:$I$105</c:f>
              <c:numCache>
                <c:formatCode>0.0</c:formatCode>
                <c:ptCount val="104"/>
                <c:pt idx="43">
                  <c:v>44.444444444444443</c:v>
                </c:pt>
                <c:pt idx="44">
                  <c:v>44.730401338222379</c:v>
                </c:pt>
                <c:pt idx="45">
                  <c:v>45.018198087265034</c:v>
                </c:pt>
                <c:pt idx="46">
                  <c:v>45.307846529256601</c:v>
                </c:pt>
                <c:pt idx="47">
                  <c:v>45.599358578045255</c:v>
                </c:pt>
                <c:pt idx="48">
                  <c:v>45.892746224133248</c:v>
                </c:pt>
                <c:pt idx="49">
                  <c:v>46.188021535170066</c:v>
                </c:pt>
                <c:pt idx="50">
                  <c:v>46.485196656448835</c:v>
                </c:pt>
                <c:pt idx="51">
                  <c:v>46.784283811405857</c:v>
                </c:pt>
                <c:pt idx="52">
                  <c:v>47.085295302123392</c:v>
                </c:pt>
                <c:pt idx="53">
                  <c:v>47.388243509835654</c:v>
                </c:pt>
                <c:pt idx="54">
                  <c:v>47.693140895438113</c:v>
                </c:pt>
                <c:pt idx="55">
                  <c:v>47.999999999999993</c:v>
                </c:pt>
                <c:pt idx="56">
                  <c:v>48.308833445280165</c:v>
                </c:pt>
                <c:pt idx="57">
                  <c:v>48.619653934246237</c:v>
                </c:pt>
                <c:pt idx="58">
                  <c:v>48.932474251597121</c:v>
                </c:pt>
                <c:pt idx="59">
                  <c:v>49.247307264288857</c:v>
                </c:pt>
                <c:pt idx="60">
                  <c:v>49.564165922063886</c:v>
                </c:pt>
                <c:pt idx="61">
                  <c:v>49.88306325798365</c:v>
                </c:pt>
                <c:pt idx="62">
                  <c:v>50.204012388964728</c:v>
                </c:pt>
                <c:pt idx="63">
                  <c:v>50.527026516318308</c:v>
                </c:pt>
                <c:pt idx="64">
                  <c:v>50.85211892629323</c:v>
                </c:pt>
                <c:pt idx="65">
                  <c:v>51.179302990622489</c:v>
                </c:pt>
                <c:pt idx="66">
                  <c:v>51.508592167073132</c:v>
                </c:pt>
                <c:pt idx="67">
                  <c:v>51.839999999999961</c:v>
                </c:pt>
                <c:pt idx="68">
                  <c:v>52.173540120902537</c:v>
                </c:pt>
                <c:pt idx="69">
                  <c:v>52.509226248985897</c:v>
                </c:pt>
                <c:pt idx="70">
                  <c:v>52.847072191724862</c:v>
                </c:pt>
                <c:pt idx="71">
                  <c:v>53.187091845431944</c:v>
                </c:pt>
                <c:pt idx="72">
                  <c:v>53.529299195828969</c:v>
                </c:pt>
                <c:pt idx="73">
                  <c:v>53.873708318622313</c:v>
                </c:pt>
                <c:pt idx="74">
                  <c:v>54.220333380081875</c:v>
                </c:pt>
                <c:pt idx="75">
                  <c:v>54.569188637623746</c:v>
                </c:pt>
                <c:pt idx="76">
                  <c:v>54.920288440396682</c:v>
                </c:pt>
                <c:pt idx="77">
                  <c:v>55.273647229872267</c:v>
                </c:pt>
                <c:pt idx="78">
                  <c:v>55.629279540438972</c:v>
                </c:pt>
                <c:pt idx="79">
                  <c:v>55.987199999999959</c:v>
                </c:pt>
                <c:pt idx="80">
                  <c:v>56.347423330574728</c:v>
                </c:pt>
                <c:pt idx="81">
                  <c:v>56.709964348904762</c:v>
                </c:pt>
                <c:pt idx="82">
                  <c:v>57.074837967062841</c:v>
                </c:pt>
                <c:pt idx="83">
                  <c:v>57.442059193066484</c:v>
                </c:pt>
                <c:pt idx="84">
                  <c:v>57.811643131495273</c:v>
                </c:pt>
                <c:pt idx="85">
                  <c:v>58.183604984112094</c:v>
                </c:pt>
                <c:pt idx="86">
                  <c:v>58.557960050488411</c:v>
                </c:pt>
                <c:pt idx="87">
                  <c:v>58.934723728633628</c:v>
                </c:pt>
                <c:pt idx="88">
                  <c:v>59.313911515628391</c:v>
                </c:pt>
                <c:pt idx="89">
                  <c:v>59.695539008262031</c:v>
                </c:pt>
                <c:pt idx="90">
                  <c:v>60.079621903674074</c:v>
                </c:pt>
                <c:pt idx="91">
                  <c:v>60.46617599999994</c:v>
                </c:pt>
                <c:pt idx="92">
                  <c:v>60.855217197020707</c:v>
                </c:pt>
                <c:pt idx="93">
                  <c:v>61.246761496817136</c:v>
                </c:pt>
                <c:pt idx="94">
                  <c:v>61.64082500442786</c:v>
                </c:pt>
                <c:pt idx="95">
                  <c:v>62.037423928511792</c:v>
                </c:pt>
              </c:numCache>
            </c:numRef>
          </c:val>
          <c:smooth val="0"/>
          <c:extLst>
            <c:ext xmlns:c16="http://schemas.microsoft.com/office/drawing/2014/chart" uri="{C3380CC4-5D6E-409C-BE32-E72D297353CC}">
              <c16:uniqueId val="{00000001-4435-4E56-B4BD-BDFC72090A2D}"/>
            </c:ext>
          </c:extLst>
        </c:ser>
        <c:ser>
          <c:idx val="2"/>
          <c:order val="2"/>
          <c:tx>
            <c:strRef>
              <c:f>'AUB (HX)'!$J$1</c:f>
              <c:strCache>
                <c:ptCount val="1"/>
                <c:pt idx="0">
                  <c:v>Max %</c:v>
                </c:pt>
              </c:strCache>
            </c:strRef>
          </c:tx>
          <c:spPr>
            <a:ln w="22225" cap="rnd">
              <a:solidFill>
                <a:schemeClr val="accent3"/>
              </a:solidFill>
            </a:ln>
            <a:effectLst>
              <a:glow rad="139700">
                <a:schemeClr val="accent3">
                  <a:satMod val="175000"/>
                  <a:alpha val="14000"/>
                </a:schemeClr>
              </a:glow>
            </a:effectLst>
          </c:spPr>
          <c:marker>
            <c:symbol val="none"/>
          </c:marker>
          <c:cat>
            <c:numRef>
              <c:f>'AUB (HX)'!$C$2:$C$105</c:f>
              <c:numCache>
                <c:formatCode>mmm\-yy</c:formatCode>
                <c:ptCount val="10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pt idx="36">
                  <c:v>46023</c:v>
                </c:pt>
                <c:pt idx="37">
                  <c:v>46054</c:v>
                </c:pt>
                <c:pt idx="38">
                  <c:v>46082</c:v>
                </c:pt>
                <c:pt idx="39">
                  <c:v>46113</c:v>
                </c:pt>
                <c:pt idx="40">
                  <c:v>46143</c:v>
                </c:pt>
                <c:pt idx="41">
                  <c:v>46174</c:v>
                </c:pt>
                <c:pt idx="42">
                  <c:v>46204</c:v>
                </c:pt>
                <c:pt idx="43">
                  <c:v>46235</c:v>
                </c:pt>
                <c:pt idx="44">
                  <c:v>46266</c:v>
                </c:pt>
                <c:pt idx="45">
                  <c:v>46296</c:v>
                </c:pt>
                <c:pt idx="46">
                  <c:v>46327</c:v>
                </c:pt>
                <c:pt idx="47">
                  <c:v>46357</c:v>
                </c:pt>
                <c:pt idx="48">
                  <c:v>46388</c:v>
                </c:pt>
                <c:pt idx="49">
                  <c:v>46419</c:v>
                </c:pt>
                <c:pt idx="50">
                  <c:v>46447</c:v>
                </c:pt>
                <c:pt idx="51">
                  <c:v>46478</c:v>
                </c:pt>
                <c:pt idx="52">
                  <c:v>46508</c:v>
                </c:pt>
                <c:pt idx="53">
                  <c:v>46539</c:v>
                </c:pt>
                <c:pt idx="54">
                  <c:v>46569</c:v>
                </c:pt>
                <c:pt idx="55">
                  <c:v>46600</c:v>
                </c:pt>
                <c:pt idx="56">
                  <c:v>46631</c:v>
                </c:pt>
                <c:pt idx="57">
                  <c:v>46661</c:v>
                </c:pt>
                <c:pt idx="58">
                  <c:v>46692</c:v>
                </c:pt>
                <c:pt idx="59">
                  <c:v>46722</c:v>
                </c:pt>
                <c:pt idx="60">
                  <c:v>46753</c:v>
                </c:pt>
                <c:pt idx="61">
                  <c:v>46784</c:v>
                </c:pt>
                <c:pt idx="62">
                  <c:v>46813</c:v>
                </c:pt>
                <c:pt idx="63">
                  <c:v>46844</c:v>
                </c:pt>
                <c:pt idx="64">
                  <c:v>46874</c:v>
                </c:pt>
                <c:pt idx="65">
                  <c:v>46905</c:v>
                </c:pt>
                <c:pt idx="66">
                  <c:v>46935</c:v>
                </c:pt>
                <c:pt idx="67">
                  <c:v>46966</c:v>
                </c:pt>
                <c:pt idx="68">
                  <c:v>46997</c:v>
                </c:pt>
                <c:pt idx="69">
                  <c:v>47027</c:v>
                </c:pt>
                <c:pt idx="70">
                  <c:v>47058</c:v>
                </c:pt>
                <c:pt idx="71">
                  <c:v>47088</c:v>
                </c:pt>
                <c:pt idx="72">
                  <c:v>47119</c:v>
                </c:pt>
                <c:pt idx="73">
                  <c:v>47150</c:v>
                </c:pt>
                <c:pt idx="74">
                  <c:v>47178</c:v>
                </c:pt>
                <c:pt idx="75">
                  <c:v>47209</c:v>
                </c:pt>
                <c:pt idx="76">
                  <c:v>47239</c:v>
                </c:pt>
                <c:pt idx="77">
                  <c:v>47270</c:v>
                </c:pt>
                <c:pt idx="78">
                  <c:v>47300</c:v>
                </c:pt>
                <c:pt idx="79">
                  <c:v>47331</c:v>
                </c:pt>
                <c:pt idx="80">
                  <c:v>47362</c:v>
                </c:pt>
                <c:pt idx="81">
                  <c:v>47392</c:v>
                </c:pt>
                <c:pt idx="82">
                  <c:v>47423</c:v>
                </c:pt>
                <c:pt idx="83">
                  <c:v>47453</c:v>
                </c:pt>
                <c:pt idx="84">
                  <c:v>47484</c:v>
                </c:pt>
                <c:pt idx="85">
                  <c:v>47515</c:v>
                </c:pt>
                <c:pt idx="86">
                  <c:v>47543</c:v>
                </c:pt>
                <c:pt idx="87">
                  <c:v>47574</c:v>
                </c:pt>
                <c:pt idx="88">
                  <c:v>47604</c:v>
                </c:pt>
                <c:pt idx="89">
                  <c:v>47635</c:v>
                </c:pt>
                <c:pt idx="90">
                  <c:v>47665</c:v>
                </c:pt>
                <c:pt idx="91">
                  <c:v>47696</c:v>
                </c:pt>
                <c:pt idx="92">
                  <c:v>47727</c:v>
                </c:pt>
                <c:pt idx="93">
                  <c:v>47757</c:v>
                </c:pt>
                <c:pt idx="94">
                  <c:v>47788</c:v>
                </c:pt>
                <c:pt idx="95">
                  <c:v>47818</c:v>
                </c:pt>
              </c:numCache>
            </c:numRef>
          </c:cat>
          <c:val>
            <c:numRef>
              <c:f>'AUB (HX)'!$J$2:$J$105</c:f>
              <c:numCache>
                <c:formatCode>General</c:formatCode>
                <c:ptCount val="104"/>
                <c:pt idx="0">
                  <c:v>75</c:v>
                </c:pt>
                <c:pt idx="1">
                  <c:v>75</c:v>
                </c:pt>
                <c:pt idx="2">
                  <c:v>75</c:v>
                </c:pt>
                <c:pt idx="3">
                  <c:v>75</c:v>
                </c:pt>
                <c:pt idx="4">
                  <c:v>75</c:v>
                </c:pt>
                <c:pt idx="5">
                  <c:v>75</c:v>
                </c:pt>
                <c:pt idx="6">
                  <c:v>75</c:v>
                </c:pt>
                <c:pt idx="7">
                  <c:v>75</c:v>
                </c:pt>
                <c:pt idx="8">
                  <c:v>75</c:v>
                </c:pt>
                <c:pt idx="9">
                  <c:v>75</c:v>
                </c:pt>
                <c:pt idx="10">
                  <c:v>75</c:v>
                </c:pt>
                <c:pt idx="11">
                  <c:v>75</c:v>
                </c:pt>
                <c:pt idx="12">
                  <c:v>75</c:v>
                </c:pt>
                <c:pt idx="13">
                  <c:v>75</c:v>
                </c:pt>
                <c:pt idx="14">
                  <c:v>75</c:v>
                </c:pt>
                <c:pt idx="15">
                  <c:v>75</c:v>
                </c:pt>
                <c:pt idx="16">
                  <c:v>75</c:v>
                </c:pt>
                <c:pt idx="17">
                  <c:v>75</c:v>
                </c:pt>
                <c:pt idx="18">
                  <c:v>75</c:v>
                </c:pt>
                <c:pt idx="19">
                  <c:v>75</c:v>
                </c:pt>
                <c:pt idx="20">
                  <c:v>75</c:v>
                </c:pt>
                <c:pt idx="21">
                  <c:v>75</c:v>
                </c:pt>
                <c:pt idx="22">
                  <c:v>75</c:v>
                </c:pt>
                <c:pt idx="23">
                  <c:v>75</c:v>
                </c:pt>
                <c:pt idx="24">
                  <c:v>75</c:v>
                </c:pt>
                <c:pt idx="25">
                  <c:v>75</c:v>
                </c:pt>
                <c:pt idx="26">
                  <c:v>75</c:v>
                </c:pt>
                <c:pt idx="27">
                  <c:v>75</c:v>
                </c:pt>
                <c:pt idx="28">
                  <c:v>75</c:v>
                </c:pt>
                <c:pt idx="29">
                  <c:v>75</c:v>
                </c:pt>
                <c:pt idx="30">
                  <c:v>75</c:v>
                </c:pt>
                <c:pt idx="31">
                  <c:v>75</c:v>
                </c:pt>
                <c:pt idx="32">
                  <c:v>75</c:v>
                </c:pt>
                <c:pt idx="33">
                  <c:v>75</c:v>
                </c:pt>
                <c:pt idx="34">
                  <c:v>75</c:v>
                </c:pt>
                <c:pt idx="35">
                  <c:v>75</c:v>
                </c:pt>
                <c:pt idx="36">
                  <c:v>75</c:v>
                </c:pt>
                <c:pt idx="37">
                  <c:v>75</c:v>
                </c:pt>
                <c:pt idx="38">
                  <c:v>75</c:v>
                </c:pt>
                <c:pt idx="39">
                  <c:v>75</c:v>
                </c:pt>
                <c:pt idx="40">
                  <c:v>75</c:v>
                </c:pt>
                <c:pt idx="41">
                  <c:v>75</c:v>
                </c:pt>
                <c:pt idx="42">
                  <c:v>75</c:v>
                </c:pt>
                <c:pt idx="43">
                  <c:v>75</c:v>
                </c:pt>
                <c:pt idx="44">
                  <c:v>75</c:v>
                </c:pt>
                <c:pt idx="45">
                  <c:v>75</c:v>
                </c:pt>
                <c:pt idx="46">
                  <c:v>75</c:v>
                </c:pt>
                <c:pt idx="47">
                  <c:v>75</c:v>
                </c:pt>
                <c:pt idx="48">
                  <c:v>75</c:v>
                </c:pt>
                <c:pt idx="49">
                  <c:v>75</c:v>
                </c:pt>
                <c:pt idx="50">
                  <c:v>75</c:v>
                </c:pt>
                <c:pt idx="51">
                  <c:v>75</c:v>
                </c:pt>
                <c:pt idx="52">
                  <c:v>75</c:v>
                </c:pt>
                <c:pt idx="53">
                  <c:v>75</c:v>
                </c:pt>
                <c:pt idx="54">
                  <c:v>75</c:v>
                </c:pt>
                <c:pt idx="55">
                  <c:v>75</c:v>
                </c:pt>
                <c:pt idx="56">
                  <c:v>75</c:v>
                </c:pt>
                <c:pt idx="57">
                  <c:v>75</c:v>
                </c:pt>
                <c:pt idx="58">
                  <c:v>75</c:v>
                </c:pt>
                <c:pt idx="59">
                  <c:v>75</c:v>
                </c:pt>
                <c:pt idx="60">
                  <c:v>75</c:v>
                </c:pt>
                <c:pt idx="61">
                  <c:v>75</c:v>
                </c:pt>
                <c:pt idx="62">
                  <c:v>75</c:v>
                </c:pt>
                <c:pt idx="63">
                  <c:v>75</c:v>
                </c:pt>
                <c:pt idx="64">
                  <c:v>75</c:v>
                </c:pt>
                <c:pt idx="65">
                  <c:v>75</c:v>
                </c:pt>
                <c:pt idx="66">
                  <c:v>75</c:v>
                </c:pt>
                <c:pt idx="67">
                  <c:v>75</c:v>
                </c:pt>
                <c:pt idx="68">
                  <c:v>75</c:v>
                </c:pt>
                <c:pt idx="69">
                  <c:v>75</c:v>
                </c:pt>
                <c:pt idx="70">
                  <c:v>75</c:v>
                </c:pt>
                <c:pt idx="71">
                  <c:v>75</c:v>
                </c:pt>
                <c:pt idx="72">
                  <c:v>75</c:v>
                </c:pt>
                <c:pt idx="73">
                  <c:v>75</c:v>
                </c:pt>
                <c:pt idx="74">
                  <c:v>75</c:v>
                </c:pt>
                <c:pt idx="75">
                  <c:v>75</c:v>
                </c:pt>
                <c:pt idx="76">
                  <c:v>75</c:v>
                </c:pt>
                <c:pt idx="77">
                  <c:v>75</c:v>
                </c:pt>
                <c:pt idx="78">
                  <c:v>75</c:v>
                </c:pt>
                <c:pt idx="79">
                  <c:v>75</c:v>
                </c:pt>
                <c:pt idx="80">
                  <c:v>75</c:v>
                </c:pt>
                <c:pt idx="81">
                  <c:v>75</c:v>
                </c:pt>
                <c:pt idx="82">
                  <c:v>75</c:v>
                </c:pt>
                <c:pt idx="83">
                  <c:v>75</c:v>
                </c:pt>
                <c:pt idx="84">
                  <c:v>75</c:v>
                </c:pt>
                <c:pt idx="85">
                  <c:v>75</c:v>
                </c:pt>
                <c:pt idx="86">
                  <c:v>75</c:v>
                </c:pt>
                <c:pt idx="87">
                  <c:v>75</c:v>
                </c:pt>
                <c:pt idx="88">
                  <c:v>75</c:v>
                </c:pt>
                <c:pt idx="89">
                  <c:v>75</c:v>
                </c:pt>
                <c:pt idx="90">
                  <c:v>75</c:v>
                </c:pt>
                <c:pt idx="91">
                  <c:v>75</c:v>
                </c:pt>
                <c:pt idx="92">
                  <c:v>75</c:v>
                </c:pt>
                <c:pt idx="93">
                  <c:v>75</c:v>
                </c:pt>
                <c:pt idx="94">
                  <c:v>75</c:v>
                </c:pt>
                <c:pt idx="95">
                  <c:v>75</c:v>
                </c:pt>
              </c:numCache>
            </c:numRef>
          </c:val>
          <c:smooth val="0"/>
          <c:extLst>
            <c:ext xmlns:c16="http://schemas.microsoft.com/office/drawing/2014/chart" uri="{C3380CC4-5D6E-409C-BE32-E72D297353CC}">
              <c16:uniqueId val="{00000002-4435-4E56-B4BD-BDFC72090A2D}"/>
            </c:ext>
          </c:extLst>
        </c:ser>
        <c:dLbls>
          <c:showLegendKey val="0"/>
          <c:showVal val="0"/>
          <c:showCatName val="0"/>
          <c:showSerName val="0"/>
          <c:showPercent val="0"/>
          <c:showBubbleSize val="0"/>
        </c:dLbls>
        <c:marker val="1"/>
        <c:smooth val="0"/>
        <c:axId val="923718064"/>
        <c:axId val="923722640"/>
      </c:lineChart>
      <c:dateAx>
        <c:axId val="92371806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mmm\-yy"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23722640"/>
        <c:crosses val="autoZero"/>
        <c:auto val="1"/>
        <c:lblOffset val="100"/>
        <c:baseTimeUnit val="months"/>
      </c:dateAx>
      <c:valAx>
        <c:axId val="923722640"/>
        <c:scaling>
          <c:orientation val="minMax"/>
          <c:max val="100"/>
          <c:min val="20"/>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2371806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'CMY (HX)'!$H$1</c:f>
              <c:strCache>
                <c:ptCount val="1"/>
                <c:pt idx="0">
                  <c:v>In use (%)</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numRef>
              <c:f>'CMY (HX)'!$C$2:$C$105</c:f>
              <c:numCache>
                <c:formatCode>mmm\-yy</c:formatCode>
                <c:ptCount val="10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pt idx="36">
                  <c:v>46023</c:v>
                </c:pt>
                <c:pt idx="37">
                  <c:v>46054</c:v>
                </c:pt>
                <c:pt idx="38">
                  <c:v>46082</c:v>
                </c:pt>
                <c:pt idx="39">
                  <c:v>46113</c:v>
                </c:pt>
                <c:pt idx="40">
                  <c:v>46143</c:v>
                </c:pt>
                <c:pt idx="41">
                  <c:v>46174</c:v>
                </c:pt>
                <c:pt idx="42">
                  <c:v>46204</c:v>
                </c:pt>
                <c:pt idx="43">
                  <c:v>46235</c:v>
                </c:pt>
                <c:pt idx="44">
                  <c:v>46266</c:v>
                </c:pt>
                <c:pt idx="45">
                  <c:v>46296</c:v>
                </c:pt>
                <c:pt idx="46">
                  <c:v>46327</c:v>
                </c:pt>
                <c:pt idx="47">
                  <c:v>46357</c:v>
                </c:pt>
                <c:pt idx="48">
                  <c:v>46388</c:v>
                </c:pt>
                <c:pt idx="49">
                  <c:v>46419</c:v>
                </c:pt>
                <c:pt idx="50">
                  <c:v>46447</c:v>
                </c:pt>
                <c:pt idx="51">
                  <c:v>46478</c:v>
                </c:pt>
                <c:pt idx="52">
                  <c:v>46508</c:v>
                </c:pt>
                <c:pt idx="53">
                  <c:v>46539</c:v>
                </c:pt>
                <c:pt idx="54">
                  <c:v>46569</c:v>
                </c:pt>
                <c:pt idx="55">
                  <c:v>46600</c:v>
                </c:pt>
                <c:pt idx="56">
                  <c:v>46631</c:v>
                </c:pt>
                <c:pt idx="57">
                  <c:v>46661</c:v>
                </c:pt>
                <c:pt idx="58">
                  <c:v>46692</c:v>
                </c:pt>
                <c:pt idx="59">
                  <c:v>46722</c:v>
                </c:pt>
                <c:pt idx="60">
                  <c:v>46753</c:v>
                </c:pt>
                <c:pt idx="61">
                  <c:v>46784</c:v>
                </c:pt>
                <c:pt idx="62">
                  <c:v>46813</c:v>
                </c:pt>
                <c:pt idx="63">
                  <c:v>46844</c:v>
                </c:pt>
                <c:pt idx="64">
                  <c:v>46874</c:v>
                </c:pt>
                <c:pt idx="65">
                  <c:v>46905</c:v>
                </c:pt>
                <c:pt idx="66">
                  <c:v>46935</c:v>
                </c:pt>
                <c:pt idx="67">
                  <c:v>46966</c:v>
                </c:pt>
                <c:pt idx="68">
                  <c:v>46997</c:v>
                </c:pt>
                <c:pt idx="69">
                  <c:v>47027</c:v>
                </c:pt>
                <c:pt idx="70">
                  <c:v>47058</c:v>
                </c:pt>
                <c:pt idx="71">
                  <c:v>47088</c:v>
                </c:pt>
                <c:pt idx="72">
                  <c:v>47119</c:v>
                </c:pt>
                <c:pt idx="73">
                  <c:v>47150</c:v>
                </c:pt>
                <c:pt idx="74">
                  <c:v>47178</c:v>
                </c:pt>
                <c:pt idx="75">
                  <c:v>47209</c:v>
                </c:pt>
                <c:pt idx="76">
                  <c:v>47239</c:v>
                </c:pt>
                <c:pt idx="77">
                  <c:v>47270</c:v>
                </c:pt>
                <c:pt idx="78">
                  <c:v>47300</c:v>
                </c:pt>
                <c:pt idx="79">
                  <c:v>47331</c:v>
                </c:pt>
                <c:pt idx="80">
                  <c:v>47362</c:v>
                </c:pt>
                <c:pt idx="81">
                  <c:v>47392</c:v>
                </c:pt>
                <c:pt idx="82">
                  <c:v>47423</c:v>
                </c:pt>
                <c:pt idx="83">
                  <c:v>47453</c:v>
                </c:pt>
                <c:pt idx="84">
                  <c:v>47484</c:v>
                </c:pt>
                <c:pt idx="85">
                  <c:v>47515</c:v>
                </c:pt>
                <c:pt idx="86">
                  <c:v>47543</c:v>
                </c:pt>
                <c:pt idx="87">
                  <c:v>47574</c:v>
                </c:pt>
                <c:pt idx="88">
                  <c:v>47604</c:v>
                </c:pt>
                <c:pt idx="89">
                  <c:v>47635</c:v>
                </c:pt>
                <c:pt idx="90">
                  <c:v>47665</c:v>
                </c:pt>
                <c:pt idx="91">
                  <c:v>47696</c:v>
                </c:pt>
                <c:pt idx="92">
                  <c:v>47727</c:v>
                </c:pt>
                <c:pt idx="93">
                  <c:v>47757</c:v>
                </c:pt>
                <c:pt idx="94">
                  <c:v>47788</c:v>
                </c:pt>
                <c:pt idx="95">
                  <c:v>47818</c:v>
                </c:pt>
              </c:numCache>
            </c:numRef>
          </c:cat>
          <c:val>
            <c:numRef>
              <c:f>'CMY (HX)'!$H$2:$H$95</c:f>
              <c:numCache>
                <c:formatCode>0.0</c:formatCode>
                <c:ptCount val="94"/>
                <c:pt idx="0">
                  <c:v>29.333333333333332</c:v>
                </c:pt>
                <c:pt idx="1">
                  <c:v>29.333333333333332</c:v>
                </c:pt>
                <c:pt idx="2">
                  <c:v>29.333333333333332</c:v>
                </c:pt>
                <c:pt idx="3">
                  <c:v>32.444444444444443</c:v>
                </c:pt>
                <c:pt idx="4">
                  <c:v>29.777777777777782</c:v>
                </c:pt>
                <c:pt idx="5">
                  <c:v>29.333333333333332</c:v>
                </c:pt>
                <c:pt idx="6">
                  <c:v>30.666666666666671</c:v>
                </c:pt>
                <c:pt idx="7">
                  <c:v>34.222222222222221</c:v>
                </c:pt>
                <c:pt idx="8">
                  <c:v>33.333333333333329</c:v>
                </c:pt>
                <c:pt idx="9">
                  <c:v>33.777777777777779</c:v>
                </c:pt>
                <c:pt idx="10">
                  <c:v>33.777777777777779</c:v>
                </c:pt>
                <c:pt idx="11">
                  <c:v>36</c:v>
                </c:pt>
                <c:pt idx="12">
                  <c:v>33.777777777777779</c:v>
                </c:pt>
                <c:pt idx="13">
                  <c:v>34.666666666666671</c:v>
                </c:pt>
                <c:pt idx="14">
                  <c:v>35.111111111111114</c:v>
                </c:pt>
                <c:pt idx="15">
                  <c:v>35.555555555555557</c:v>
                </c:pt>
                <c:pt idx="16">
                  <c:v>35.555555555555557</c:v>
                </c:pt>
                <c:pt idx="17">
                  <c:v>35.111111111111114</c:v>
                </c:pt>
                <c:pt idx="18">
                  <c:v>36.444444444444443</c:v>
                </c:pt>
                <c:pt idx="19">
                  <c:v>36.888888888888893</c:v>
                </c:pt>
                <c:pt idx="20">
                  <c:v>37.333333333333336</c:v>
                </c:pt>
                <c:pt idx="21">
                  <c:v>37.333333333333336</c:v>
                </c:pt>
                <c:pt idx="22">
                  <c:v>37.777777777777779</c:v>
                </c:pt>
                <c:pt idx="23">
                  <c:v>37.777777777777779</c:v>
                </c:pt>
                <c:pt idx="24">
                  <c:v>38.222222222222221</c:v>
                </c:pt>
                <c:pt idx="25">
                  <c:v>38.222222222222221</c:v>
                </c:pt>
                <c:pt idx="26">
                  <c:v>39.111111111111114</c:v>
                </c:pt>
                <c:pt idx="27">
                  <c:v>43.555555555555557</c:v>
                </c:pt>
                <c:pt idx="28">
                  <c:v>44</c:v>
                </c:pt>
                <c:pt idx="29">
                  <c:v>43.555555555555557</c:v>
                </c:pt>
                <c:pt idx="30">
                  <c:v>40</c:v>
                </c:pt>
                <c:pt idx="31">
                  <c:v>39.555555555555557</c:v>
                </c:pt>
                <c:pt idx="32">
                  <c:v>39.111111111111114</c:v>
                </c:pt>
                <c:pt idx="33">
                  <c:v>40.444444444444443</c:v>
                </c:pt>
                <c:pt idx="34">
                  <c:v>40.444444444444443</c:v>
                </c:pt>
                <c:pt idx="35">
                  <c:v>40.888888888888886</c:v>
                </c:pt>
                <c:pt idx="36">
                  <c:v>41.333333333333336</c:v>
                </c:pt>
                <c:pt idx="37">
                  <c:v>42.222222222222221</c:v>
                </c:pt>
                <c:pt idx="38">
                  <c:v>44</c:v>
                </c:pt>
                <c:pt idx="39">
                  <c:v>44.888888888888886</c:v>
                </c:pt>
                <c:pt idx="40">
                  <c:v>46.222222222222229</c:v>
                </c:pt>
                <c:pt idx="41">
                  <c:v>46.666666666666664</c:v>
                </c:pt>
                <c:pt idx="42">
                  <c:v>44.444444444444443</c:v>
                </c:pt>
                <c:pt idx="43">
                  <c:v>45.333333333333329</c:v>
                </c:pt>
              </c:numCache>
            </c:numRef>
          </c:val>
          <c:smooth val="0"/>
          <c:extLst>
            <c:ext xmlns:c16="http://schemas.microsoft.com/office/drawing/2014/chart" uri="{C3380CC4-5D6E-409C-BE32-E72D297353CC}">
              <c16:uniqueId val="{00000000-6953-4A67-AD18-6E0910E639CA}"/>
            </c:ext>
          </c:extLst>
        </c:ser>
        <c:ser>
          <c:idx val="1"/>
          <c:order val="1"/>
          <c:tx>
            <c:strRef>
              <c:f>'CMY (HX)'!$I$1</c:f>
              <c:strCache>
                <c:ptCount val="1"/>
                <c:pt idx="0">
                  <c:v>Forecast (%)</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numRef>
              <c:f>'CMY (HX)'!$C$2:$C$105</c:f>
              <c:numCache>
                <c:formatCode>mmm\-yy</c:formatCode>
                <c:ptCount val="10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pt idx="36">
                  <c:v>46023</c:v>
                </c:pt>
                <c:pt idx="37">
                  <c:v>46054</c:v>
                </c:pt>
                <c:pt idx="38">
                  <c:v>46082</c:v>
                </c:pt>
                <c:pt idx="39">
                  <c:v>46113</c:v>
                </c:pt>
                <c:pt idx="40">
                  <c:v>46143</c:v>
                </c:pt>
                <c:pt idx="41">
                  <c:v>46174</c:v>
                </c:pt>
                <c:pt idx="42">
                  <c:v>46204</c:v>
                </c:pt>
                <c:pt idx="43">
                  <c:v>46235</c:v>
                </c:pt>
                <c:pt idx="44">
                  <c:v>46266</c:v>
                </c:pt>
                <c:pt idx="45">
                  <c:v>46296</c:v>
                </c:pt>
                <c:pt idx="46">
                  <c:v>46327</c:v>
                </c:pt>
                <c:pt idx="47">
                  <c:v>46357</c:v>
                </c:pt>
                <c:pt idx="48">
                  <c:v>46388</c:v>
                </c:pt>
                <c:pt idx="49">
                  <c:v>46419</c:v>
                </c:pt>
                <c:pt idx="50">
                  <c:v>46447</c:v>
                </c:pt>
                <c:pt idx="51">
                  <c:v>46478</c:v>
                </c:pt>
                <c:pt idx="52">
                  <c:v>46508</c:v>
                </c:pt>
                <c:pt idx="53">
                  <c:v>46539</c:v>
                </c:pt>
                <c:pt idx="54">
                  <c:v>46569</c:v>
                </c:pt>
                <c:pt idx="55">
                  <c:v>46600</c:v>
                </c:pt>
                <c:pt idx="56">
                  <c:v>46631</c:v>
                </c:pt>
                <c:pt idx="57">
                  <c:v>46661</c:v>
                </c:pt>
                <c:pt idx="58">
                  <c:v>46692</c:v>
                </c:pt>
                <c:pt idx="59">
                  <c:v>46722</c:v>
                </c:pt>
                <c:pt idx="60">
                  <c:v>46753</c:v>
                </c:pt>
                <c:pt idx="61">
                  <c:v>46784</c:v>
                </c:pt>
                <c:pt idx="62">
                  <c:v>46813</c:v>
                </c:pt>
                <c:pt idx="63">
                  <c:v>46844</c:v>
                </c:pt>
                <c:pt idx="64">
                  <c:v>46874</c:v>
                </c:pt>
                <c:pt idx="65">
                  <c:v>46905</c:v>
                </c:pt>
                <c:pt idx="66">
                  <c:v>46935</c:v>
                </c:pt>
                <c:pt idx="67">
                  <c:v>46966</c:v>
                </c:pt>
                <c:pt idx="68">
                  <c:v>46997</c:v>
                </c:pt>
                <c:pt idx="69">
                  <c:v>47027</c:v>
                </c:pt>
                <c:pt idx="70">
                  <c:v>47058</c:v>
                </c:pt>
                <c:pt idx="71">
                  <c:v>47088</c:v>
                </c:pt>
                <c:pt idx="72">
                  <c:v>47119</c:v>
                </c:pt>
                <c:pt idx="73">
                  <c:v>47150</c:v>
                </c:pt>
                <c:pt idx="74">
                  <c:v>47178</c:v>
                </c:pt>
                <c:pt idx="75">
                  <c:v>47209</c:v>
                </c:pt>
                <c:pt idx="76">
                  <c:v>47239</c:v>
                </c:pt>
                <c:pt idx="77">
                  <c:v>47270</c:v>
                </c:pt>
                <c:pt idx="78">
                  <c:v>47300</c:v>
                </c:pt>
                <c:pt idx="79">
                  <c:v>47331</c:v>
                </c:pt>
                <c:pt idx="80">
                  <c:v>47362</c:v>
                </c:pt>
                <c:pt idx="81">
                  <c:v>47392</c:v>
                </c:pt>
                <c:pt idx="82">
                  <c:v>47423</c:v>
                </c:pt>
                <c:pt idx="83">
                  <c:v>47453</c:v>
                </c:pt>
                <c:pt idx="84">
                  <c:v>47484</c:v>
                </c:pt>
                <c:pt idx="85">
                  <c:v>47515</c:v>
                </c:pt>
                <c:pt idx="86">
                  <c:v>47543</c:v>
                </c:pt>
                <c:pt idx="87">
                  <c:v>47574</c:v>
                </c:pt>
                <c:pt idx="88">
                  <c:v>47604</c:v>
                </c:pt>
                <c:pt idx="89">
                  <c:v>47635</c:v>
                </c:pt>
                <c:pt idx="90">
                  <c:v>47665</c:v>
                </c:pt>
                <c:pt idx="91">
                  <c:v>47696</c:v>
                </c:pt>
                <c:pt idx="92">
                  <c:v>47727</c:v>
                </c:pt>
                <c:pt idx="93">
                  <c:v>47757</c:v>
                </c:pt>
                <c:pt idx="94">
                  <c:v>47788</c:v>
                </c:pt>
                <c:pt idx="95">
                  <c:v>47818</c:v>
                </c:pt>
              </c:numCache>
            </c:numRef>
          </c:cat>
          <c:val>
            <c:numRef>
              <c:f>'CMY (HX)'!$I$2:$I$105</c:f>
              <c:numCache>
                <c:formatCode>0.0</c:formatCode>
                <c:ptCount val="104"/>
                <c:pt idx="43">
                  <c:v>45.333333333333329</c:v>
                </c:pt>
                <c:pt idx="44">
                  <c:v>45.625009364986816</c:v>
                </c:pt>
                <c:pt idx="45">
                  <c:v>45.918562049010333</c:v>
                </c:pt>
                <c:pt idx="46">
                  <c:v>46.21400345984172</c:v>
                </c:pt>
                <c:pt idx="47">
                  <c:v>46.51134574960615</c:v>
                </c:pt>
                <c:pt idx="48">
                  <c:v>46.810601148615902</c:v>
                </c:pt>
                <c:pt idx="49">
                  <c:v>47.111781965873448</c:v>
                </c:pt>
                <c:pt idx="50">
                  <c:v>47.414900589577798</c:v>
                </c:pt>
                <c:pt idx="51">
                  <c:v>47.719969487633961</c:v>
                </c:pt>
                <c:pt idx="52">
                  <c:v>48.027001208165842</c:v>
                </c:pt>
                <c:pt idx="53">
                  <c:v>48.336008380032354</c:v>
                </c:pt>
                <c:pt idx="54">
                  <c:v>48.647003713346862</c:v>
                </c:pt>
                <c:pt idx="55">
                  <c:v>48.959999999999987</c:v>
                </c:pt>
                <c:pt idx="56">
                  <c:v>49.275010114185754</c:v>
                </c:pt>
                <c:pt idx="57">
                  <c:v>49.592047012931147</c:v>
                </c:pt>
                <c:pt idx="58">
                  <c:v>49.911123736629051</c:v>
                </c:pt>
                <c:pt idx="59">
                  <c:v>50.232253409574625</c:v>
                </c:pt>
                <c:pt idx="60">
                  <c:v>50.555449240505155</c:v>
                </c:pt>
                <c:pt idx="61">
                  <c:v>50.880724523143314</c:v>
                </c:pt>
                <c:pt idx="62">
                  <c:v>51.208092636744006</c:v>
                </c:pt>
                <c:pt idx="63">
                  <c:v>51.537567046644675</c:v>
                </c:pt>
                <c:pt idx="64">
                  <c:v>51.869161304819102</c:v>
                </c:pt>
                <c:pt idx="65">
                  <c:v>52.202889050434933</c:v>
                </c:pt>
                <c:pt idx="66">
                  <c:v>52.538764010414596</c:v>
                </c:pt>
                <c:pt idx="67">
                  <c:v>52.876799999999967</c:v>
                </c:pt>
                <c:pt idx="68">
                  <c:v>53.217010923320593</c:v>
                </c:pt>
                <c:pt idx="69">
                  <c:v>53.559410773965624</c:v>
                </c:pt>
                <c:pt idx="70">
                  <c:v>53.904013635559359</c:v>
                </c:pt>
                <c:pt idx="71">
                  <c:v>54.250833682340584</c:v>
                </c:pt>
                <c:pt idx="72">
                  <c:v>54.599885179745542</c:v>
                </c:pt>
                <c:pt idx="73">
                  <c:v>54.951182484994753</c:v>
                </c:pt>
                <c:pt idx="74">
                  <c:v>55.304740047683495</c:v>
                </c:pt>
                <c:pt idx="75">
                  <c:v>55.660572410376204</c:v>
                </c:pt>
                <c:pt idx="76">
                  <c:v>56.01869420920459</c:v>
                </c:pt>
                <c:pt idx="77">
                  <c:v>56.379120174469691</c:v>
                </c:pt>
                <c:pt idx="78">
                  <c:v>56.741865131247728</c:v>
                </c:pt>
                <c:pt idx="79">
                  <c:v>57.106943999999928</c:v>
                </c:pt>
                <c:pt idx="80">
                  <c:v>57.474371797186208</c:v>
                </c:pt>
                <c:pt idx="81">
                  <c:v>57.844163635882836</c:v>
                </c:pt>
                <c:pt idx="82">
                  <c:v>58.216334726404071</c:v>
                </c:pt>
                <c:pt idx="83">
                  <c:v>58.590900376927792</c:v>
                </c:pt>
                <c:pt idx="84">
                  <c:v>58.967875994125151</c:v>
                </c:pt>
                <c:pt idx="85">
                  <c:v>59.347277083794303</c:v>
                </c:pt>
                <c:pt idx="86">
                  <c:v>59.729119251498155</c:v>
                </c:pt>
                <c:pt idx="87">
                  <c:v>60.11341820320628</c:v>
                </c:pt>
                <c:pt idx="88">
                  <c:v>60.500189745940936</c:v>
                </c:pt>
                <c:pt idx="89">
                  <c:v>60.889449788427243</c:v>
                </c:pt>
                <c:pt idx="90">
                  <c:v>61.281214341747528</c:v>
                </c:pt>
                <c:pt idx="91">
                  <c:v>61.675499519999896</c:v>
                </c:pt>
                <c:pt idx="92">
                  <c:v>62.072321540961084</c:v>
                </c:pt>
                <c:pt idx="93">
                  <c:v>62.471696726753436</c:v>
                </c:pt>
                <c:pt idx="94">
                  <c:v>62.873641504516378</c:v>
                </c:pt>
                <c:pt idx="95">
                  <c:v>63.278172407081989</c:v>
                </c:pt>
              </c:numCache>
            </c:numRef>
          </c:val>
          <c:smooth val="0"/>
          <c:extLst>
            <c:ext xmlns:c16="http://schemas.microsoft.com/office/drawing/2014/chart" uri="{C3380CC4-5D6E-409C-BE32-E72D297353CC}">
              <c16:uniqueId val="{00000001-6953-4A67-AD18-6E0910E639CA}"/>
            </c:ext>
          </c:extLst>
        </c:ser>
        <c:ser>
          <c:idx val="2"/>
          <c:order val="2"/>
          <c:tx>
            <c:strRef>
              <c:f>'CMY (HX)'!$J$1</c:f>
              <c:strCache>
                <c:ptCount val="1"/>
                <c:pt idx="0">
                  <c:v>Max %</c:v>
                </c:pt>
              </c:strCache>
            </c:strRef>
          </c:tx>
          <c:spPr>
            <a:ln w="22225" cap="rnd">
              <a:solidFill>
                <a:schemeClr val="accent3"/>
              </a:solidFill>
            </a:ln>
            <a:effectLst>
              <a:glow rad="139700">
                <a:schemeClr val="accent3">
                  <a:satMod val="175000"/>
                  <a:alpha val="14000"/>
                </a:schemeClr>
              </a:glow>
            </a:effectLst>
          </c:spPr>
          <c:marker>
            <c:symbol val="none"/>
          </c:marker>
          <c:cat>
            <c:numRef>
              <c:f>'CMY (HX)'!$C$2:$C$105</c:f>
              <c:numCache>
                <c:formatCode>mmm\-yy</c:formatCode>
                <c:ptCount val="10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pt idx="36">
                  <c:v>46023</c:v>
                </c:pt>
                <c:pt idx="37">
                  <c:v>46054</c:v>
                </c:pt>
                <c:pt idx="38">
                  <c:v>46082</c:v>
                </c:pt>
                <c:pt idx="39">
                  <c:v>46113</c:v>
                </c:pt>
                <c:pt idx="40">
                  <c:v>46143</c:v>
                </c:pt>
                <c:pt idx="41">
                  <c:v>46174</c:v>
                </c:pt>
                <c:pt idx="42">
                  <c:v>46204</c:v>
                </c:pt>
                <c:pt idx="43">
                  <c:v>46235</c:v>
                </c:pt>
                <c:pt idx="44">
                  <c:v>46266</c:v>
                </c:pt>
                <c:pt idx="45">
                  <c:v>46296</c:v>
                </c:pt>
                <c:pt idx="46">
                  <c:v>46327</c:v>
                </c:pt>
                <c:pt idx="47">
                  <c:v>46357</c:v>
                </c:pt>
                <c:pt idx="48">
                  <c:v>46388</c:v>
                </c:pt>
                <c:pt idx="49">
                  <c:v>46419</c:v>
                </c:pt>
                <c:pt idx="50">
                  <c:v>46447</c:v>
                </c:pt>
                <c:pt idx="51">
                  <c:v>46478</c:v>
                </c:pt>
                <c:pt idx="52">
                  <c:v>46508</c:v>
                </c:pt>
                <c:pt idx="53">
                  <c:v>46539</c:v>
                </c:pt>
                <c:pt idx="54">
                  <c:v>46569</c:v>
                </c:pt>
                <c:pt idx="55">
                  <c:v>46600</c:v>
                </c:pt>
                <c:pt idx="56">
                  <c:v>46631</c:v>
                </c:pt>
                <c:pt idx="57">
                  <c:v>46661</c:v>
                </c:pt>
                <c:pt idx="58">
                  <c:v>46692</c:v>
                </c:pt>
                <c:pt idx="59">
                  <c:v>46722</c:v>
                </c:pt>
                <c:pt idx="60">
                  <c:v>46753</c:v>
                </c:pt>
                <c:pt idx="61">
                  <c:v>46784</c:v>
                </c:pt>
                <c:pt idx="62">
                  <c:v>46813</c:v>
                </c:pt>
                <c:pt idx="63">
                  <c:v>46844</c:v>
                </c:pt>
                <c:pt idx="64">
                  <c:v>46874</c:v>
                </c:pt>
                <c:pt idx="65">
                  <c:v>46905</c:v>
                </c:pt>
                <c:pt idx="66">
                  <c:v>46935</c:v>
                </c:pt>
                <c:pt idx="67">
                  <c:v>46966</c:v>
                </c:pt>
                <c:pt idx="68">
                  <c:v>46997</c:v>
                </c:pt>
                <c:pt idx="69">
                  <c:v>47027</c:v>
                </c:pt>
                <c:pt idx="70">
                  <c:v>47058</c:v>
                </c:pt>
                <c:pt idx="71">
                  <c:v>47088</c:v>
                </c:pt>
                <c:pt idx="72">
                  <c:v>47119</c:v>
                </c:pt>
                <c:pt idx="73">
                  <c:v>47150</c:v>
                </c:pt>
                <c:pt idx="74">
                  <c:v>47178</c:v>
                </c:pt>
                <c:pt idx="75">
                  <c:v>47209</c:v>
                </c:pt>
                <c:pt idx="76">
                  <c:v>47239</c:v>
                </c:pt>
                <c:pt idx="77">
                  <c:v>47270</c:v>
                </c:pt>
                <c:pt idx="78">
                  <c:v>47300</c:v>
                </c:pt>
                <c:pt idx="79">
                  <c:v>47331</c:v>
                </c:pt>
                <c:pt idx="80">
                  <c:v>47362</c:v>
                </c:pt>
                <c:pt idx="81">
                  <c:v>47392</c:v>
                </c:pt>
                <c:pt idx="82">
                  <c:v>47423</c:v>
                </c:pt>
                <c:pt idx="83">
                  <c:v>47453</c:v>
                </c:pt>
                <c:pt idx="84">
                  <c:v>47484</c:v>
                </c:pt>
                <c:pt idx="85">
                  <c:v>47515</c:v>
                </c:pt>
                <c:pt idx="86">
                  <c:v>47543</c:v>
                </c:pt>
                <c:pt idx="87">
                  <c:v>47574</c:v>
                </c:pt>
                <c:pt idx="88">
                  <c:v>47604</c:v>
                </c:pt>
                <c:pt idx="89">
                  <c:v>47635</c:v>
                </c:pt>
                <c:pt idx="90">
                  <c:v>47665</c:v>
                </c:pt>
                <c:pt idx="91">
                  <c:v>47696</c:v>
                </c:pt>
                <c:pt idx="92">
                  <c:v>47727</c:v>
                </c:pt>
                <c:pt idx="93">
                  <c:v>47757</c:v>
                </c:pt>
                <c:pt idx="94">
                  <c:v>47788</c:v>
                </c:pt>
                <c:pt idx="95">
                  <c:v>47818</c:v>
                </c:pt>
              </c:numCache>
            </c:numRef>
          </c:cat>
          <c:val>
            <c:numRef>
              <c:f>'CMY (HX)'!$J$2:$J$105</c:f>
              <c:numCache>
                <c:formatCode>General</c:formatCode>
                <c:ptCount val="104"/>
                <c:pt idx="0">
                  <c:v>75</c:v>
                </c:pt>
                <c:pt idx="1">
                  <c:v>75</c:v>
                </c:pt>
                <c:pt idx="2">
                  <c:v>75</c:v>
                </c:pt>
                <c:pt idx="3">
                  <c:v>75</c:v>
                </c:pt>
                <c:pt idx="4">
                  <c:v>75</c:v>
                </c:pt>
                <c:pt idx="5">
                  <c:v>75</c:v>
                </c:pt>
                <c:pt idx="6">
                  <c:v>75</c:v>
                </c:pt>
                <c:pt idx="7">
                  <c:v>75</c:v>
                </c:pt>
                <c:pt idx="8">
                  <c:v>75</c:v>
                </c:pt>
                <c:pt idx="9">
                  <c:v>75</c:v>
                </c:pt>
                <c:pt idx="10">
                  <c:v>75</c:v>
                </c:pt>
                <c:pt idx="11">
                  <c:v>75</c:v>
                </c:pt>
                <c:pt idx="12">
                  <c:v>75</c:v>
                </c:pt>
                <c:pt idx="13">
                  <c:v>75</c:v>
                </c:pt>
                <c:pt idx="14">
                  <c:v>75</c:v>
                </c:pt>
                <c:pt idx="15">
                  <c:v>75</c:v>
                </c:pt>
                <c:pt idx="16">
                  <c:v>75</c:v>
                </c:pt>
                <c:pt idx="17">
                  <c:v>75</c:v>
                </c:pt>
                <c:pt idx="18">
                  <c:v>75</c:v>
                </c:pt>
                <c:pt idx="19">
                  <c:v>75</c:v>
                </c:pt>
                <c:pt idx="20">
                  <c:v>75</c:v>
                </c:pt>
                <c:pt idx="21">
                  <c:v>75</c:v>
                </c:pt>
                <c:pt idx="22">
                  <c:v>75</c:v>
                </c:pt>
                <c:pt idx="23">
                  <c:v>75</c:v>
                </c:pt>
                <c:pt idx="24">
                  <c:v>75</c:v>
                </c:pt>
                <c:pt idx="25">
                  <c:v>75</c:v>
                </c:pt>
                <c:pt idx="26">
                  <c:v>75</c:v>
                </c:pt>
                <c:pt idx="27">
                  <c:v>75</c:v>
                </c:pt>
                <c:pt idx="28">
                  <c:v>75</c:v>
                </c:pt>
                <c:pt idx="29">
                  <c:v>75</c:v>
                </c:pt>
                <c:pt idx="30">
                  <c:v>75</c:v>
                </c:pt>
                <c:pt idx="31">
                  <c:v>75</c:v>
                </c:pt>
                <c:pt idx="32">
                  <c:v>75</c:v>
                </c:pt>
                <c:pt idx="33">
                  <c:v>75</c:v>
                </c:pt>
                <c:pt idx="34">
                  <c:v>75</c:v>
                </c:pt>
                <c:pt idx="35">
                  <c:v>75</c:v>
                </c:pt>
                <c:pt idx="36">
                  <c:v>75</c:v>
                </c:pt>
                <c:pt idx="37">
                  <c:v>75</c:v>
                </c:pt>
                <c:pt idx="38">
                  <c:v>75</c:v>
                </c:pt>
                <c:pt idx="39">
                  <c:v>75</c:v>
                </c:pt>
                <c:pt idx="40">
                  <c:v>75</c:v>
                </c:pt>
                <c:pt idx="41">
                  <c:v>75</c:v>
                </c:pt>
                <c:pt idx="42">
                  <c:v>75</c:v>
                </c:pt>
                <c:pt idx="43">
                  <c:v>75</c:v>
                </c:pt>
                <c:pt idx="44">
                  <c:v>75</c:v>
                </c:pt>
                <c:pt idx="45">
                  <c:v>75</c:v>
                </c:pt>
                <c:pt idx="46">
                  <c:v>75</c:v>
                </c:pt>
                <c:pt idx="47">
                  <c:v>75</c:v>
                </c:pt>
                <c:pt idx="48">
                  <c:v>75</c:v>
                </c:pt>
                <c:pt idx="49">
                  <c:v>75</c:v>
                </c:pt>
                <c:pt idx="50">
                  <c:v>75</c:v>
                </c:pt>
                <c:pt idx="51">
                  <c:v>75</c:v>
                </c:pt>
                <c:pt idx="52">
                  <c:v>75</c:v>
                </c:pt>
                <c:pt idx="53">
                  <c:v>75</c:v>
                </c:pt>
                <c:pt idx="54">
                  <c:v>75</c:v>
                </c:pt>
                <c:pt idx="55">
                  <c:v>75</c:v>
                </c:pt>
                <c:pt idx="56">
                  <c:v>75</c:v>
                </c:pt>
                <c:pt idx="57">
                  <c:v>75</c:v>
                </c:pt>
                <c:pt idx="58">
                  <c:v>75</c:v>
                </c:pt>
                <c:pt idx="59">
                  <c:v>75</c:v>
                </c:pt>
                <c:pt idx="60">
                  <c:v>75</c:v>
                </c:pt>
                <c:pt idx="61">
                  <c:v>75</c:v>
                </c:pt>
                <c:pt idx="62">
                  <c:v>75</c:v>
                </c:pt>
                <c:pt idx="63">
                  <c:v>75</c:v>
                </c:pt>
                <c:pt idx="64">
                  <c:v>75</c:v>
                </c:pt>
                <c:pt idx="65">
                  <c:v>75</c:v>
                </c:pt>
                <c:pt idx="66">
                  <c:v>75</c:v>
                </c:pt>
                <c:pt idx="67">
                  <c:v>75</c:v>
                </c:pt>
                <c:pt idx="68">
                  <c:v>75</c:v>
                </c:pt>
                <c:pt idx="69">
                  <c:v>75</c:v>
                </c:pt>
                <c:pt idx="70">
                  <c:v>75</c:v>
                </c:pt>
                <c:pt idx="71">
                  <c:v>75</c:v>
                </c:pt>
                <c:pt idx="72">
                  <c:v>75</c:v>
                </c:pt>
                <c:pt idx="73">
                  <c:v>75</c:v>
                </c:pt>
                <c:pt idx="74">
                  <c:v>75</c:v>
                </c:pt>
                <c:pt idx="75">
                  <c:v>75</c:v>
                </c:pt>
                <c:pt idx="76">
                  <c:v>75</c:v>
                </c:pt>
                <c:pt idx="77">
                  <c:v>75</c:v>
                </c:pt>
                <c:pt idx="78">
                  <c:v>75</c:v>
                </c:pt>
                <c:pt idx="79">
                  <c:v>75</c:v>
                </c:pt>
                <c:pt idx="80">
                  <c:v>75</c:v>
                </c:pt>
                <c:pt idx="81">
                  <c:v>75</c:v>
                </c:pt>
                <c:pt idx="82">
                  <c:v>75</c:v>
                </c:pt>
                <c:pt idx="83">
                  <c:v>75</c:v>
                </c:pt>
                <c:pt idx="84">
                  <c:v>75</c:v>
                </c:pt>
                <c:pt idx="85">
                  <c:v>75</c:v>
                </c:pt>
                <c:pt idx="86">
                  <c:v>75</c:v>
                </c:pt>
                <c:pt idx="87">
                  <c:v>75</c:v>
                </c:pt>
                <c:pt idx="88">
                  <c:v>75</c:v>
                </c:pt>
                <c:pt idx="89">
                  <c:v>75</c:v>
                </c:pt>
                <c:pt idx="90">
                  <c:v>75</c:v>
                </c:pt>
                <c:pt idx="91">
                  <c:v>75</c:v>
                </c:pt>
                <c:pt idx="92">
                  <c:v>75</c:v>
                </c:pt>
                <c:pt idx="93">
                  <c:v>75</c:v>
                </c:pt>
                <c:pt idx="94">
                  <c:v>75</c:v>
                </c:pt>
                <c:pt idx="95">
                  <c:v>75</c:v>
                </c:pt>
              </c:numCache>
            </c:numRef>
          </c:val>
          <c:smooth val="0"/>
          <c:extLst>
            <c:ext xmlns:c16="http://schemas.microsoft.com/office/drawing/2014/chart" uri="{C3380CC4-5D6E-409C-BE32-E72D297353CC}">
              <c16:uniqueId val="{00000002-6953-4A67-AD18-6E0910E639CA}"/>
            </c:ext>
          </c:extLst>
        </c:ser>
        <c:dLbls>
          <c:showLegendKey val="0"/>
          <c:showVal val="0"/>
          <c:showCatName val="0"/>
          <c:showSerName val="0"/>
          <c:showPercent val="0"/>
          <c:showBubbleSize val="0"/>
        </c:dLbls>
        <c:marker val="1"/>
        <c:smooth val="0"/>
        <c:axId val="923718064"/>
        <c:axId val="923722640"/>
      </c:lineChart>
      <c:dateAx>
        <c:axId val="92371806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mmm\-yy"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23722640"/>
        <c:crosses val="autoZero"/>
        <c:auto val="1"/>
        <c:lblOffset val="100"/>
        <c:baseTimeUnit val="months"/>
      </c:dateAx>
      <c:valAx>
        <c:axId val="923722640"/>
        <c:scaling>
          <c:orientation val="minMax"/>
          <c:max val="100"/>
          <c:min val="20"/>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2371806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'CNC (HX)'!$H$1</c:f>
              <c:strCache>
                <c:ptCount val="1"/>
                <c:pt idx="0">
                  <c:v>In use (%)</c:v>
                </c:pt>
              </c:strCache>
            </c:strRef>
          </c:tx>
          <c:spPr>
            <a:ln w="22225" cap="rnd">
              <a:solidFill>
                <a:schemeClr val="accent1"/>
              </a:solidFill>
            </a:ln>
            <a:effectLst>
              <a:glow rad="139700">
                <a:schemeClr val="accent1">
                  <a:satMod val="175000"/>
                  <a:alpha val="14000"/>
                </a:schemeClr>
              </a:glow>
            </a:effectLst>
          </c:spPr>
          <c:marker>
            <c:symbol val="none"/>
          </c:marker>
          <c:cat>
            <c:numRef>
              <c:f>'CNC (HX)'!$C$2:$C$105</c:f>
              <c:numCache>
                <c:formatCode>mmm\-yy</c:formatCode>
                <c:ptCount val="10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pt idx="36">
                  <c:v>46023</c:v>
                </c:pt>
                <c:pt idx="37">
                  <c:v>46054</c:v>
                </c:pt>
                <c:pt idx="38">
                  <c:v>46082</c:v>
                </c:pt>
                <c:pt idx="39">
                  <c:v>46113</c:v>
                </c:pt>
                <c:pt idx="40">
                  <c:v>46143</c:v>
                </c:pt>
                <c:pt idx="41">
                  <c:v>46174</c:v>
                </c:pt>
                <c:pt idx="42">
                  <c:v>46204</c:v>
                </c:pt>
                <c:pt idx="43">
                  <c:v>46235</c:v>
                </c:pt>
                <c:pt idx="44">
                  <c:v>46266</c:v>
                </c:pt>
                <c:pt idx="45">
                  <c:v>46296</c:v>
                </c:pt>
                <c:pt idx="46">
                  <c:v>46327</c:v>
                </c:pt>
                <c:pt idx="47">
                  <c:v>46357</c:v>
                </c:pt>
                <c:pt idx="48">
                  <c:v>46388</c:v>
                </c:pt>
                <c:pt idx="49">
                  <c:v>46419</c:v>
                </c:pt>
                <c:pt idx="50">
                  <c:v>46447</c:v>
                </c:pt>
                <c:pt idx="51">
                  <c:v>46478</c:v>
                </c:pt>
                <c:pt idx="52">
                  <c:v>46508</c:v>
                </c:pt>
                <c:pt idx="53">
                  <c:v>46539</c:v>
                </c:pt>
                <c:pt idx="54">
                  <c:v>46569</c:v>
                </c:pt>
                <c:pt idx="55">
                  <c:v>46600</c:v>
                </c:pt>
                <c:pt idx="56">
                  <c:v>46631</c:v>
                </c:pt>
                <c:pt idx="57">
                  <c:v>46661</c:v>
                </c:pt>
                <c:pt idx="58">
                  <c:v>46692</c:v>
                </c:pt>
                <c:pt idx="59">
                  <c:v>46722</c:v>
                </c:pt>
                <c:pt idx="60">
                  <c:v>46753</c:v>
                </c:pt>
                <c:pt idx="61">
                  <c:v>46784</c:v>
                </c:pt>
                <c:pt idx="62">
                  <c:v>46813</c:v>
                </c:pt>
                <c:pt idx="63">
                  <c:v>46844</c:v>
                </c:pt>
                <c:pt idx="64">
                  <c:v>46874</c:v>
                </c:pt>
                <c:pt idx="65">
                  <c:v>46905</c:v>
                </c:pt>
                <c:pt idx="66">
                  <c:v>46935</c:v>
                </c:pt>
                <c:pt idx="67">
                  <c:v>46966</c:v>
                </c:pt>
                <c:pt idx="68">
                  <c:v>46997</c:v>
                </c:pt>
                <c:pt idx="69">
                  <c:v>47027</c:v>
                </c:pt>
                <c:pt idx="70">
                  <c:v>47058</c:v>
                </c:pt>
                <c:pt idx="71">
                  <c:v>47088</c:v>
                </c:pt>
                <c:pt idx="72">
                  <c:v>47119</c:v>
                </c:pt>
                <c:pt idx="73">
                  <c:v>47150</c:v>
                </c:pt>
                <c:pt idx="74">
                  <c:v>47178</c:v>
                </c:pt>
                <c:pt idx="75">
                  <c:v>47209</c:v>
                </c:pt>
                <c:pt idx="76">
                  <c:v>47239</c:v>
                </c:pt>
                <c:pt idx="77">
                  <c:v>47270</c:v>
                </c:pt>
                <c:pt idx="78">
                  <c:v>47300</c:v>
                </c:pt>
                <c:pt idx="79">
                  <c:v>47331</c:v>
                </c:pt>
                <c:pt idx="80">
                  <c:v>47362</c:v>
                </c:pt>
                <c:pt idx="81">
                  <c:v>47392</c:v>
                </c:pt>
                <c:pt idx="82">
                  <c:v>47423</c:v>
                </c:pt>
                <c:pt idx="83">
                  <c:v>47453</c:v>
                </c:pt>
                <c:pt idx="84">
                  <c:v>47484</c:v>
                </c:pt>
                <c:pt idx="85">
                  <c:v>47515</c:v>
                </c:pt>
                <c:pt idx="86">
                  <c:v>47543</c:v>
                </c:pt>
                <c:pt idx="87">
                  <c:v>47574</c:v>
                </c:pt>
                <c:pt idx="88">
                  <c:v>47604</c:v>
                </c:pt>
                <c:pt idx="89">
                  <c:v>47635</c:v>
                </c:pt>
                <c:pt idx="90">
                  <c:v>47665</c:v>
                </c:pt>
                <c:pt idx="91">
                  <c:v>47696</c:v>
                </c:pt>
                <c:pt idx="92">
                  <c:v>47727</c:v>
                </c:pt>
                <c:pt idx="93">
                  <c:v>47757</c:v>
                </c:pt>
                <c:pt idx="94">
                  <c:v>47788</c:v>
                </c:pt>
                <c:pt idx="95">
                  <c:v>47818</c:v>
                </c:pt>
              </c:numCache>
            </c:numRef>
          </c:cat>
          <c:val>
            <c:numRef>
              <c:f>'CNC (HX)'!$H$2:$H$95</c:f>
              <c:numCache>
                <c:formatCode>0.0</c:formatCode>
                <c:ptCount val="94"/>
                <c:pt idx="0">
                  <c:v>17.993079584775089</c:v>
                </c:pt>
                <c:pt idx="1">
                  <c:v>17.993079584775089</c:v>
                </c:pt>
                <c:pt idx="2">
                  <c:v>17.993079584775089</c:v>
                </c:pt>
                <c:pt idx="3">
                  <c:v>19.377162629757784</c:v>
                </c:pt>
                <c:pt idx="4">
                  <c:v>18.68512110726644</c:v>
                </c:pt>
                <c:pt idx="5">
                  <c:v>18.339100346020761</c:v>
                </c:pt>
                <c:pt idx="6">
                  <c:v>19.377162629757784</c:v>
                </c:pt>
                <c:pt idx="7">
                  <c:v>20.069204152249135</c:v>
                </c:pt>
                <c:pt idx="8">
                  <c:v>20.069204152249135</c:v>
                </c:pt>
                <c:pt idx="9">
                  <c:v>20.415224913494811</c:v>
                </c:pt>
                <c:pt idx="10">
                  <c:v>20.415224913494811</c:v>
                </c:pt>
                <c:pt idx="11">
                  <c:v>24.567474048442904</c:v>
                </c:pt>
                <c:pt idx="12">
                  <c:v>22.491349480968857</c:v>
                </c:pt>
                <c:pt idx="13">
                  <c:v>23.183391003460212</c:v>
                </c:pt>
                <c:pt idx="14">
                  <c:v>24.567474048442904</c:v>
                </c:pt>
                <c:pt idx="15">
                  <c:v>24.221453287197235</c:v>
                </c:pt>
                <c:pt idx="16">
                  <c:v>24.567474048442904</c:v>
                </c:pt>
                <c:pt idx="17">
                  <c:v>24.221453287197235</c:v>
                </c:pt>
                <c:pt idx="18">
                  <c:v>24.567474048442904</c:v>
                </c:pt>
                <c:pt idx="19">
                  <c:v>25.259515570934255</c:v>
                </c:pt>
                <c:pt idx="20">
                  <c:v>25.605536332179934</c:v>
                </c:pt>
                <c:pt idx="21">
                  <c:v>24.913494809688583</c:v>
                </c:pt>
                <c:pt idx="22">
                  <c:v>25.259515570934255</c:v>
                </c:pt>
                <c:pt idx="23">
                  <c:v>25.605536332179934</c:v>
                </c:pt>
                <c:pt idx="24">
                  <c:v>25.605536332179934</c:v>
                </c:pt>
                <c:pt idx="25">
                  <c:v>25.95155709342561</c:v>
                </c:pt>
                <c:pt idx="26">
                  <c:v>26.297577854671278</c:v>
                </c:pt>
                <c:pt idx="27">
                  <c:v>26.643598615916957</c:v>
                </c:pt>
                <c:pt idx="28">
                  <c:v>26.989619377162633</c:v>
                </c:pt>
                <c:pt idx="29">
                  <c:v>26.989619377162633</c:v>
                </c:pt>
                <c:pt idx="30">
                  <c:v>27.335640138408309</c:v>
                </c:pt>
                <c:pt idx="31">
                  <c:v>27.681660899653981</c:v>
                </c:pt>
                <c:pt idx="32">
                  <c:v>27.681660899653981</c:v>
                </c:pt>
                <c:pt idx="33">
                  <c:v>28.027681660899656</c:v>
                </c:pt>
                <c:pt idx="34">
                  <c:v>28.373702422145325</c:v>
                </c:pt>
                <c:pt idx="35">
                  <c:v>28.373702422145325</c:v>
                </c:pt>
                <c:pt idx="36">
                  <c:v>29.065743944636679</c:v>
                </c:pt>
                <c:pt idx="37">
                  <c:v>29.411764705882355</c:v>
                </c:pt>
                <c:pt idx="38">
                  <c:v>29.757785467128027</c:v>
                </c:pt>
                <c:pt idx="39">
                  <c:v>30.103806228373703</c:v>
                </c:pt>
                <c:pt idx="40">
                  <c:v>34.94809688581315</c:v>
                </c:pt>
                <c:pt idx="41">
                  <c:v>31.487889273356402</c:v>
                </c:pt>
                <c:pt idx="42">
                  <c:v>30.79584775086505</c:v>
                </c:pt>
                <c:pt idx="43">
                  <c:v>31.487889273356402</c:v>
                </c:pt>
              </c:numCache>
            </c:numRef>
          </c:val>
          <c:smooth val="0"/>
          <c:extLst>
            <c:ext xmlns:c16="http://schemas.microsoft.com/office/drawing/2014/chart" uri="{C3380CC4-5D6E-409C-BE32-E72D297353CC}">
              <c16:uniqueId val="{00000000-4E99-42D4-A67D-3CA87108A085}"/>
            </c:ext>
          </c:extLst>
        </c:ser>
        <c:ser>
          <c:idx val="1"/>
          <c:order val="1"/>
          <c:tx>
            <c:strRef>
              <c:f>'CNC (HX)'!$I$1</c:f>
              <c:strCache>
                <c:ptCount val="1"/>
                <c:pt idx="0">
                  <c:v>Forecast (%)</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numRef>
              <c:f>'CNC (HX)'!$C$2:$C$105</c:f>
              <c:numCache>
                <c:formatCode>mmm\-yy</c:formatCode>
                <c:ptCount val="10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pt idx="36">
                  <c:v>46023</c:v>
                </c:pt>
                <c:pt idx="37">
                  <c:v>46054</c:v>
                </c:pt>
                <c:pt idx="38">
                  <c:v>46082</c:v>
                </c:pt>
                <c:pt idx="39">
                  <c:v>46113</c:v>
                </c:pt>
                <c:pt idx="40">
                  <c:v>46143</c:v>
                </c:pt>
                <c:pt idx="41">
                  <c:v>46174</c:v>
                </c:pt>
                <c:pt idx="42">
                  <c:v>46204</c:v>
                </c:pt>
                <c:pt idx="43">
                  <c:v>46235</c:v>
                </c:pt>
                <c:pt idx="44">
                  <c:v>46266</c:v>
                </c:pt>
                <c:pt idx="45">
                  <c:v>46296</c:v>
                </c:pt>
                <c:pt idx="46">
                  <c:v>46327</c:v>
                </c:pt>
                <c:pt idx="47">
                  <c:v>46357</c:v>
                </c:pt>
                <c:pt idx="48">
                  <c:v>46388</c:v>
                </c:pt>
                <c:pt idx="49">
                  <c:v>46419</c:v>
                </c:pt>
                <c:pt idx="50">
                  <c:v>46447</c:v>
                </c:pt>
                <c:pt idx="51">
                  <c:v>46478</c:v>
                </c:pt>
                <c:pt idx="52">
                  <c:v>46508</c:v>
                </c:pt>
                <c:pt idx="53">
                  <c:v>46539</c:v>
                </c:pt>
                <c:pt idx="54">
                  <c:v>46569</c:v>
                </c:pt>
                <c:pt idx="55">
                  <c:v>46600</c:v>
                </c:pt>
                <c:pt idx="56">
                  <c:v>46631</c:v>
                </c:pt>
                <c:pt idx="57">
                  <c:v>46661</c:v>
                </c:pt>
                <c:pt idx="58">
                  <c:v>46692</c:v>
                </c:pt>
                <c:pt idx="59">
                  <c:v>46722</c:v>
                </c:pt>
                <c:pt idx="60">
                  <c:v>46753</c:v>
                </c:pt>
                <c:pt idx="61">
                  <c:v>46784</c:v>
                </c:pt>
                <c:pt idx="62">
                  <c:v>46813</c:v>
                </c:pt>
                <c:pt idx="63">
                  <c:v>46844</c:v>
                </c:pt>
                <c:pt idx="64">
                  <c:v>46874</c:v>
                </c:pt>
                <c:pt idx="65">
                  <c:v>46905</c:v>
                </c:pt>
                <c:pt idx="66">
                  <c:v>46935</c:v>
                </c:pt>
                <c:pt idx="67">
                  <c:v>46966</c:v>
                </c:pt>
                <c:pt idx="68">
                  <c:v>46997</c:v>
                </c:pt>
                <c:pt idx="69">
                  <c:v>47027</c:v>
                </c:pt>
                <c:pt idx="70">
                  <c:v>47058</c:v>
                </c:pt>
                <c:pt idx="71">
                  <c:v>47088</c:v>
                </c:pt>
                <c:pt idx="72">
                  <c:v>47119</c:v>
                </c:pt>
                <c:pt idx="73">
                  <c:v>47150</c:v>
                </c:pt>
                <c:pt idx="74">
                  <c:v>47178</c:v>
                </c:pt>
                <c:pt idx="75">
                  <c:v>47209</c:v>
                </c:pt>
                <c:pt idx="76">
                  <c:v>47239</c:v>
                </c:pt>
                <c:pt idx="77">
                  <c:v>47270</c:v>
                </c:pt>
                <c:pt idx="78">
                  <c:v>47300</c:v>
                </c:pt>
                <c:pt idx="79">
                  <c:v>47331</c:v>
                </c:pt>
                <c:pt idx="80">
                  <c:v>47362</c:v>
                </c:pt>
                <c:pt idx="81">
                  <c:v>47392</c:v>
                </c:pt>
                <c:pt idx="82">
                  <c:v>47423</c:v>
                </c:pt>
                <c:pt idx="83">
                  <c:v>47453</c:v>
                </c:pt>
                <c:pt idx="84">
                  <c:v>47484</c:v>
                </c:pt>
                <c:pt idx="85">
                  <c:v>47515</c:v>
                </c:pt>
                <c:pt idx="86">
                  <c:v>47543</c:v>
                </c:pt>
                <c:pt idx="87">
                  <c:v>47574</c:v>
                </c:pt>
                <c:pt idx="88">
                  <c:v>47604</c:v>
                </c:pt>
                <c:pt idx="89">
                  <c:v>47635</c:v>
                </c:pt>
                <c:pt idx="90">
                  <c:v>47665</c:v>
                </c:pt>
                <c:pt idx="91">
                  <c:v>47696</c:v>
                </c:pt>
                <c:pt idx="92">
                  <c:v>47727</c:v>
                </c:pt>
                <c:pt idx="93">
                  <c:v>47757</c:v>
                </c:pt>
                <c:pt idx="94">
                  <c:v>47788</c:v>
                </c:pt>
                <c:pt idx="95">
                  <c:v>47818</c:v>
                </c:pt>
              </c:numCache>
            </c:numRef>
          </c:cat>
          <c:val>
            <c:numRef>
              <c:f>'CNC (HX)'!$I$2:$I$105</c:f>
              <c:numCache>
                <c:formatCode>0.0</c:formatCode>
                <c:ptCount val="104"/>
                <c:pt idx="43">
                  <c:v>31.487889273356402</c:v>
                </c:pt>
                <c:pt idx="44">
                  <c:v>31.690483301041635</c:v>
                </c:pt>
                <c:pt idx="45">
                  <c:v>31.8943808248011</c:v>
                </c:pt>
                <c:pt idx="46">
                  <c:v>32.099590231367785</c:v>
                </c:pt>
                <c:pt idx="47">
                  <c:v>32.306119961435172</c:v>
                </c:pt>
                <c:pt idx="48">
                  <c:v>32.513978510004435</c:v>
                </c:pt>
                <c:pt idx="49">
                  <c:v>32.723174426733806</c:v>
                </c:pt>
                <c:pt idx="50">
                  <c:v>32.933716316290301</c:v>
                </c:pt>
                <c:pt idx="51">
                  <c:v>33.145612838703627</c:v>
                </c:pt>
                <c:pt idx="52">
                  <c:v>33.358872709722363</c:v>
                </c:pt>
                <c:pt idx="53">
                  <c:v>33.573504701172489</c:v>
                </c:pt>
                <c:pt idx="54">
                  <c:v>33.789517641318177</c:v>
                </c:pt>
                <c:pt idx="55">
                  <c:v>34.006920415224911</c:v>
                </c:pt>
                <c:pt idx="56">
                  <c:v>34.225721965124961</c:v>
                </c:pt>
                <c:pt idx="57">
                  <c:v>34.445931290785182</c:v>
                </c:pt>
                <c:pt idx="58">
                  <c:v>34.667557449877208</c:v>
                </c:pt>
                <c:pt idx="59">
                  <c:v>34.890609558349993</c:v>
                </c:pt>
                <c:pt idx="60">
                  <c:v>35.115096790804792</c:v>
                </c:pt>
                <c:pt idx="61">
                  <c:v>35.341028380872515</c:v>
                </c:pt>
                <c:pt idx="62">
                  <c:v>35.568413621593528</c:v>
                </c:pt>
                <c:pt idx="63">
                  <c:v>35.797261865799925</c:v>
                </c:pt>
                <c:pt idx="64">
                  <c:v>36.027582526500154</c:v>
                </c:pt>
                <c:pt idx="65">
                  <c:v>36.259385077266295</c:v>
                </c:pt>
                <c:pt idx="66">
                  <c:v>36.492679052623629</c:v>
                </c:pt>
                <c:pt idx="67">
                  <c:v>36.727474048442907</c:v>
                </c:pt>
                <c:pt idx="68">
                  <c:v>36.963779722334955</c:v>
                </c:pt>
                <c:pt idx="69">
                  <c:v>37.201605794048</c:v>
                </c:pt>
                <c:pt idx="70">
                  <c:v>37.44096204586738</c:v>
                </c:pt>
                <c:pt idx="71">
                  <c:v>37.681858323017977</c:v>
                </c:pt>
                <c:pt idx="72">
                  <c:v>37.924304534069165</c:v>
                </c:pt>
                <c:pt idx="73">
                  <c:v>38.168310651342303</c:v>
                </c:pt>
                <c:pt idx="74">
                  <c:v>38.413886711320998</c:v>
                </c:pt>
                <c:pt idx="75">
                  <c:v>38.661042815063901</c:v>
                </c:pt>
                <c:pt idx="76">
                  <c:v>38.909789128620154</c:v>
                </c:pt>
                <c:pt idx="77">
                  <c:v>39.16013588344758</c:v>
                </c:pt>
                <c:pt idx="78">
                  <c:v>39.412093376833504</c:v>
                </c:pt>
                <c:pt idx="79">
                  <c:v>39.665671972318314</c:v>
                </c:pt>
                <c:pt idx="80">
                  <c:v>39.920882100121737</c:v>
                </c:pt>
                <c:pt idx="81">
                  <c:v>40.177734257571814</c:v>
                </c:pt>
                <c:pt idx="82">
                  <c:v>40.436239009536749</c:v>
                </c:pt>
                <c:pt idx="83">
                  <c:v>40.696406988859401</c:v>
                </c:pt>
                <c:pt idx="84">
                  <c:v>40.958248896794672</c:v>
                </c:pt>
                <c:pt idx="85">
                  <c:v>41.221775503449663</c:v>
                </c:pt>
                <c:pt idx="86">
                  <c:v>41.486997648226662</c:v>
                </c:pt>
                <c:pt idx="87">
                  <c:v>41.753926240269003</c:v>
                </c:pt>
                <c:pt idx="88">
                  <c:v>42.022572258909754</c:v>
                </c:pt>
                <c:pt idx="89">
                  <c:v>42.292946754123371</c:v>
                </c:pt>
                <c:pt idx="90">
                  <c:v>42.565060846980167</c:v>
                </c:pt>
                <c:pt idx="91">
                  <c:v>42.838925730103767</c:v>
                </c:pt>
                <c:pt idx="92">
                  <c:v>43.114552668131459</c:v>
                </c:pt>
                <c:pt idx="93">
                  <c:v>43.391952998177544</c:v>
                </c:pt>
                <c:pt idx="94">
                  <c:v>43.671138130299674</c:v>
                </c:pt>
                <c:pt idx="95">
                  <c:v>43.952119547968138</c:v>
                </c:pt>
              </c:numCache>
            </c:numRef>
          </c:val>
          <c:smooth val="0"/>
          <c:extLst>
            <c:ext xmlns:c16="http://schemas.microsoft.com/office/drawing/2014/chart" uri="{C3380CC4-5D6E-409C-BE32-E72D297353CC}">
              <c16:uniqueId val="{00000001-4E99-42D4-A67D-3CA87108A085}"/>
            </c:ext>
          </c:extLst>
        </c:ser>
        <c:ser>
          <c:idx val="2"/>
          <c:order val="2"/>
          <c:tx>
            <c:strRef>
              <c:f>'CNC (HX)'!$J$1</c:f>
              <c:strCache>
                <c:ptCount val="1"/>
                <c:pt idx="0">
                  <c:v>Max %</c:v>
                </c:pt>
              </c:strCache>
            </c:strRef>
          </c:tx>
          <c:spPr>
            <a:ln w="22225" cap="rnd">
              <a:solidFill>
                <a:schemeClr val="accent3"/>
              </a:solidFill>
            </a:ln>
            <a:effectLst>
              <a:glow rad="139700">
                <a:schemeClr val="accent3">
                  <a:satMod val="175000"/>
                  <a:alpha val="14000"/>
                </a:schemeClr>
              </a:glow>
            </a:effectLst>
          </c:spPr>
          <c:marker>
            <c:symbol val="none"/>
          </c:marker>
          <c:cat>
            <c:numRef>
              <c:f>'CNC (HX)'!$C$2:$C$105</c:f>
              <c:numCache>
                <c:formatCode>mmm\-yy</c:formatCode>
                <c:ptCount val="10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pt idx="36">
                  <c:v>46023</c:v>
                </c:pt>
                <c:pt idx="37">
                  <c:v>46054</c:v>
                </c:pt>
                <c:pt idx="38">
                  <c:v>46082</c:v>
                </c:pt>
                <c:pt idx="39">
                  <c:v>46113</c:v>
                </c:pt>
                <c:pt idx="40">
                  <c:v>46143</c:v>
                </c:pt>
                <c:pt idx="41">
                  <c:v>46174</c:v>
                </c:pt>
                <c:pt idx="42">
                  <c:v>46204</c:v>
                </c:pt>
                <c:pt idx="43">
                  <c:v>46235</c:v>
                </c:pt>
                <c:pt idx="44">
                  <c:v>46266</c:v>
                </c:pt>
                <c:pt idx="45">
                  <c:v>46296</c:v>
                </c:pt>
                <c:pt idx="46">
                  <c:v>46327</c:v>
                </c:pt>
                <c:pt idx="47">
                  <c:v>46357</c:v>
                </c:pt>
                <c:pt idx="48">
                  <c:v>46388</c:v>
                </c:pt>
                <c:pt idx="49">
                  <c:v>46419</c:v>
                </c:pt>
                <c:pt idx="50">
                  <c:v>46447</c:v>
                </c:pt>
                <c:pt idx="51">
                  <c:v>46478</c:v>
                </c:pt>
                <c:pt idx="52">
                  <c:v>46508</c:v>
                </c:pt>
                <c:pt idx="53">
                  <c:v>46539</c:v>
                </c:pt>
                <c:pt idx="54">
                  <c:v>46569</c:v>
                </c:pt>
                <c:pt idx="55">
                  <c:v>46600</c:v>
                </c:pt>
                <c:pt idx="56">
                  <c:v>46631</c:v>
                </c:pt>
                <c:pt idx="57">
                  <c:v>46661</c:v>
                </c:pt>
                <c:pt idx="58">
                  <c:v>46692</c:v>
                </c:pt>
                <c:pt idx="59">
                  <c:v>46722</c:v>
                </c:pt>
                <c:pt idx="60">
                  <c:v>46753</c:v>
                </c:pt>
                <c:pt idx="61">
                  <c:v>46784</c:v>
                </c:pt>
                <c:pt idx="62">
                  <c:v>46813</c:v>
                </c:pt>
                <c:pt idx="63">
                  <c:v>46844</c:v>
                </c:pt>
                <c:pt idx="64">
                  <c:v>46874</c:v>
                </c:pt>
                <c:pt idx="65">
                  <c:v>46905</c:v>
                </c:pt>
                <c:pt idx="66">
                  <c:v>46935</c:v>
                </c:pt>
                <c:pt idx="67">
                  <c:v>46966</c:v>
                </c:pt>
                <c:pt idx="68">
                  <c:v>46997</c:v>
                </c:pt>
                <c:pt idx="69">
                  <c:v>47027</c:v>
                </c:pt>
                <c:pt idx="70">
                  <c:v>47058</c:v>
                </c:pt>
                <c:pt idx="71">
                  <c:v>47088</c:v>
                </c:pt>
                <c:pt idx="72">
                  <c:v>47119</c:v>
                </c:pt>
                <c:pt idx="73">
                  <c:v>47150</c:v>
                </c:pt>
                <c:pt idx="74">
                  <c:v>47178</c:v>
                </c:pt>
                <c:pt idx="75">
                  <c:v>47209</c:v>
                </c:pt>
                <c:pt idx="76">
                  <c:v>47239</c:v>
                </c:pt>
                <c:pt idx="77">
                  <c:v>47270</c:v>
                </c:pt>
                <c:pt idx="78">
                  <c:v>47300</c:v>
                </c:pt>
                <c:pt idx="79">
                  <c:v>47331</c:v>
                </c:pt>
                <c:pt idx="80">
                  <c:v>47362</c:v>
                </c:pt>
                <c:pt idx="81">
                  <c:v>47392</c:v>
                </c:pt>
                <c:pt idx="82">
                  <c:v>47423</c:v>
                </c:pt>
                <c:pt idx="83">
                  <c:v>47453</c:v>
                </c:pt>
                <c:pt idx="84">
                  <c:v>47484</c:v>
                </c:pt>
                <c:pt idx="85">
                  <c:v>47515</c:v>
                </c:pt>
                <c:pt idx="86">
                  <c:v>47543</c:v>
                </c:pt>
                <c:pt idx="87">
                  <c:v>47574</c:v>
                </c:pt>
                <c:pt idx="88">
                  <c:v>47604</c:v>
                </c:pt>
                <c:pt idx="89">
                  <c:v>47635</c:v>
                </c:pt>
                <c:pt idx="90">
                  <c:v>47665</c:v>
                </c:pt>
                <c:pt idx="91">
                  <c:v>47696</c:v>
                </c:pt>
                <c:pt idx="92">
                  <c:v>47727</c:v>
                </c:pt>
                <c:pt idx="93">
                  <c:v>47757</c:v>
                </c:pt>
                <c:pt idx="94">
                  <c:v>47788</c:v>
                </c:pt>
                <c:pt idx="95">
                  <c:v>47818</c:v>
                </c:pt>
              </c:numCache>
            </c:numRef>
          </c:cat>
          <c:val>
            <c:numRef>
              <c:f>'CNC (HX)'!$J$2:$J$105</c:f>
              <c:numCache>
                <c:formatCode>General</c:formatCode>
                <c:ptCount val="104"/>
                <c:pt idx="0">
                  <c:v>75</c:v>
                </c:pt>
                <c:pt idx="1">
                  <c:v>75</c:v>
                </c:pt>
                <c:pt idx="2">
                  <c:v>75</c:v>
                </c:pt>
                <c:pt idx="3">
                  <c:v>75</c:v>
                </c:pt>
                <c:pt idx="4">
                  <c:v>75</c:v>
                </c:pt>
                <c:pt idx="5">
                  <c:v>75</c:v>
                </c:pt>
                <c:pt idx="6">
                  <c:v>75</c:v>
                </c:pt>
                <c:pt idx="7">
                  <c:v>75</c:v>
                </c:pt>
                <c:pt idx="8">
                  <c:v>75</c:v>
                </c:pt>
                <c:pt idx="9">
                  <c:v>75</c:v>
                </c:pt>
                <c:pt idx="10">
                  <c:v>75</c:v>
                </c:pt>
                <c:pt idx="11">
                  <c:v>75</c:v>
                </c:pt>
                <c:pt idx="12">
                  <c:v>75</c:v>
                </c:pt>
                <c:pt idx="13">
                  <c:v>75</c:v>
                </c:pt>
                <c:pt idx="14">
                  <c:v>75</c:v>
                </c:pt>
                <c:pt idx="15">
                  <c:v>75</c:v>
                </c:pt>
                <c:pt idx="16">
                  <c:v>75</c:v>
                </c:pt>
                <c:pt idx="17">
                  <c:v>75</c:v>
                </c:pt>
                <c:pt idx="18">
                  <c:v>75</c:v>
                </c:pt>
                <c:pt idx="19">
                  <c:v>75</c:v>
                </c:pt>
                <c:pt idx="20">
                  <c:v>75</c:v>
                </c:pt>
                <c:pt idx="21">
                  <c:v>75</c:v>
                </c:pt>
                <c:pt idx="22">
                  <c:v>75</c:v>
                </c:pt>
                <c:pt idx="23">
                  <c:v>75</c:v>
                </c:pt>
                <c:pt idx="24">
                  <c:v>75</c:v>
                </c:pt>
                <c:pt idx="25">
                  <c:v>75</c:v>
                </c:pt>
                <c:pt idx="26">
                  <c:v>75</c:v>
                </c:pt>
                <c:pt idx="27">
                  <c:v>75</c:v>
                </c:pt>
                <c:pt idx="28">
                  <c:v>75</c:v>
                </c:pt>
                <c:pt idx="29">
                  <c:v>75</c:v>
                </c:pt>
                <c:pt idx="30">
                  <c:v>75</c:v>
                </c:pt>
                <c:pt idx="31">
                  <c:v>75</c:v>
                </c:pt>
                <c:pt idx="32">
                  <c:v>75</c:v>
                </c:pt>
                <c:pt idx="33">
                  <c:v>75</c:v>
                </c:pt>
                <c:pt idx="34">
                  <c:v>75</c:v>
                </c:pt>
                <c:pt idx="35">
                  <c:v>75</c:v>
                </c:pt>
                <c:pt idx="36">
                  <c:v>75</c:v>
                </c:pt>
                <c:pt idx="37">
                  <c:v>75</c:v>
                </c:pt>
                <c:pt idx="38">
                  <c:v>75</c:v>
                </c:pt>
                <c:pt idx="39">
                  <c:v>75</c:v>
                </c:pt>
                <c:pt idx="40">
                  <c:v>75</c:v>
                </c:pt>
                <c:pt idx="41">
                  <c:v>75</c:v>
                </c:pt>
                <c:pt idx="42">
                  <c:v>75</c:v>
                </c:pt>
                <c:pt idx="43">
                  <c:v>75</c:v>
                </c:pt>
                <c:pt idx="44">
                  <c:v>75</c:v>
                </c:pt>
                <c:pt idx="45">
                  <c:v>75</c:v>
                </c:pt>
                <c:pt idx="46">
                  <c:v>75</c:v>
                </c:pt>
                <c:pt idx="47">
                  <c:v>75</c:v>
                </c:pt>
                <c:pt idx="48">
                  <c:v>75</c:v>
                </c:pt>
                <c:pt idx="49">
                  <c:v>75</c:v>
                </c:pt>
                <c:pt idx="50">
                  <c:v>75</c:v>
                </c:pt>
                <c:pt idx="51">
                  <c:v>75</c:v>
                </c:pt>
                <c:pt idx="52">
                  <c:v>75</c:v>
                </c:pt>
                <c:pt idx="53">
                  <c:v>75</c:v>
                </c:pt>
                <c:pt idx="54">
                  <c:v>75</c:v>
                </c:pt>
                <c:pt idx="55">
                  <c:v>75</c:v>
                </c:pt>
                <c:pt idx="56">
                  <c:v>75</c:v>
                </c:pt>
                <c:pt idx="57">
                  <c:v>75</c:v>
                </c:pt>
                <c:pt idx="58">
                  <c:v>75</c:v>
                </c:pt>
                <c:pt idx="59">
                  <c:v>75</c:v>
                </c:pt>
                <c:pt idx="60">
                  <c:v>75</c:v>
                </c:pt>
                <c:pt idx="61">
                  <c:v>75</c:v>
                </c:pt>
                <c:pt idx="62">
                  <c:v>75</c:v>
                </c:pt>
                <c:pt idx="63">
                  <c:v>75</c:v>
                </c:pt>
                <c:pt idx="64">
                  <c:v>75</c:v>
                </c:pt>
                <c:pt idx="65">
                  <c:v>75</c:v>
                </c:pt>
                <c:pt idx="66">
                  <c:v>75</c:v>
                </c:pt>
                <c:pt idx="67">
                  <c:v>75</c:v>
                </c:pt>
                <c:pt idx="68">
                  <c:v>75</c:v>
                </c:pt>
                <c:pt idx="69">
                  <c:v>75</c:v>
                </c:pt>
                <c:pt idx="70">
                  <c:v>75</c:v>
                </c:pt>
                <c:pt idx="71">
                  <c:v>75</c:v>
                </c:pt>
                <c:pt idx="72">
                  <c:v>75</c:v>
                </c:pt>
                <c:pt idx="73">
                  <c:v>75</c:v>
                </c:pt>
                <c:pt idx="74">
                  <c:v>75</c:v>
                </c:pt>
                <c:pt idx="75">
                  <c:v>75</c:v>
                </c:pt>
                <c:pt idx="76">
                  <c:v>75</c:v>
                </c:pt>
                <c:pt idx="77">
                  <c:v>75</c:v>
                </c:pt>
                <c:pt idx="78">
                  <c:v>75</c:v>
                </c:pt>
                <c:pt idx="79">
                  <c:v>75</c:v>
                </c:pt>
                <c:pt idx="80">
                  <c:v>75</c:v>
                </c:pt>
                <c:pt idx="81">
                  <c:v>75</c:v>
                </c:pt>
                <c:pt idx="82">
                  <c:v>75</c:v>
                </c:pt>
                <c:pt idx="83">
                  <c:v>75</c:v>
                </c:pt>
                <c:pt idx="84">
                  <c:v>75</c:v>
                </c:pt>
                <c:pt idx="85">
                  <c:v>75</c:v>
                </c:pt>
                <c:pt idx="86">
                  <c:v>75</c:v>
                </c:pt>
                <c:pt idx="87">
                  <c:v>75</c:v>
                </c:pt>
                <c:pt idx="88">
                  <c:v>75</c:v>
                </c:pt>
                <c:pt idx="89">
                  <c:v>75</c:v>
                </c:pt>
                <c:pt idx="90">
                  <c:v>75</c:v>
                </c:pt>
                <c:pt idx="91">
                  <c:v>75</c:v>
                </c:pt>
                <c:pt idx="92">
                  <c:v>75</c:v>
                </c:pt>
                <c:pt idx="93">
                  <c:v>75</c:v>
                </c:pt>
                <c:pt idx="94">
                  <c:v>75</c:v>
                </c:pt>
                <c:pt idx="95">
                  <c:v>75</c:v>
                </c:pt>
              </c:numCache>
            </c:numRef>
          </c:val>
          <c:smooth val="0"/>
          <c:extLst>
            <c:ext xmlns:c16="http://schemas.microsoft.com/office/drawing/2014/chart" uri="{C3380CC4-5D6E-409C-BE32-E72D297353CC}">
              <c16:uniqueId val="{00000002-4E99-42D4-A67D-3CA87108A085}"/>
            </c:ext>
          </c:extLst>
        </c:ser>
        <c:dLbls>
          <c:showLegendKey val="0"/>
          <c:showVal val="0"/>
          <c:showCatName val="0"/>
          <c:showSerName val="0"/>
          <c:showPercent val="0"/>
          <c:showBubbleSize val="0"/>
        </c:dLbls>
        <c:smooth val="0"/>
        <c:axId val="923718064"/>
        <c:axId val="923722640"/>
      </c:lineChart>
      <c:dateAx>
        <c:axId val="92371806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mmm\-yy"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23722640"/>
        <c:crosses val="autoZero"/>
        <c:auto val="1"/>
        <c:lblOffset val="100"/>
        <c:baseTimeUnit val="months"/>
      </c:dateAx>
      <c:valAx>
        <c:axId val="923722640"/>
        <c:scaling>
          <c:orientation val="minMax"/>
          <c:max val="100"/>
          <c:min val="20"/>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2371806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'GBW (HX)'!$H$1</c:f>
              <c:strCache>
                <c:ptCount val="1"/>
                <c:pt idx="0">
                  <c:v>In use (%)</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numRef>
              <c:f>'GBW (HX)'!$C$2:$C$105</c:f>
              <c:numCache>
                <c:formatCode>mmm\-yy</c:formatCode>
                <c:ptCount val="10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pt idx="36">
                  <c:v>46023</c:v>
                </c:pt>
                <c:pt idx="37">
                  <c:v>46054</c:v>
                </c:pt>
                <c:pt idx="38">
                  <c:v>46082</c:v>
                </c:pt>
                <c:pt idx="39">
                  <c:v>46113</c:v>
                </c:pt>
                <c:pt idx="40">
                  <c:v>46143</c:v>
                </c:pt>
                <c:pt idx="41">
                  <c:v>46174</c:v>
                </c:pt>
                <c:pt idx="42">
                  <c:v>46204</c:v>
                </c:pt>
                <c:pt idx="43">
                  <c:v>46235</c:v>
                </c:pt>
                <c:pt idx="44">
                  <c:v>46266</c:v>
                </c:pt>
                <c:pt idx="45">
                  <c:v>46296</c:v>
                </c:pt>
                <c:pt idx="46">
                  <c:v>46327</c:v>
                </c:pt>
                <c:pt idx="47">
                  <c:v>46357</c:v>
                </c:pt>
                <c:pt idx="48">
                  <c:v>46388</c:v>
                </c:pt>
                <c:pt idx="49">
                  <c:v>46419</c:v>
                </c:pt>
                <c:pt idx="50">
                  <c:v>46447</c:v>
                </c:pt>
                <c:pt idx="51">
                  <c:v>46478</c:v>
                </c:pt>
                <c:pt idx="52">
                  <c:v>46508</c:v>
                </c:pt>
                <c:pt idx="53">
                  <c:v>46539</c:v>
                </c:pt>
                <c:pt idx="54">
                  <c:v>46569</c:v>
                </c:pt>
                <c:pt idx="55">
                  <c:v>46600</c:v>
                </c:pt>
                <c:pt idx="56">
                  <c:v>46631</c:v>
                </c:pt>
                <c:pt idx="57">
                  <c:v>46661</c:v>
                </c:pt>
                <c:pt idx="58">
                  <c:v>46692</c:v>
                </c:pt>
                <c:pt idx="59">
                  <c:v>46722</c:v>
                </c:pt>
                <c:pt idx="60">
                  <c:v>46753</c:v>
                </c:pt>
                <c:pt idx="61">
                  <c:v>46784</c:v>
                </c:pt>
                <c:pt idx="62">
                  <c:v>46813</c:v>
                </c:pt>
                <c:pt idx="63">
                  <c:v>46844</c:v>
                </c:pt>
                <c:pt idx="64">
                  <c:v>46874</c:v>
                </c:pt>
                <c:pt idx="65">
                  <c:v>46905</c:v>
                </c:pt>
                <c:pt idx="66">
                  <c:v>46935</c:v>
                </c:pt>
                <c:pt idx="67">
                  <c:v>46966</c:v>
                </c:pt>
                <c:pt idx="68">
                  <c:v>46997</c:v>
                </c:pt>
                <c:pt idx="69">
                  <c:v>47027</c:v>
                </c:pt>
                <c:pt idx="70">
                  <c:v>47058</c:v>
                </c:pt>
                <c:pt idx="71">
                  <c:v>47088</c:v>
                </c:pt>
                <c:pt idx="72">
                  <c:v>47119</c:v>
                </c:pt>
                <c:pt idx="73">
                  <c:v>47150</c:v>
                </c:pt>
                <c:pt idx="74">
                  <c:v>47178</c:v>
                </c:pt>
                <c:pt idx="75">
                  <c:v>47209</c:v>
                </c:pt>
                <c:pt idx="76">
                  <c:v>47239</c:v>
                </c:pt>
                <c:pt idx="77">
                  <c:v>47270</c:v>
                </c:pt>
                <c:pt idx="78">
                  <c:v>47300</c:v>
                </c:pt>
                <c:pt idx="79">
                  <c:v>47331</c:v>
                </c:pt>
                <c:pt idx="80">
                  <c:v>47362</c:v>
                </c:pt>
                <c:pt idx="81">
                  <c:v>47392</c:v>
                </c:pt>
                <c:pt idx="82">
                  <c:v>47423</c:v>
                </c:pt>
                <c:pt idx="83">
                  <c:v>47453</c:v>
                </c:pt>
                <c:pt idx="84">
                  <c:v>47484</c:v>
                </c:pt>
                <c:pt idx="85">
                  <c:v>47515</c:v>
                </c:pt>
                <c:pt idx="86">
                  <c:v>47543</c:v>
                </c:pt>
                <c:pt idx="87">
                  <c:v>47574</c:v>
                </c:pt>
                <c:pt idx="88">
                  <c:v>47604</c:v>
                </c:pt>
                <c:pt idx="89">
                  <c:v>47635</c:v>
                </c:pt>
                <c:pt idx="90">
                  <c:v>47665</c:v>
                </c:pt>
                <c:pt idx="91">
                  <c:v>47696</c:v>
                </c:pt>
                <c:pt idx="92">
                  <c:v>47727</c:v>
                </c:pt>
                <c:pt idx="93">
                  <c:v>47757</c:v>
                </c:pt>
                <c:pt idx="94">
                  <c:v>47788</c:v>
                </c:pt>
                <c:pt idx="95">
                  <c:v>47818</c:v>
                </c:pt>
              </c:numCache>
            </c:numRef>
          </c:cat>
          <c:val>
            <c:numRef>
              <c:f>'GBW (HX)'!$H$2:$H$95</c:f>
              <c:numCache>
                <c:formatCode>0.0</c:formatCode>
                <c:ptCount val="94"/>
                <c:pt idx="0">
                  <c:v>40.993788819875768</c:v>
                </c:pt>
                <c:pt idx="1">
                  <c:v>40.993788819875768</c:v>
                </c:pt>
                <c:pt idx="2">
                  <c:v>44.099378881987569</c:v>
                </c:pt>
                <c:pt idx="3">
                  <c:v>42.857142857142854</c:v>
                </c:pt>
                <c:pt idx="4">
                  <c:v>42.857142857142854</c:v>
                </c:pt>
                <c:pt idx="5">
                  <c:v>39.751552795031053</c:v>
                </c:pt>
                <c:pt idx="6">
                  <c:v>41.614906832298132</c:v>
                </c:pt>
                <c:pt idx="7">
                  <c:v>41.614906832298132</c:v>
                </c:pt>
                <c:pt idx="8">
                  <c:v>42.236024844720497</c:v>
                </c:pt>
                <c:pt idx="9">
                  <c:v>41.614906832298132</c:v>
                </c:pt>
                <c:pt idx="10">
                  <c:v>42.236024844720497</c:v>
                </c:pt>
                <c:pt idx="11">
                  <c:v>39.130434782608688</c:v>
                </c:pt>
                <c:pt idx="12">
                  <c:v>39.751552795031053</c:v>
                </c:pt>
                <c:pt idx="13">
                  <c:v>40.993788819875768</c:v>
                </c:pt>
                <c:pt idx="14">
                  <c:v>40.993788819875768</c:v>
                </c:pt>
                <c:pt idx="15">
                  <c:v>40.993788819875768</c:v>
                </c:pt>
                <c:pt idx="16">
                  <c:v>39.751552795031053</c:v>
                </c:pt>
                <c:pt idx="17">
                  <c:v>40.993788819875768</c:v>
                </c:pt>
                <c:pt idx="18">
                  <c:v>41.614906832298132</c:v>
                </c:pt>
                <c:pt idx="19">
                  <c:v>44.720496894409933</c:v>
                </c:pt>
                <c:pt idx="20">
                  <c:v>45.962732919254655</c:v>
                </c:pt>
                <c:pt idx="21">
                  <c:v>47.826086956521735</c:v>
                </c:pt>
                <c:pt idx="22">
                  <c:v>47.826086956521735</c:v>
                </c:pt>
                <c:pt idx="23">
                  <c:v>45.962732919254655</c:v>
                </c:pt>
                <c:pt idx="24">
                  <c:v>47.20496894409937</c:v>
                </c:pt>
                <c:pt idx="25">
                  <c:v>45.962732919254655</c:v>
                </c:pt>
                <c:pt idx="26">
                  <c:v>46.583850931677013</c:v>
                </c:pt>
                <c:pt idx="27">
                  <c:v>47.826086956521735</c:v>
                </c:pt>
                <c:pt idx="28">
                  <c:v>47.826086956521735</c:v>
                </c:pt>
                <c:pt idx="29">
                  <c:v>47.826086956521735</c:v>
                </c:pt>
                <c:pt idx="30">
                  <c:v>48.447204968944099</c:v>
                </c:pt>
                <c:pt idx="31">
                  <c:v>49.689440993788814</c:v>
                </c:pt>
                <c:pt idx="32">
                  <c:v>49.689440993788814</c:v>
                </c:pt>
                <c:pt idx="33">
                  <c:v>49.689440993788814</c:v>
                </c:pt>
                <c:pt idx="34">
                  <c:v>45.341614906832298</c:v>
                </c:pt>
                <c:pt idx="35">
                  <c:v>47.826086956521735</c:v>
                </c:pt>
                <c:pt idx="36">
                  <c:v>49.068322981366457</c:v>
                </c:pt>
                <c:pt idx="37">
                  <c:v>49.689440993788814</c:v>
                </c:pt>
                <c:pt idx="38">
                  <c:v>49.689440993788814</c:v>
                </c:pt>
                <c:pt idx="39">
                  <c:v>49.689440993788814</c:v>
                </c:pt>
                <c:pt idx="40">
                  <c:v>49.689440993788814</c:v>
                </c:pt>
                <c:pt idx="41">
                  <c:v>49.689440993788814</c:v>
                </c:pt>
                <c:pt idx="42">
                  <c:v>49.689440993788814</c:v>
                </c:pt>
                <c:pt idx="43">
                  <c:v>45.341614906832298</c:v>
                </c:pt>
              </c:numCache>
            </c:numRef>
          </c:val>
          <c:smooth val="0"/>
          <c:extLst>
            <c:ext xmlns:c16="http://schemas.microsoft.com/office/drawing/2014/chart" uri="{C3380CC4-5D6E-409C-BE32-E72D297353CC}">
              <c16:uniqueId val="{00000000-6E93-44EA-B7DD-E404F4A91247}"/>
            </c:ext>
          </c:extLst>
        </c:ser>
        <c:ser>
          <c:idx val="1"/>
          <c:order val="1"/>
          <c:tx>
            <c:strRef>
              <c:f>'GBW (HX)'!$I$1</c:f>
              <c:strCache>
                <c:ptCount val="1"/>
                <c:pt idx="0">
                  <c:v>Forecast (%)</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numRef>
              <c:f>'GBW (HX)'!$C$2:$C$105</c:f>
              <c:numCache>
                <c:formatCode>mmm\-yy</c:formatCode>
                <c:ptCount val="10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pt idx="36">
                  <c:v>46023</c:v>
                </c:pt>
                <c:pt idx="37">
                  <c:v>46054</c:v>
                </c:pt>
                <c:pt idx="38">
                  <c:v>46082</c:v>
                </c:pt>
                <c:pt idx="39">
                  <c:v>46113</c:v>
                </c:pt>
                <c:pt idx="40">
                  <c:v>46143</c:v>
                </c:pt>
                <c:pt idx="41">
                  <c:v>46174</c:v>
                </c:pt>
                <c:pt idx="42">
                  <c:v>46204</c:v>
                </c:pt>
                <c:pt idx="43">
                  <c:v>46235</c:v>
                </c:pt>
                <c:pt idx="44">
                  <c:v>46266</c:v>
                </c:pt>
                <c:pt idx="45">
                  <c:v>46296</c:v>
                </c:pt>
                <c:pt idx="46">
                  <c:v>46327</c:v>
                </c:pt>
                <c:pt idx="47">
                  <c:v>46357</c:v>
                </c:pt>
                <c:pt idx="48">
                  <c:v>46388</c:v>
                </c:pt>
                <c:pt idx="49">
                  <c:v>46419</c:v>
                </c:pt>
                <c:pt idx="50">
                  <c:v>46447</c:v>
                </c:pt>
                <c:pt idx="51">
                  <c:v>46478</c:v>
                </c:pt>
                <c:pt idx="52">
                  <c:v>46508</c:v>
                </c:pt>
                <c:pt idx="53">
                  <c:v>46539</c:v>
                </c:pt>
                <c:pt idx="54">
                  <c:v>46569</c:v>
                </c:pt>
                <c:pt idx="55">
                  <c:v>46600</c:v>
                </c:pt>
                <c:pt idx="56">
                  <c:v>46631</c:v>
                </c:pt>
                <c:pt idx="57">
                  <c:v>46661</c:v>
                </c:pt>
                <c:pt idx="58">
                  <c:v>46692</c:v>
                </c:pt>
                <c:pt idx="59">
                  <c:v>46722</c:v>
                </c:pt>
                <c:pt idx="60">
                  <c:v>46753</c:v>
                </c:pt>
                <c:pt idx="61">
                  <c:v>46784</c:v>
                </c:pt>
                <c:pt idx="62">
                  <c:v>46813</c:v>
                </c:pt>
                <c:pt idx="63">
                  <c:v>46844</c:v>
                </c:pt>
                <c:pt idx="64">
                  <c:v>46874</c:v>
                </c:pt>
                <c:pt idx="65">
                  <c:v>46905</c:v>
                </c:pt>
                <c:pt idx="66">
                  <c:v>46935</c:v>
                </c:pt>
                <c:pt idx="67">
                  <c:v>46966</c:v>
                </c:pt>
                <c:pt idx="68">
                  <c:v>46997</c:v>
                </c:pt>
                <c:pt idx="69">
                  <c:v>47027</c:v>
                </c:pt>
                <c:pt idx="70">
                  <c:v>47058</c:v>
                </c:pt>
                <c:pt idx="71">
                  <c:v>47088</c:v>
                </c:pt>
                <c:pt idx="72">
                  <c:v>47119</c:v>
                </c:pt>
                <c:pt idx="73">
                  <c:v>47150</c:v>
                </c:pt>
                <c:pt idx="74">
                  <c:v>47178</c:v>
                </c:pt>
                <c:pt idx="75">
                  <c:v>47209</c:v>
                </c:pt>
                <c:pt idx="76">
                  <c:v>47239</c:v>
                </c:pt>
                <c:pt idx="77">
                  <c:v>47270</c:v>
                </c:pt>
                <c:pt idx="78">
                  <c:v>47300</c:v>
                </c:pt>
                <c:pt idx="79">
                  <c:v>47331</c:v>
                </c:pt>
                <c:pt idx="80">
                  <c:v>47362</c:v>
                </c:pt>
                <c:pt idx="81">
                  <c:v>47392</c:v>
                </c:pt>
                <c:pt idx="82">
                  <c:v>47423</c:v>
                </c:pt>
                <c:pt idx="83">
                  <c:v>47453</c:v>
                </c:pt>
                <c:pt idx="84">
                  <c:v>47484</c:v>
                </c:pt>
                <c:pt idx="85">
                  <c:v>47515</c:v>
                </c:pt>
                <c:pt idx="86">
                  <c:v>47543</c:v>
                </c:pt>
                <c:pt idx="87">
                  <c:v>47574</c:v>
                </c:pt>
                <c:pt idx="88">
                  <c:v>47604</c:v>
                </c:pt>
                <c:pt idx="89">
                  <c:v>47635</c:v>
                </c:pt>
                <c:pt idx="90">
                  <c:v>47665</c:v>
                </c:pt>
                <c:pt idx="91">
                  <c:v>47696</c:v>
                </c:pt>
                <c:pt idx="92">
                  <c:v>47727</c:v>
                </c:pt>
                <c:pt idx="93">
                  <c:v>47757</c:v>
                </c:pt>
                <c:pt idx="94">
                  <c:v>47788</c:v>
                </c:pt>
                <c:pt idx="95">
                  <c:v>47818</c:v>
                </c:pt>
              </c:numCache>
            </c:numRef>
          </c:cat>
          <c:val>
            <c:numRef>
              <c:f>'GBW (HX)'!$I$2:$I$105</c:f>
              <c:numCache>
                <c:formatCode>0.0</c:formatCode>
                <c:ptCount val="104"/>
                <c:pt idx="43">
                  <c:v>45.341614906832298</c:v>
                </c:pt>
                <c:pt idx="44">
                  <c:v>45.63334422237903</c:v>
                </c:pt>
                <c:pt idx="45">
                  <c:v>45.926950533125968</c:v>
                </c:pt>
                <c:pt idx="46">
                  <c:v>46.22244591571674</c:v>
                </c:pt>
                <c:pt idx="47">
                  <c:v>46.519842524496461</c:v>
                </c:pt>
                <c:pt idx="48">
                  <c:v>46.81915259201169</c:v>
                </c:pt>
                <c:pt idx="49">
                  <c:v>47.120388429513547</c:v>
                </c:pt>
                <c:pt idx="50">
                  <c:v>47.423562427464091</c:v>
                </c:pt>
                <c:pt idx="51">
                  <c:v>47.72868705604602</c:v>
                </c:pt>
                <c:pt idx="52">
                  <c:v>48.035774865675556</c:v>
                </c:pt>
                <c:pt idx="53">
                  <c:v>48.344838487518658</c:v>
                </c:pt>
                <c:pt idx="54">
                  <c:v>48.655890634010603</c:v>
                </c:pt>
                <c:pt idx="55">
                  <c:v>48.968944099378866</c:v>
                </c:pt>
                <c:pt idx="56">
                  <c:v>49.284011760169342</c:v>
                </c:pt>
                <c:pt idx="57">
                  <c:v>49.601106575776036</c:v>
                </c:pt>
                <c:pt idx="58">
                  <c:v>49.920241588974065</c:v>
                </c:pt>
                <c:pt idx="59">
                  <c:v>50.241429926456171</c:v>
                </c:pt>
                <c:pt idx="60">
                  <c:v>50.564684799372614</c:v>
                </c:pt>
                <c:pt idx="61">
                  <c:v>50.890019503874619</c:v>
                </c:pt>
                <c:pt idx="62">
                  <c:v>51.217447421661213</c:v>
                </c:pt>
                <c:pt idx="63">
                  <c:v>51.546982020529697</c:v>
                </c:pt>
                <c:pt idx="64">
                  <c:v>51.878636854929596</c:v>
                </c:pt>
                <c:pt idx="65">
                  <c:v>52.212425566520139</c:v>
                </c:pt>
                <c:pt idx="66">
                  <c:v>52.548361884731442</c:v>
                </c:pt>
                <c:pt idx="67">
                  <c:v>52.88645962732916</c:v>
                </c:pt>
                <c:pt idx="68">
                  <c:v>53.226732700982879</c:v>
                </c:pt>
                <c:pt idx="69">
                  <c:v>53.569195101838105</c:v>
                </c:pt>
                <c:pt idx="70">
                  <c:v>53.91386091609197</c:v>
                </c:pt>
                <c:pt idx="71">
                  <c:v>54.260744320572641</c:v>
                </c:pt>
                <c:pt idx="72">
                  <c:v>54.609859583322404</c:v>
                </c:pt>
                <c:pt idx="73">
                  <c:v>54.961221064184549</c:v>
                </c:pt>
                <c:pt idx="74">
                  <c:v>55.31484321539407</c:v>
                </c:pt>
                <c:pt idx="75">
                  <c:v>55.670740582172037</c:v>
                </c:pt>
                <c:pt idx="76">
                  <c:v>56.028927803323924</c:v>
                </c:pt>
                <c:pt idx="77">
                  <c:v>56.389419611841717</c:v>
                </c:pt>
                <c:pt idx="78">
                  <c:v>56.752230835509934</c:v>
                </c:pt>
                <c:pt idx="79">
                  <c:v>57.117376397515464</c:v>
                </c:pt>
                <c:pt idx="80">
                  <c:v>57.484871317061483</c:v>
                </c:pt>
                <c:pt idx="81">
                  <c:v>57.854730709985127</c:v>
                </c:pt>
                <c:pt idx="82">
                  <c:v>58.226969789379304</c:v>
                </c:pt>
                <c:pt idx="83">
                  <c:v>58.601603866218433</c:v>
                </c:pt>
                <c:pt idx="84">
                  <c:v>58.97864834998817</c:v>
                </c:pt>
                <c:pt idx="85">
                  <c:v>59.358118749319303</c:v>
                </c:pt>
                <c:pt idx="86">
                  <c:v>59.740030672625579</c:v>
                </c:pt>
                <c:pt idx="87">
                  <c:v>60.12439982874578</c:v>
                </c:pt>
                <c:pt idx="88">
                  <c:v>60.511242027589809</c:v>
                </c:pt>
                <c:pt idx="89">
                  <c:v>60.900573180789017</c:v>
                </c:pt>
                <c:pt idx="90">
                  <c:v>61.292409302350684</c:v>
                </c:pt>
                <c:pt idx="91">
                  <c:v>61.686766509316662</c:v>
                </c:pt>
                <c:pt idx="92">
                  <c:v>62.083661022426362</c:v>
                </c:pt>
                <c:pt idx="93">
                  <c:v>62.483109166783905</c:v>
                </c:pt>
                <c:pt idx="94">
                  <c:v>62.885127372529624</c:v>
                </c:pt>
                <c:pt idx="95">
                  <c:v>63.289732175515887</c:v>
                </c:pt>
              </c:numCache>
            </c:numRef>
          </c:val>
          <c:smooth val="0"/>
          <c:extLst>
            <c:ext xmlns:c16="http://schemas.microsoft.com/office/drawing/2014/chart" uri="{C3380CC4-5D6E-409C-BE32-E72D297353CC}">
              <c16:uniqueId val="{00000001-6E93-44EA-B7DD-E404F4A91247}"/>
            </c:ext>
          </c:extLst>
        </c:ser>
        <c:ser>
          <c:idx val="2"/>
          <c:order val="2"/>
          <c:tx>
            <c:strRef>
              <c:f>'GBW (HX)'!$J$1</c:f>
              <c:strCache>
                <c:ptCount val="1"/>
                <c:pt idx="0">
                  <c:v>Max %</c:v>
                </c:pt>
              </c:strCache>
            </c:strRef>
          </c:tx>
          <c:spPr>
            <a:ln w="22225" cap="rnd">
              <a:solidFill>
                <a:schemeClr val="accent3"/>
              </a:solidFill>
            </a:ln>
            <a:effectLst>
              <a:glow rad="139700">
                <a:schemeClr val="accent3">
                  <a:satMod val="175000"/>
                  <a:alpha val="14000"/>
                </a:schemeClr>
              </a:glow>
            </a:effectLst>
          </c:spPr>
          <c:marker>
            <c:symbol val="none"/>
          </c:marker>
          <c:cat>
            <c:numRef>
              <c:f>'GBW (HX)'!$C$2:$C$105</c:f>
              <c:numCache>
                <c:formatCode>mmm\-yy</c:formatCode>
                <c:ptCount val="10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pt idx="36">
                  <c:v>46023</c:v>
                </c:pt>
                <c:pt idx="37">
                  <c:v>46054</c:v>
                </c:pt>
                <c:pt idx="38">
                  <c:v>46082</c:v>
                </c:pt>
                <c:pt idx="39">
                  <c:v>46113</c:v>
                </c:pt>
                <c:pt idx="40">
                  <c:v>46143</c:v>
                </c:pt>
                <c:pt idx="41">
                  <c:v>46174</c:v>
                </c:pt>
                <c:pt idx="42">
                  <c:v>46204</c:v>
                </c:pt>
                <c:pt idx="43">
                  <c:v>46235</c:v>
                </c:pt>
                <c:pt idx="44">
                  <c:v>46266</c:v>
                </c:pt>
                <c:pt idx="45">
                  <c:v>46296</c:v>
                </c:pt>
                <c:pt idx="46">
                  <c:v>46327</c:v>
                </c:pt>
                <c:pt idx="47">
                  <c:v>46357</c:v>
                </c:pt>
                <c:pt idx="48">
                  <c:v>46388</c:v>
                </c:pt>
                <c:pt idx="49">
                  <c:v>46419</c:v>
                </c:pt>
                <c:pt idx="50">
                  <c:v>46447</c:v>
                </c:pt>
                <c:pt idx="51">
                  <c:v>46478</c:v>
                </c:pt>
                <c:pt idx="52">
                  <c:v>46508</c:v>
                </c:pt>
                <c:pt idx="53">
                  <c:v>46539</c:v>
                </c:pt>
                <c:pt idx="54">
                  <c:v>46569</c:v>
                </c:pt>
                <c:pt idx="55">
                  <c:v>46600</c:v>
                </c:pt>
                <c:pt idx="56">
                  <c:v>46631</c:v>
                </c:pt>
                <c:pt idx="57">
                  <c:v>46661</c:v>
                </c:pt>
                <c:pt idx="58">
                  <c:v>46692</c:v>
                </c:pt>
                <c:pt idx="59">
                  <c:v>46722</c:v>
                </c:pt>
                <c:pt idx="60">
                  <c:v>46753</c:v>
                </c:pt>
                <c:pt idx="61">
                  <c:v>46784</c:v>
                </c:pt>
                <c:pt idx="62">
                  <c:v>46813</c:v>
                </c:pt>
                <c:pt idx="63">
                  <c:v>46844</c:v>
                </c:pt>
                <c:pt idx="64">
                  <c:v>46874</c:v>
                </c:pt>
                <c:pt idx="65">
                  <c:v>46905</c:v>
                </c:pt>
                <c:pt idx="66">
                  <c:v>46935</c:v>
                </c:pt>
                <c:pt idx="67">
                  <c:v>46966</c:v>
                </c:pt>
                <c:pt idx="68">
                  <c:v>46997</c:v>
                </c:pt>
                <c:pt idx="69">
                  <c:v>47027</c:v>
                </c:pt>
                <c:pt idx="70">
                  <c:v>47058</c:v>
                </c:pt>
                <c:pt idx="71">
                  <c:v>47088</c:v>
                </c:pt>
                <c:pt idx="72">
                  <c:v>47119</c:v>
                </c:pt>
                <c:pt idx="73">
                  <c:v>47150</c:v>
                </c:pt>
                <c:pt idx="74">
                  <c:v>47178</c:v>
                </c:pt>
                <c:pt idx="75">
                  <c:v>47209</c:v>
                </c:pt>
                <c:pt idx="76">
                  <c:v>47239</c:v>
                </c:pt>
                <c:pt idx="77">
                  <c:v>47270</c:v>
                </c:pt>
                <c:pt idx="78">
                  <c:v>47300</c:v>
                </c:pt>
                <c:pt idx="79">
                  <c:v>47331</c:v>
                </c:pt>
                <c:pt idx="80">
                  <c:v>47362</c:v>
                </c:pt>
                <c:pt idx="81">
                  <c:v>47392</c:v>
                </c:pt>
                <c:pt idx="82">
                  <c:v>47423</c:v>
                </c:pt>
                <c:pt idx="83">
                  <c:v>47453</c:v>
                </c:pt>
                <c:pt idx="84">
                  <c:v>47484</c:v>
                </c:pt>
                <c:pt idx="85">
                  <c:v>47515</c:v>
                </c:pt>
                <c:pt idx="86">
                  <c:v>47543</c:v>
                </c:pt>
                <c:pt idx="87">
                  <c:v>47574</c:v>
                </c:pt>
                <c:pt idx="88">
                  <c:v>47604</c:v>
                </c:pt>
                <c:pt idx="89">
                  <c:v>47635</c:v>
                </c:pt>
                <c:pt idx="90">
                  <c:v>47665</c:v>
                </c:pt>
                <c:pt idx="91">
                  <c:v>47696</c:v>
                </c:pt>
                <c:pt idx="92">
                  <c:v>47727</c:v>
                </c:pt>
                <c:pt idx="93">
                  <c:v>47757</c:v>
                </c:pt>
                <c:pt idx="94">
                  <c:v>47788</c:v>
                </c:pt>
                <c:pt idx="95">
                  <c:v>47818</c:v>
                </c:pt>
              </c:numCache>
            </c:numRef>
          </c:cat>
          <c:val>
            <c:numRef>
              <c:f>'GBW (HX)'!$J$2:$J$105</c:f>
              <c:numCache>
                <c:formatCode>General</c:formatCode>
                <c:ptCount val="104"/>
                <c:pt idx="0">
                  <c:v>75</c:v>
                </c:pt>
                <c:pt idx="1">
                  <c:v>75</c:v>
                </c:pt>
                <c:pt idx="2">
                  <c:v>75</c:v>
                </c:pt>
                <c:pt idx="3">
                  <c:v>75</c:v>
                </c:pt>
                <c:pt idx="4">
                  <c:v>75</c:v>
                </c:pt>
                <c:pt idx="5">
                  <c:v>75</c:v>
                </c:pt>
                <c:pt idx="6">
                  <c:v>75</c:v>
                </c:pt>
                <c:pt idx="7">
                  <c:v>75</c:v>
                </c:pt>
                <c:pt idx="8">
                  <c:v>75</c:v>
                </c:pt>
                <c:pt idx="9">
                  <c:v>75</c:v>
                </c:pt>
                <c:pt idx="10">
                  <c:v>75</c:v>
                </c:pt>
                <c:pt idx="11">
                  <c:v>75</c:v>
                </c:pt>
                <c:pt idx="12">
                  <c:v>75</c:v>
                </c:pt>
                <c:pt idx="13">
                  <c:v>75</c:v>
                </c:pt>
                <c:pt idx="14">
                  <c:v>75</c:v>
                </c:pt>
                <c:pt idx="15">
                  <c:v>75</c:v>
                </c:pt>
                <c:pt idx="16">
                  <c:v>75</c:v>
                </c:pt>
                <c:pt idx="17">
                  <c:v>75</c:v>
                </c:pt>
                <c:pt idx="18">
                  <c:v>75</c:v>
                </c:pt>
                <c:pt idx="19">
                  <c:v>75</c:v>
                </c:pt>
                <c:pt idx="20">
                  <c:v>75</c:v>
                </c:pt>
                <c:pt idx="21">
                  <c:v>75</c:v>
                </c:pt>
                <c:pt idx="22">
                  <c:v>75</c:v>
                </c:pt>
                <c:pt idx="23">
                  <c:v>75</c:v>
                </c:pt>
                <c:pt idx="24">
                  <c:v>75</c:v>
                </c:pt>
                <c:pt idx="25">
                  <c:v>75</c:v>
                </c:pt>
                <c:pt idx="26">
                  <c:v>75</c:v>
                </c:pt>
                <c:pt idx="27">
                  <c:v>75</c:v>
                </c:pt>
                <c:pt idx="28">
                  <c:v>75</c:v>
                </c:pt>
                <c:pt idx="29">
                  <c:v>75</c:v>
                </c:pt>
                <c:pt idx="30">
                  <c:v>75</c:v>
                </c:pt>
                <c:pt idx="31">
                  <c:v>75</c:v>
                </c:pt>
                <c:pt idx="32">
                  <c:v>75</c:v>
                </c:pt>
                <c:pt idx="33">
                  <c:v>75</c:v>
                </c:pt>
                <c:pt idx="34">
                  <c:v>75</c:v>
                </c:pt>
                <c:pt idx="35">
                  <c:v>75</c:v>
                </c:pt>
                <c:pt idx="36">
                  <c:v>75</c:v>
                </c:pt>
                <c:pt idx="37">
                  <c:v>75</c:v>
                </c:pt>
                <c:pt idx="38">
                  <c:v>75</c:v>
                </c:pt>
                <c:pt idx="39">
                  <c:v>75</c:v>
                </c:pt>
                <c:pt idx="40">
                  <c:v>75</c:v>
                </c:pt>
                <c:pt idx="41">
                  <c:v>75</c:v>
                </c:pt>
                <c:pt idx="42">
                  <c:v>75</c:v>
                </c:pt>
                <c:pt idx="43">
                  <c:v>75</c:v>
                </c:pt>
                <c:pt idx="44">
                  <c:v>75</c:v>
                </c:pt>
                <c:pt idx="45">
                  <c:v>75</c:v>
                </c:pt>
                <c:pt idx="46">
                  <c:v>75</c:v>
                </c:pt>
                <c:pt idx="47">
                  <c:v>75</c:v>
                </c:pt>
                <c:pt idx="48">
                  <c:v>75</c:v>
                </c:pt>
                <c:pt idx="49">
                  <c:v>75</c:v>
                </c:pt>
                <c:pt idx="50">
                  <c:v>75</c:v>
                </c:pt>
                <c:pt idx="51">
                  <c:v>75</c:v>
                </c:pt>
                <c:pt idx="52">
                  <c:v>75</c:v>
                </c:pt>
                <c:pt idx="53">
                  <c:v>75</c:v>
                </c:pt>
                <c:pt idx="54">
                  <c:v>75</c:v>
                </c:pt>
                <c:pt idx="55">
                  <c:v>75</c:v>
                </c:pt>
                <c:pt idx="56">
                  <c:v>75</c:v>
                </c:pt>
                <c:pt idx="57">
                  <c:v>75</c:v>
                </c:pt>
                <c:pt idx="58">
                  <c:v>75</c:v>
                </c:pt>
                <c:pt idx="59">
                  <c:v>75</c:v>
                </c:pt>
                <c:pt idx="60">
                  <c:v>75</c:v>
                </c:pt>
                <c:pt idx="61">
                  <c:v>75</c:v>
                </c:pt>
                <c:pt idx="62">
                  <c:v>75</c:v>
                </c:pt>
                <c:pt idx="63">
                  <c:v>75</c:v>
                </c:pt>
                <c:pt idx="64">
                  <c:v>75</c:v>
                </c:pt>
                <c:pt idx="65">
                  <c:v>75</c:v>
                </c:pt>
                <c:pt idx="66">
                  <c:v>75</c:v>
                </c:pt>
                <c:pt idx="67">
                  <c:v>75</c:v>
                </c:pt>
                <c:pt idx="68">
                  <c:v>75</c:v>
                </c:pt>
                <c:pt idx="69">
                  <c:v>75</c:v>
                </c:pt>
                <c:pt idx="70">
                  <c:v>75</c:v>
                </c:pt>
                <c:pt idx="71">
                  <c:v>75</c:v>
                </c:pt>
                <c:pt idx="72">
                  <c:v>75</c:v>
                </c:pt>
                <c:pt idx="73">
                  <c:v>75</c:v>
                </c:pt>
                <c:pt idx="74">
                  <c:v>75</c:v>
                </c:pt>
                <c:pt idx="75">
                  <c:v>75</c:v>
                </c:pt>
                <c:pt idx="76">
                  <c:v>75</c:v>
                </c:pt>
                <c:pt idx="77">
                  <c:v>75</c:v>
                </c:pt>
                <c:pt idx="78">
                  <c:v>75</c:v>
                </c:pt>
                <c:pt idx="79">
                  <c:v>75</c:v>
                </c:pt>
                <c:pt idx="80">
                  <c:v>75</c:v>
                </c:pt>
                <c:pt idx="81">
                  <c:v>75</c:v>
                </c:pt>
                <c:pt idx="82">
                  <c:v>75</c:v>
                </c:pt>
                <c:pt idx="83">
                  <c:v>75</c:v>
                </c:pt>
                <c:pt idx="84">
                  <c:v>75</c:v>
                </c:pt>
                <c:pt idx="85">
                  <c:v>75</c:v>
                </c:pt>
                <c:pt idx="86">
                  <c:v>75</c:v>
                </c:pt>
                <c:pt idx="87">
                  <c:v>75</c:v>
                </c:pt>
                <c:pt idx="88">
                  <c:v>75</c:v>
                </c:pt>
                <c:pt idx="89">
                  <c:v>75</c:v>
                </c:pt>
                <c:pt idx="90">
                  <c:v>75</c:v>
                </c:pt>
                <c:pt idx="91">
                  <c:v>75</c:v>
                </c:pt>
                <c:pt idx="92">
                  <c:v>75</c:v>
                </c:pt>
                <c:pt idx="93">
                  <c:v>75</c:v>
                </c:pt>
                <c:pt idx="94">
                  <c:v>75</c:v>
                </c:pt>
                <c:pt idx="95">
                  <c:v>75</c:v>
                </c:pt>
              </c:numCache>
            </c:numRef>
          </c:val>
          <c:smooth val="0"/>
          <c:extLst>
            <c:ext xmlns:c16="http://schemas.microsoft.com/office/drawing/2014/chart" uri="{C3380CC4-5D6E-409C-BE32-E72D297353CC}">
              <c16:uniqueId val="{00000002-6E93-44EA-B7DD-E404F4A91247}"/>
            </c:ext>
          </c:extLst>
        </c:ser>
        <c:dLbls>
          <c:showLegendKey val="0"/>
          <c:showVal val="0"/>
          <c:showCatName val="0"/>
          <c:showSerName val="0"/>
          <c:showPercent val="0"/>
          <c:showBubbleSize val="0"/>
        </c:dLbls>
        <c:marker val="1"/>
        <c:smooth val="0"/>
        <c:axId val="923718064"/>
        <c:axId val="923722640"/>
      </c:lineChart>
      <c:dateAx>
        <c:axId val="92371806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mmm\-yy"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23722640"/>
        <c:crosses val="autoZero"/>
        <c:auto val="1"/>
        <c:lblOffset val="100"/>
        <c:baseTimeUnit val="months"/>
      </c:dateAx>
      <c:valAx>
        <c:axId val="923722640"/>
        <c:scaling>
          <c:orientation val="minMax"/>
          <c:max val="100"/>
          <c:min val="20"/>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2371806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'SEG (HX)'!$H$1</c:f>
              <c:strCache>
                <c:ptCount val="1"/>
                <c:pt idx="0">
                  <c:v>In use (%)</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numRef>
              <c:f>'SEG (HX)'!$C$2:$C$105</c:f>
              <c:numCache>
                <c:formatCode>mmm\-yy</c:formatCode>
                <c:ptCount val="10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pt idx="36">
                  <c:v>46023</c:v>
                </c:pt>
                <c:pt idx="37">
                  <c:v>46054</c:v>
                </c:pt>
                <c:pt idx="38">
                  <c:v>46082</c:v>
                </c:pt>
                <c:pt idx="39">
                  <c:v>46113</c:v>
                </c:pt>
                <c:pt idx="40">
                  <c:v>46143</c:v>
                </c:pt>
                <c:pt idx="41">
                  <c:v>46174</c:v>
                </c:pt>
                <c:pt idx="42">
                  <c:v>46204</c:v>
                </c:pt>
                <c:pt idx="43">
                  <c:v>46235</c:v>
                </c:pt>
                <c:pt idx="44">
                  <c:v>46266</c:v>
                </c:pt>
                <c:pt idx="45">
                  <c:v>46296</c:v>
                </c:pt>
                <c:pt idx="46">
                  <c:v>46327</c:v>
                </c:pt>
                <c:pt idx="47">
                  <c:v>46357</c:v>
                </c:pt>
                <c:pt idx="48">
                  <c:v>46388</c:v>
                </c:pt>
                <c:pt idx="49">
                  <c:v>46419</c:v>
                </c:pt>
                <c:pt idx="50">
                  <c:v>46447</c:v>
                </c:pt>
                <c:pt idx="51">
                  <c:v>46478</c:v>
                </c:pt>
                <c:pt idx="52">
                  <c:v>46508</c:v>
                </c:pt>
                <c:pt idx="53">
                  <c:v>46539</c:v>
                </c:pt>
                <c:pt idx="54">
                  <c:v>46569</c:v>
                </c:pt>
                <c:pt idx="55">
                  <c:v>46600</c:v>
                </c:pt>
                <c:pt idx="56">
                  <c:v>46631</c:v>
                </c:pt>
                <c:pt idx="57">
                  <c:v>46661</c:v>
                </c:pt>
                <c:pt idx="58">
                  <c:v>46692</c:v>
                </c:pt>
                <c:pt idx="59">
                  <c:v>46722</c:v>
                </c:pt>
                <c:pt idx="60">
                  <c:v>46753</c:v>
                </c:pt>
                <c:pt idx="61">
                  <c:v>46784</c:v>
                </c:pt>
                <c:pt idx="62">
                  <c:v>46813</c:v>
                </c:pt>
                <c:pt idx="63">
                  <c:v>46844</c:v>
                </c:pt>
                <c:pt idx="64">
                  <c:v>46874</c:v>
                </c:pt>
                <c:pt idx="65">
                  <c:v>46905</c:v>
                </c:pt>
                <c:pt idx="66">
                  <c:v>46935</c:v>
                </c:pt>
                <c:pt idx="67">
                  <c:v>46966</c:v>
                </c:pt>
                <c:pt idx="68">
                  <c:v>46997</c:v>
                </c:pt>
                <c:pt idx="69">
                  <c:v>47027</c:v>
                </c:pt>
                <c:pt idx="70">
                  <c:v>47058</c:v>
                </c:pt>
                <c:pt idx="71">
                  <c:v>47088</c:v>
                </c:pt>
                <c:pt idx="72">
                  <c:v>47119</c:v>
                </c:pt>
                <c:pt idx="73">
                  <c:v>47150</c:v>
                </c:pt>
                <c:pt idx="74">
                  <c:v>47178</c:v>
                </c:pt>
                <c:pt idx="75">
                  <c:v>47209</c:v>
                </c:pt>
                <c:pt idx="76">
                  <c:v>47239</c:v>
                </c:pt>
                <c:pt idx="77">
                  <c:v>47270</c:v>
                </c:pt>
                <c:pt idx="78">
                  <c:v>47300</c:v>
                </c:pt>
                <c:pt idx="79">
                  <c:v>47331</c:v>
                </c:pt>
                <c:pt idx="80">
                  <c:v>47362</c:v>
                </c:pt>
                <c:pt idx="81">
                  <c:v>47392</c:v>
                </c:pt>
                <c:pt idx="82">
                  <c:v>47423</c:v>
                </c:pt>
                <c:pt idx="83">
                  <c:v>47453</c:v>
                </c:pt>
                <c:pt idx="84">
                  <c:v>47484</c:v>
                </c:pt>
                <c:pt idx="85">
                  <c:v>47515</c:v>
                </c:pt>
                <c:pt idx="86">
                  <c:v>47543</c:v>
                </c:pt>
                <c:pt idx="87">
                  <c:v>47574</c:v>
                </c:pt>
                <c:pt idx="88">
                  <c:v>47604</c:v>
                </c:pt>
                <c:pt idx="89">
                  <c:v>47635</c:v>
                </c:pt>
                <c:pt idx="90">
                  <c:v>47665</c:v>
                </c:pt>
                <c:pt idx="91">
                  <c:v>47696</c:v>
                </c:pt>
                <c:pt idx="92">
                  <c:v>47727</c:v>
                </c:pt>
                <c:pt idx="93">
                  <c:v>47757</c:v>
                </c:pt>
                <c:pt idx="94">
                  <c:v>47788</c:v>
                </c:pt>
                <c:pt idx="95">
                  <c:v>47818</c:v>
                </c:pt>
              </c:numCache>
            </c:numRef>
          </c:cat>
          <c:val>
            <c:numRef>
              <c:f>'SEG (HX)'!$H$2:$H$95</c:f>
              <c:numCache>
                <c:formatCode>0.0</c:formatCode>
                <c:ptCount val="94"/>
                <c:pt idx="0">
                  <c:v>58.365758754863819</c:v>
                </c:pt>
                <c:pt idx="1">
                  <c:v>58.754863813229576</c:v>
                </c:pt>
                <c:pt idx="2">
                  <c:v>59.922178988326849</c:v>
                </c:pt>
                <c:pt idx="3">
                  <c:v>60.311284046692606</c:v>
                </c:pt>
                <c:pt idx="4">
                  <c:v>60.311284046692606</c:v>
                </c:pt>
                <c:pt idx="5">
                  <c:v>58.949416342412455</c:v>
                </c:pt>
                <c:pt idx="6">
                  <c:v>59.533073929961091</c:v>
                </c:pt>
                <c:pt idx="7">
                  <c:v>59.922178988326849</c:v>
                </c:pt>
                <c:pt idx="8">
                  <c:v>58.754863813229576</c:v>
                </c:pt>
                <c:pt idx="9">
                  <c:v>59.143968871595334</c:v>
                </c:pt>
                <c:pt idx="10">
                  <c:v>59.533073929961091</c:v>
                </c:pt>
                <c:pt idx="11">
                  <c:v>59.533073929961091</c:v>
                </c:pt>
                <c:pt idx="12">
                  <c:v>59.338521400778212</c:v>
                </c:pt>
                <c:pt idx="13">
                  <c:v>59.533073929961091</c:v>
                </c:pt>
                <c:pt idx="14">
                  <c:v>60.116731517509727</c:v>
                </c:pt>
                <c:pt idx="15">
                  <c:v>60.311284046692606</c:v>
                </c:pt>
                <c:pt idx="16">
                  <c:v>60.116731517509727</c:v>
                </c:pt>
                <c:pt idx="17">
                  <c:v>59.922178988326849</c:v>
                </c:pt>
                <c:pt idx="18">
                  <c:v>60.505836575875492</c:v>
                </c:pt>
                <c:pt idx="19">
                  <c:v>59.922178988326849</c:v>
                </c:pt>
                <c:pt idx="20">
                  <c:v>60.311284046692606</c:v>
                </c:pt>
                <c:pt idx="21">
                  <c:v>60.505836575875492</c:v>
                </c:pt>
                <c:pt idx="22">
                  <c:v>60.700389105058363</c:v>
                </c:pt>
                <c:pt idx="23">
                  <c:v>61.089494163424121</c:v>
                </c:pt>
                <c:pt idx="24">
                  <c:v>61.284046692607006</c:v>
                </c:pt>
                <c:pt idx="25">
                  <c:v>61.089494163424121</c:v>
                </c:pt>
                <c:pt idx="26">
                  <c:v>61.284046692607006</c:v>
                </c:pt>
                <c:pt idx="27">
                  <c:v>61.673151750972764</c:v>
                </c:pt>
                <c:pt idx="28">
                  <c:v>62.062256809338521</c:v>
                </c:pt>
                <c:pt idx="29">
                  <c:v>62.062256809338521</c:v>
                </c:pt>
                <c:pt idx="30">
                  <c:v>62.451361867704279</c:v>
                </c:pt>
                <c:pt idx="31">
                  <c:v>60.894941634241249</c:v>
                </c:pt>
                <c:pt idx="32">
                  <c:v>61.867704280155642</c:v>
                </c:pt>
                <c:pt idx="33">
                  <c:v>62.645914396887171</c:v>
                </c:pt>
                <c:pt idx="34">
                  <c:v>62.451361867704279</c:v>
                </c:pt>
                <c:pt idx="35">
                  <c:v>62.645914396887171</c:v>
                </c:pt>
                <c:pt idx="36">
                  <c:v>62.840466926070036</c:v>
                </c:pt>
                <c:pt idx="37">
                  <c:v>62.062256809338521</c:v>
                </c:pt>
                <c:pt idx="38">
                  <c:v>61.089494163424121</c:v>
                </c:pt>
                <c:pt idx="39">
                  <c:v>61.089494163424121</c:v>
                </c:pt>
                <c:pt idx="40">
                  <c:v>61.867704280155642</c:v>
                </c:pt>
                <c:pt idx="41">
                  <c:v>62.062256809338521</c:v>
                </c:pt>
                <c:pt idx="42">
                  <c:v>61.673151750972764</c:v>
                </c:pt>
                <c:pt idx="43">
                  <c:v>61.478599221789885</c:v>
                </c:pt>
              </c:numCache>
            </c:numRef>
          </c:val>
          <c:smooth val="0"/>
          <c:extLst>
            <c:ext xmlns:c16="http://schemas.microsoft.com/office/drawing/2014/chart" uri="{C3380CC4-5D6E-409C-BE32-E72D297353CC}">
              <c16:uniqueId val="{00000000-4799-4208-9693-679D25485C44}"/>
            </c:ext>
          </c:extLst>
        </c:ser>
        <c:ser>
          <c:idx val="1"/>
          <c:order val="1"/>
          <c:tx>
            <c:strRef>
              <c:f>'SEG (HX)'!$I$1</c:f>
              <c:strCache>
                <c:ptCount val="1"/>
                <c:pt idx="0">
                  <c:v>Forecast (%)</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numRef>
              <c:f>'SEG (HX)'!$C$2:$C$105</c:f>
              <c:numCache>
                <c:formatCode>mmm\-yy</c:formatCode>
                <c:ptCount val="10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pt idx="36">
                  <c:v>46023</c:v>
                </c:pt>
                <c:pt idx="37">
                  <c:v>46054</c:v>
                </c:pt>
                <c:pt idx="38">
                  <c:v>46082</c:v>
                </c:pt>
                <c:pt idx="39">
                  <c:v>46113</c:v>
                </c:pt>
                <c:pt idx="40">
                  <c:v>46143</c:v>
                </c:pt>
                <c:pt idx="41">
                  <c:v>46174</c:v>
                </c:pt>
                <c:pt idx="42">
                  <c:v>46204</c:v>
                </c:pt>
                <c:pt idx="43">
                  <c:v>46235</c:v>
                </c:pt>
                <c:pt idx="44">
                  <c:v>46266</c:v>
                </c:pt>
                <c:pt idx="45">
                  <c:v>46296</c:v>
                </c:pt>
                <c:pt idx="46">
                  <c:v>46327</c:v>
                </c:pt>
                <c:pt idx="47">
                  <c:v>46357</c:v>
                </c:pt>
                <c:pt idx="48">
                  <c:v>46388</c:v>
                </c:pt>
                <c:pt idx="49">
                  <c:v>46419</c:v>
                </c:pt>
                <c:pt idx="50">
                  <c:v>46447</c:v>
                </c:pt>
                <c:pt idx="51">
                  <c:v>46478</c:v>
                </c:pt>
                <c:pt idx="52">
                  <c:v>46508</c:v>
                </c:pt>
                <c:pt idx="53">
                  <c:v>46539</c:v>
                </c:pt>
                <c:pt idx="54">
                  <c:v>46569</c:v>
                </c:pt>
                <c:pt idx="55">
                  <c:v>46600</c:v>
                </c:pt>
                <c:pt idx="56">
                  <c:v>46631</c:v>
                </c:pt>
                <c:pt idx="57">
                  <c:v>46661</c:v>
                </c:pt>
                <c:pt idx="58">
                  <c:v>46692</c:v>
                </c:pt>
                <c:pt idx="59">
                  <c:v>46722</c:v>
                </c:pt>
                <c:pt idx="60">
                  <c:v>46753</c:v>
                </c:pt>
                <c:pt idx="61">
                  <c:v>46784</c:v>
                </c:pt>
                <c:pt idx="62">
                  <c:v>46813</c:v>
                </c:pt>
                <c:pt idx="63">
                  <c:v>46844</c:v>
                </c:pt>
                <c:pt idx="64">
                  <c:v>46874</c:v>
                </c:pt>
                <c:pt idx="65">
                  <c:v>46905</c:v>
                </c:pt>
                <c:pt idx="66">
                  <c:v>46935</c:v>
                </c:pt>
                <c:pt idx="67">
                  <c:v>46966</c:v>
                </c:pt>
                <c:pt idx="68">
                  <c:v>46997</c:v>
                </c:pt>
                <c:pt idx="69">
                  <c:v>47027</c:v>
                </c:pt>
                <c:pt idx="70">
                  <c:v>47058</c:v>
                </c:pt>
                <c:pt idx="71">
                  <c:v>47088</c:v>
                </c:pt>
                <c:pt idx="72">
                  <c:v>47119</c:v>
                </c:pt>
                <c:pt idx="73">
                  <c:v>47150</c:v>
                </c:pt>
                <c:pt idx="74">
                  <c:v>47178</c:v>
                </c:pt>
                <c:pt idx="75">
                  <c:v>47209</c:v>
                </c:pt>
                <c:pt idx="76">
                  <c:v>47239</c:v>
                </c:pt>
                <c:pt idx="77">
                  <c:v>47270</c:v>
                </c:pt>
                <c:pt idx="78">
                  <c:v>47300</c:v>
                </c:pt>
                <c:pt idx="79">
                  <c:v>47331</c:v>
                </c:pt>
                <c:pt idx="80">
                  <c:v>47362</c:v>
                </c:pt>
                <c:pt idx="81">
                  <c:v>47392</c:v>
                </c:pt>
                <c:pt idx="82">
                  <c:v>47423</c:v>
                </c:pt>
                <c:pt idx="83">
                  <c:v>47453</c:v>
                </c:pt>
                <c:pt idx="84">
                  <c:v>47484</c:v>
                </c:pt>
                <c:pt idx="85">
                  <c:v>47515</c:v>
                </c:pt>
                <c:pt idx="86">
                  <c:v>47543</c:v>
                </c:pt>
                <c:pt idx="87">
                  <c:v>47574</c:v>
                </c:pt>
                <c:pt idx="88">
                  <c:v>47604</c:v>
                </c:pt>
                <c:pt idx="89">
                  <c:v>47635</c:v>
                </c:pt>
                <c:pt idx="90">
                  <c:v>47665</c:v>
                </c:pt>
                <c:pt idx="91">
                  <c:v>47696</c:v>
                </c:pt>
                <c:pt idx="92">
                  <c:v>47727</c:v>
                </c:pt>
                <c:pt idx="93">
                  <c:v>47757</c:v>
                </c:pt>
                <c:pt idx="94">
                  <c:v>47788</c:v>
                </c:pt>
                <c:pt idx="95">
                  <c:v>47818</c:v>
                </c:pt>
              </c:numCache>
            </c:numRef>
          </c:cat>
          <c:val>
            <c:numRef>
              <c:f>'SEG (HX)'!$I$2:$I$105</c:f>
              <c:numCache>
                <c:formatCode>0.0</c:formatCode>
                <c:ptCount val="104"/>
                <c:pt idx="43">
                  <c:v>61.478599221789885</c:v>
                </c:pt>
                <c:pt idx="44">
                  <c:v>61.874154380303715</c:v>
                </c:pt>
                <c:pt idx="45">
                  <c:v>62.272254552617589</c:v>
                </c:pt>
                <c:pt idx="46">
                  <c:v>62.672916113426936</c:v>
                </c:pt>
                <c:pt idx="47">
                  <c:v>63.076155542782452</c:v>
                </c:pt>
                <c:pt idx="48">
                  <c:v>63.481989426767981</c:v>
                </c:pt>
                <c:pt idx="49">
                  <c:v>63.890434458182725</c:v>
                </c:pt>
                <c:pt idx="50">
                  <c:v>64.301507437227869</c:v>
                </c:pt>
                <c:pt idx="51">
                  <c:v>64.7152252721976</c:v>
                </c:pt>
                <c:pt idx="52">
                  <c:v>65.131604980174558</c:v>
                </c:pt>
                <c:pt idx="53">
                  <c:v>65.550663687729866</c:v>
                </c:pt>
                <c:pt idx="54">
                  <c:v>65.972418631627434</c:v>
                </c:pt>
                <c:pt idx="55">
                  <c:v>66.396887159533051</c:v>
                </c:pt>
                <c:pt idx="56">
                  <c:v>66.824086730727998</c:v>
                </c:pt>
                <c:pt idx="57">
                  <c:v>67.254034916826981</c:v>
                </c:pt>
                <c:pt idx="58">
                  <c:v>67.686749402501064</c:v>
                </c:pt>
                <c:pt idx="59">
                  <c:v>68.122247986205011</c:v>
                </c:pt>
                <c:pt idx="60">
                  <c:v>68.560548580909369</c:v>
                </c:pt>
                <c:pt idx="61">
                  <c:v>69.001669214837293</c:v>
                </c:pt>
                <c:pt idx="62">
                  <c:v>69.445628032206059</c:v>
                </c:pt>
                <c:pt idx="63">
                  <c:v>69.892443293973358</c:v>
                </c:pt>
                <c:pt idx="64">
                  <c:v>70.3421333785885</c:v>
                </c:pt>
                <c:pt idx="65">
                  <c:v>70.79471678274821</c:v>
                </c:pt>
                <c:pt idx="66">
                  <c:v>71.250212122157578</c:v>
                </c:pt>
                <c:pt idx="67">
                  <c:v>71.708638132295661</c:v>
                </c:pt>
                <c:pt idx="68">
                  <c:v>72.170013669186204</c:v>
                </c:pt>
                <c:pt idx="69">
                  <c:v>72.634357710173106</c:v>
                </c:pt>
                <c:pt idx="70">
                  <c:v>73.101689354701122</c:v>
                </c:pt>
                <c:pt idx="71">
                  <c:v>73.572027825101387</c:v>
                </c:pt>
                <c:pt idx="72">
                  <c:v>74.045392467382101</c:v>
                </c:pt>
                <c:pt idx="73">
                  <c:v>74.521802752024257</c:v>
                </c:pt>
                <c:pt idx="74">
                  <c:v>75.001278274782521</c:v>
                </c:pt>
                <c:pt idx="75">
                  <c:v>75.483838757491228</c:v>
                </c:pt>
                <c:pt idx="76">
                  <c:v>75.969504048875578</c:v>
                </c:pt>
                <c:pt idx="77">
                  <c:v>76.45829412536807</c:v>
                </c:pt>
                <c:pt idx="78">
                  <c:v>76.950229091930183</c:v>
                </c:pt>
                <c:pt idx="79">
                  <c:v>77.445329182879334</c:v>
                </c:pt>
                <c:pt idx="80">
                  <c:v>77.943614762721097</c:v>
                </c:pt>
                <c:pt idx="81">
                  <c:v>78.445106326986959</c:v>
                </c:pt>
                <c:pt idx="82">
                  <c:v>78.94982450307721</c:v>
                </c:pt>
                <c:pt idx="83">
                  <c:v>79.457790051109484</c:v>
                </c:pt>
                <c:pt idx="84">
                  <c:v>79.969023864772666</c:v>
                </c:pt>
                <c:pt idx="85">
                  <c:v>80.48354697218619</c:v>
                </c:pt>
                <c:pt idx="86">
                  <c:v>81.001380536765126</c:v>
                </c:pt>
                <c:pt idx="87">
                  <c:v>81.52254585809051</c:v>
                </c:pt>
                <c:pt idx="88">
                  <c:v>82.047064372785599</c:v>
                </c:pt>
                <c:pt idx="89">
                  <c:v>82.574957655397498</c:v>
                </c:pt>
                <c:pt idx="90">
                  <c:v>83.106247419284585</c:v>
                </c:pt>
                <c:pt idx="91">
                  <c:v>83.640955517509667</c:v>
                </c:pt>
                <c:pt idx="92">
                  <c:v>84.179103943738781</c:v>
                </c:pt>
                <c:pt idx="93">
                  <c:v>84.720714833145905</c:v>
                </c:pt>
                <c:pt idx="94">
                  <c:v>85.265810463323376</c:v>
                </c:pt>
                <c:pt idx="95">
                  <c:v>85.814413255198247</c:v>
                </c:pt>
              </c:numCache>
            </c:numRef>
          </c:val>
          <c:smooth val="0"/>
          <c:extLst>
            <c:ext xmlns:c16="http://schemas.microsoft.com/office/drawing/2014/chart" uri="{C3380CC4-5D6E-409C-BE32-E72D297353CC}">
              <c16:uniqueId val="{00000001-4799-4208-9693-679D25485C44}"/>
            </c:ext>
          </c:extLst>
        </c:ser>
        <c:ser>
          <c:idx val="2"/>
          <c:order val="2"/>
          <c:tx>
            <c:strRef>
              <c:f>'SEG (HX)'!$J$1</c:f>
              <c:strCache>
                <c:ptCount val="1"/>
                <c:pt idx="0">
                  <c:v>Max %</c:v>
                </c:pt>
              </c:strCache>
            </c:strRef>
          </c:tx>
          <c:spPr>
            <a:ln w="22225" cap="rnd">
              <a:solidFill>
                <a:schemeClr val="accent3"/>
              </a:solidFill>
            </a:ln>
            <a:effectLst>
              <a:glow rad="139700">
                <a:schemeClr val="accent3">
                  <a:satMod val="175000"/>
                  <a:alpha val="14000"/>
                </a:schemeClr>
              </a:glow>
            </a:effectLst>
          </c:spPr>
          <c:marker>
            <c:symbol val="none"/>
          </c:marker>
          <c:cat>
            <c:numRef>
              <c:f>'SEG (HX)'!$C$2:$C$105</c:f>
              <c:numCache>
                <c:formatCode>mmm\-yy</c:formatCode>
                <c:ptCount val="10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pt idx="36">
                  <c:v>46023</c:v>
                </c:pt>
                <c:pt idx="37">
                  <c:v>46054</c:v>
                </c:pt>
                <c:pt idx="38">
                  <c:v>46082</c:v>
                </c:pt>
                <c:pt idx="39">
                  <c:v>46113</c:v>
                </c:pt>
                <c:pt idx="40">
                  <c:v>46143</c:v>
                </c:pt>
                <c:pt idx="41">
                  <c:v>46174</c:v>
                </c:pt>
                <c:pt idx="42">
                  <c:v>46204</c:v>
                </c:pt>
                <c:pt idx="43">
                  <c:v>46235</c:v>
                </c:pt>
                <c:pt idx="44">
                  <c:v>46266</c:v>
                </c:pt>
                <c:pt idx="45">
                  <c:v>46296</c:v>
                </c:pt>
                <c:pt idx="46">
                  <c:v>46327</c:v>
                </c:pt>
                <c:pt idx="47">
                  <c:v>46357</c:v>
                </c:pt>
                <c:pt idx="48">
                  <c:v>46388</c:v>
                </c:pt>
                <c:pt idx="49">
                  <c:v>46419</c:v>
                </c:pt>
                <c:pt idx="50">
                  <c:v>46447</c:v>
                </c:pt>
                <c:pt idx="51">
                  <c:v>46478</c:v>
                </c:pt>
                <c:pt idx="52">
                  <c:v>46508</c:v>
                </c:pt>
                <c:pt idx="53">
                  <c:v>46539</c:v>
                </c:pt>
                <c:pt idx="54">
                  <c:v>46569</c:v>
                </c:pt>
                <c:pt idx="55">
                  <c:v>46600</c:v>
                </c:pt>
                <c:pt idx="56">
                  <c:v>46631</c:v>
                </c:pt>
                <c:pt idx="57">
                  <c:v>46661</c:v>
                </c:pt>
                <c:pt idx="58">
                  <c:v>46692</c:v>
                </c:pt>
                <c:pt idx="59">
                  <c:v>46722</c:v>
                </c:pt>
                <c:pt idx="60">
                  <c:v>46753</c:v>
                </c:pt>
                <c:pt idx="61">
                  <c:v>46784</c:v>
                </c:pt>
                <c:pt idx="62">
                  <c:v>46813</c:v>
                </c:pt>
                <c:pt idx="63">
                  <c:v>46844</c:v>
                </c:pt>
                <c:pt idx="64">
                  <c:v>46874</c:v>
                </c:pt>
                <c:pt idx="65">
                  <c:v>46905</c:v>
                </c:pt>
                <c:pt idx="66">
                  <c:v>46935</c:v>
                </c:pt>
                <c:pt idx="67">
                  <c:v>46966</c:v>
                </c:pt>
                <c:pt idx="68">
                  <c:v>46997</c:v>
                </c:pt>
                <c:pt idx="69">
                  <c:v>47027</c:v>
                </c:pt>
                <c:pt idx="70">
                  <c:v>47058</c:v>
                </c:pt>
                <c:pt idx="71">
                  <c:v>47088</c:v>
                </c:pt>
                <c:pt idx="72">
                  <c:v>47119</c:v>
                </c:pt>
                <c:pt idx="73">
                  <c:v>47150</c:v>
                </c:pt>
                <c:pt idx="74">
                  <c:v>47178</c:v>
                </c:pt>
                <c:pt idx="75">
                  <c:v>47209</c:v>
                </c:pt>
                <c:pt idx="76">
                  <c:v>47239</c:v>
                </c:pt>
                <c:pt idx="77">
                  <c:v>47270</c:v>
                </c:pt>
                <c:pt idx="78">
                  <c:v>47300</c:v>
                </c:pt>
                <c:pt idx="79">
                  <c:v>47331</c:v>
                </c:pt>
                <c:pt idx="80">
                  <c:v>47362</c:v>
                </c:pt>
                <c:pt idx="81">
                  <c:v>47392</c:v>
                </c:pt>
                <c:pt idx="82">
                  <c:v>47423</c:v>
                </c:pt>
                <c:pt idx="83">
                  <c:v>47453</c:v>
                </c:pt>
                <c:pt idx="84">
                  <c:v>47484</c:v>
                </c:pt>
                <c:pt idx="85">
                  <c:v>47515</c:v>
                </c:pt>
                <c:pt idx="86">
                  <c:v>47543</c:v>
                </c:pt>
                <c:pt idx="87">
                  <c:v>47574</c:v>
                </c:pt>
                <c:pt idx="88">
                  <c:v>47604</c:v>
                </c:pt>
                <c:pt idx="89">
                  <c:v>47635</c:v>
                </c:pt>
                <c:pt idx="90">
                  <c:v>47665</c:v>
                </c:pt>
                <c:pt idx="91">
                  <c:v>47696</c:v>
                </c:pt>
                <c:pt idx="92">
                  <c:v>47727</c:v>
                </c:pt>
                <c:pt idx="93">
                  <c:v>47757</c:v>
                </c:pt>
                <c:pt idx="94">
                  <c:v>47788</c:v>
                </c:pt>
                <c:pt idx="95">
                  <c:v>47818</c:v>
                </c:pt>
              </c:numCache>
            </c:numRef>
          </c:cat>
          <c:val>
            <c:numRef>
              <c:f>'SEG (HX)'!$J$2:$J$105</c:f>
              <c:numCache>
                <c:formatCode>General</c:formatCode>
                <c:ptCount val="104"/>
                <c:pt idx="0">
                  <c:v>75</c:v>
                </c:pt>
                <c:pt idx="1">
                  <c:v>75</c:v>
                </c:pt>
                <c:pt idx="2">
                  <c:v>75</c:v>
                </c:pt>
                <c:pt idx="3">
                  <c:v>75</c:v>
                </c:pt>
                <c:pt idx="4">
                  <c:v>75</c:v>
                </c:pt>
                <c:pt idx="5">
                  <c:v>75</c:v>
                </c:pt>
                <c:pt idx="6">
                  <c:v>75</c:v>
                </c:pt>
                <c:pt idx="7">
                  <c:v>75</c:v>
                </c:pt>
                <c:pt idx="8">
                  <c:v>75</c:v>
                </c:pt>
                <c:pt idx="9">
                  <c:v>75</c:v>
                </c:pt>
                <c:pt idx="10">
                  <c:v>75</c:v>
                </c:pt>
                <c:pt idx="11">
                  <c:v>75</c:v>
                </c:pt>
                <c:pt idx="12">
                  <c:v>75</c:v>
                </c:pt>
                <c:pt idx="13">
                  <c:v>75</c:v>
                </c:pt>
                <c:pt idx="14">
                  <c:v>75</c:v>
                </c:pt>
                <c:pt idx="15">
                  <c:v>75</c:v>
                </c:pt>
                <c:pt idx="16">
                  <c:v>75</c:v>
                </c:pt>
                <c:pt idx="17">
                  <c:v>75</c:v>
                </c:pt>
                <c:pt idx="18">
                  <c:v>75</c:v>
                </c:pt>
                <c:pt idx="19">
                  <c:v>75</c:v>
                </c:pt>
                <c:pt idx="20">
                  <c:v>75</c:v>
                </c:pt>
                <c:pt idx="21">
                  <c:v>75</c:v>
                </c:pt>
                <c:pt idx="22">
                  <c:v>75</c:v>
                </c:pt>
                <c:pt idx="23">
                  <c:v>75</c:v>
                </c:pt>
                <c:pt idx="24">
                  <c:v>75</c:v>
                </c:pt>
                <c:pt idx="25">
                  <c:v>75</c:v>
                </c:pt>
                <c:pt idx="26">
                  <c:v>75</c:v>
                </c:pt>
                <c:pt idx="27">
                  <c:v>75</c:v>
                </c:pt>
                <c:pt idx="28">
                  <c:v>75</c:v>
                </c:pt>
                <c:pt idx="29">
                  <c:v>75</c:v>
                </c:pt>
                <c:pt idx="30">
                  <c:v>75</c:v>
                </c:pt>
                <c:pt idx="31">
                  <c:v>75</c:v>
                </c:pt>
                <c:pt idx="32">
                  <c:v>75</c:v>
                </c:pt>
                <c:pt idx="33">
                  <c:v>75</c:v>
                </c:pt>
                <c:pt idx="34">
                  <c:v>75</c:v>
                </c:pt>
                <c:pt idx="35">
                  <c:v>75</c:v>
                </c:pt>
                <c:pt idx="36">
                  <c:v>75</c:v>
                </c:pt>
                <c:pt idx="37">
                  <c:v>75</c:v>
                </c:pt>
                <c:pt idx="38">
                  <c:v>75</c:v>
                </c:pt>
                <c:pt idx="39">
                  <c:v>75</c:v>
                </c:pt>
                <c:pt idx="40">
                  <c:v>75</c:v>
                </c:pt>
                <c:pt idx="41">
                  <c:v>75</c:v>
                </c:pt>
                <c:pt idx="42">
                  <c:v>75</c:v>
                </c:pt>
                <c:pt idx="43">
                  <c:v>75</c:v>
                </c:pt>
                <c:pt idx="44">
                  <c:v>75</c:v>
                </c:pt>
                <c:pt idx="45">
                  <c:v>75</c:v>
                </c:pt>
                <c:pt idx="46">
                  <c:v>75</c:v>
                </c:pt>
                <c:pt idx="47">
                  <c:v>75</c:v>
                </c:pt>
                <c:pt idx="48">
                  <c:v>75</c:v>
                </c:pt>
                <c:pt idx="49">
                  <c:v>75</c:v>
                </c:pt>
                <c:pt idx="50">
                  <c:v>75</c:v>
                </c:pt>
                <c:pt idx="51">
                  <c:v>75</c:v>
                </c:pt>
                <c:pt idx="52">
                  <c:v>75</c:v>
                </c:pt>
                <c:pt idx="53">
                  <c:v>75</c:v>
                </c:pt>
                <c:pt idx="54">
                  <c:v>75</c:v>
                </c:pt>
                <c:pt idx="55">
                  <c:v>75</c:v>
                </c:pt>
                <c:pt idx="56">
                  <c:v>75</c:v>
                </c:pt>
                <c:pt idx="57">
                  <c:v>75</c:v>
                </c:pt>
                <c:pt idx="58">
                  <c:v>75</c:v>
                </c:pt>
                <c:pt idx="59">
                  <c:v>75</c:v>
                </c:pt>
                <c:pt idx="60">
                  <c:v>75</c:v>
                </c:pt>
                <c:pt idx="61">
                  <c:v>75</c:v>
                </c:pt>
                <c:pt idx="62">
                  <c:v>75</c:v>
                </c:pt>
                <c:pt idx="63">
                  <c:v>75</c:v>
                </c:pt>
                <c:pt idx="64">
                  <c:v>75</c:v>
                </c:pt>
                <c:pt idx="65">
                  <c:v>75</c:v>
                </c:pt>
                <c:pt idx="66">
                  <c:v>75</c:v>
                </c:pt>
                <c:pt idx="67">
                  <c:v>75</c:v>
                </c:pt>
                <c:pt idx="68">
                  <c:v>75</c:v>
                </c:pt>
                <c:pt idx="69">
                  <c:v>75</c:v>
                </c:pt>
                <c:pt idx="70">
                  <c:v>75</c:v>
                </c:pt>
                <c:pt idx="71">
                  <c:v>75</c:v>
                </c:pt>
                <c:pt idx="72">
                  <c:v>75</c:v>
                </c:pt>
                <c:pt idx="73">
                  <c:v>75</c:v>
                </c:pt>
                <c:pt idx="74">
                  <c:v>75</c:v>
                </c:pt>
                <c:pt idx="75">
                  <c:v>75</c:v>
                </c:pt>
                <c:pt idx="76">
                  <c:v>75</c:v>
                </c:pt>
                <c:pt idx="77">
                  <c:v>75</c:v>
                </c:pt>
                <c:pt idx="78">
                  <c:v>75</c:v>
                </c:pt>
                <c:pt idx="79">
                  <c:v>75</c:v>
                </c:pt>
                <c:pt idx="80">
                  <c:v>75</c:v>
                </c:pt>
                <c:pt idx="81">
                  <c:v>75</c:v>
                </c:pt>
                <c:pt idx="82">
                  <c:v>75</c:v>
                </c:pt>
                <c:pt idx="83">
                  <c:v>75</c:v>
                </c:pt>
                <c:pt idx="84">
                  <c:v>75</c:v>
                </c:pt>
                <c:pt idx="85">
                  <c:v>75</c:v>
                </c:pt>
                <c:pt idx="86">
                  <c:v>75</c:v>
                </c:pt>
                <c:pt idx="87">
                  <c:v>75</c:v>
                </c:pt>
                <c:pt idx="88">
                  <c:v>75</c:v>
                </c:pt>
                <c:pt idx="89">
                  <c:v>75</c:v>
                </c:pt>
                <c:pt idx="90">
                  <c:v>75</c:v>
                </c:pt>
                <c:pt idx="91">
                  <c:v>75</c:v>
                </c:pt>
                <c:pt idx="92">
                  <c:v>75</c:v>
                </c:pt>
                <c:pt idx="93">
                  <c:v>75</c:v>
                </c:pt>
                <c:pt idx="94">
                  <c:v>75</c:v>
                </c:pt>
                <c:pt idx="95">
                  <c:v>75</c:v>
                </c:pt>
              </c:numCache>
            </c:numRef>
          </c:val>
          <c:smooth val="0"/>
          <c:extLst>
            <c:ext xmlns:c16="http://schemas.microsoft.com/office/drawing/2014/chart" uri="{C3380CC4-5D6E-409C-BE32-E72D297353CC}">
              <c16:uniqueId val="{00000002-4799-4208-9693-679D25485C44}"/>
            </c:ext>
          </c:extLst>
        </c:ser>
        <c:dLbls>
          <c:showLegendKey val="0"/>
          <c:showVal val="0"/>
          <c:showCatName val="0"/>
          <c:showSerName val="0"/>
          <c:showPercent val="0"/>
          <c:showBubbleSize val="0"/>
        </c:dLbls>
        <c:marker val="1"/>
        <c:smooth val="0"/>
        <c:axId val="923718064"/>
        <c:axId val="923722640"/>
      </c:lineChart>
      <c:dateAx>
        <c:axId val="92371806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mmm\-yy"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23722640"/>
        <c:crosses val="autoZero"/>
        <c:auto val="1"/>
        <c:lblOffset val="100"/>
        <c:baseTimeUnit val="months"/>
      </c:dateAx>
      <c:valAx>
        <c:axId val="923722640"/>
        <c:scaling>
          <c:orientation val="minMax"/>
          <c:max val="100"/>
          <c:min val="20"/>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2371806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'Commvault S3 All Regions'!$D$1</c:f>
              <c:strCache>
                <c:ptCount val="1"/>
                <c:pt idx="0">
                  <c:v>Cost ($)</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numRef>
              <c:f>'Commvault S3 All Regions'!$C$2:$C$97</c:f>
              <c:numCache>
                <c:formatCode>mmm\-yy</c:formatCode>
                <c:ptCount val="9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pt idx="36">
                  <c:v>46023</c:v>
                </c:pt>
                <c:pt idx="37">
                  <c:v>46054</c:v>
                </c:pt>
                <c:pt idx="38">
                  <c:v>46082</c:v>
                </c:pt>
                <c:pt idx="39">
                  <c:v>46113</c:v>
                </c:pt>
                <c:pt idx="40">
                  <c:v>46143</c:v>
                </c:pt>
                <c:pt idx="41">
                  <c:v>46174</c:v>
                </c:pt>
                <c:pt idx="42">
                  <c:v>46204</c:v>
                </c:pt>
                <c:pt idx="43">
                  <c:v>46235</c:v>
                </c:pt>
                <c:pt idx="44">
                  <c:v>46266</c:v>
                </c:pt>
                <c:pt idx="45">
                  <c:v>46296</c:v>
                </c:pt>
                <c:pt idx="46">
                  <c:v>46327</c:v>
                </c:pt>
                <c:pt idx="47">
                  <c:v>46357</c:v>
                </c:pt>
                <c:pt idx="48">
                  <c:v>46388</c:v>
                </c:pt>
                <c:pt idx="49">
                  <c:v>46419</c:v>
                </c:pt>
                <c:pt idx="50">
                  <c:v>46447</c:v>
                </c:pt>
                <c:pt idx="51">
                  <c:v>46478</c:v>
                </c:pt>
                <c:pt idx="52">
                  <c:v>46508</c:v>
                </c:pt>
                <c:pt idx="53">
                  <c:v>46539</c:v>
                </c:pt>
                <c:pt idx="54">
                  <c:v>46569</c:v>
                </c:pt>
                <c:pt idx="55">
                  <c:v>46600</c:v>
                </c:pt>
                <c:pt idx="56">
                  <c:v>46631</c:v>
                </c:pt>
                <c:pt idx="57">
                  <c:v>46661</c:v>
                </c:pt>
                <c:pt idx="58">
                  <c:v>46692</c:v>
                </c:pt>
                <c:pt idx="59">
                  <c:v>46722</c:v>
                </c:pt>
                <c:pt idx="60">
                  <c:v>46753</c:v>
                </c:pt>
                <c:pt idx="61">
                  <c:v>46784</c:v>
                </c:pt>
                <c:pt idx="62">
                  <c:v>46813</c:v>
                </c:pt>
                <c:pt idx="63">
                  <c:v>46844</c:v>
                </c:pt>
                <c:pt idx="64">
                  <c:v>46874</c:v>
                </c:pt>
                <c:pt idx="65">
                  <c:v>46905</c:v>
                </c:pt>
                <c:pt idx="66">
                  <c:v>46935</c:v>
                </c:pt>
                <c:pt idx="67">
                  <c:v>46966</c:v>
                </c:pt>
                <c:pt idx="68">
                  <c:v>46997</c:v>
                </c:pt>
                <c:pt idx="69">
                  <c:v>47027</c:v>
                </c:pt>
                <c:pt idx="70">
                  <c:v>47058</c:v>
                </c:pt>
                <c:pt idx="71">
                  <c:v>47088</c:v>
                </c:pt>
                <c:pt idx="72">
                  <c:v>47119</c:v>
                </c:pt>
                <c:pt idx="73">
                  <c:v>47150</c:v>
                </c:pt>
                <c:pt idx="74">
                  <c:v>47178</c:v>
                </c:pt>
                <c:pt idx="75">
                  <c:v>47209</c:v>
                </c:pt>
                <c:pt idx="76">
                  <c:v>47239</c:v>
                </c:pt>
                <c:pt idx="77">
                  <c:v>47270</c:v>
                </c:pt>
                <c:pt idx="78">
                  <c:v>47300</c:v>
                </c:pt>
                <c:pt idx="79">
                  <c:v>47331</c:v>
                </c:pt>
                <c:pt idx="80">
                  <c:v>47362</c:v>
                </c:pt>
                <c:pt idx="81">
                  <c:v>47392</c:v>
                </c:pt>
                <c:pt idx="82">
                  <c:v>47423</c:v>
                </c:pt>
                <c:pt idx="83">
                  <c:v>47453</c:v>
                </c:pt>
                <c:pt idx="84">
                  <c:v>47484</c:v>
                </c:pt>
                <c:pt idx="85">
                  <c:v>47515</c:v>
                </c:pt>
                <c:pt idx="86">
                  <c:v>47543</c:v>
                </c:pt>
                <c:pt idx="87">
                  <c:v>47574</c:v>
                </c:pt>
                <c:pt idx="88">
                  <c:v>47604</c:v>
                </c:pt>
                <c:pt idx="89">
                  <c:v>47635</c:v>
                </c:pt>
                <c:pt idx="90">
                  <c:v>47665</c:v>
                </c:pt>
                <c:pt idx="91">
                  <c:v>47696</c:v>
                </c:pt>
                <c:pt idx="92">
                  <c:v>47727</c:v>
                </c:pt>
                <c:pt idx="93">
                  <c:v>47757</c:v>
                </c:pt>
                <c:pt idx="94">
                  <c:v>47788</c:v>
                </c:pt>
                <c:pt idx="95">
                  <c:v>47818</c:v>
                </c:pt>
              </c:numCache>
            </c:numRef>
          </c:cat>
          <c:val>
            <c:numRef>
              <c:f>'Commvault S3 All Regions'!$D$2:$D$97</c:f>
              <c:numCache>
                <c:formatCode>"$"#,##0</c:formatCode>
                <c:ptCount val="96"/>
                <c:pt idx="0">
                  <c:v>7250.5899999999992</c:v>
                </c:pt>
                <c:pt idx="1">
                  <c:v>6874.0400000000009</c:v>
                </c:pt>
                <c:pt idx="2">
                  <c:v>7082.67</c:v>
                </c:pt>
                <c:pt idx="3">
                  <c:v>7374.99</c:v>
                </c:pt>
                <c:pt idx="4">
                  <c:v>8099.07</c:v>
                </c:pt>
                <c:pt idx="5">
                  <c:v>7791.510000000002</c:v>
                </c:pt>
                <c:pt idx="6">
                  <c:v>7448.4600000000009</c:v>
                </c:pt>
                <c:pt idx="7">
                  <c:v>8091.27</c:v>
                </c:pt>
                <c:pt idx="8">
                  <c:v>8709.11</c:v>
                </c:pt>
                <c:pt idx="9">
                  <c:v>10345.689999999999</c:v>
                </c:pt>
                <c:pt idx="10">
                  <c:v>10377.599999999999</c:v>
                </c:pt>
                <c:pt idx="11">
                  <c:v>12020.330000000004</c:v>
                </c:pt>
                <c:pt idx="12">
                  <c:v>12648.78</c:v>
                </c:pt>
                <c:pt idx="13">
                  <c:v>13149.659999999998</c:v>
                </c:pt>
                <c:pt idx="14">
                  <c:v>12793.519999999997</c:v>
                </c:pt>
                <c:pt idx="15">
                  <c:v>15804.969999999996</c:v>
                </c:pt>
                <c:pt idx="16">
                  <c:v>13299.499999999998</c:v>
                </c:pt>
                <c:pt idx="17">
                  <c:v>13048.129999999997</c:v>
                </c:pt>
                <c:pt idx="18">
                  <c:v>13456.77</c:v>
                </c:pt>
                <c:pt idx="19">
                  <c:v>14332.817100000002</c:v>
                </c:pt>
                <c:pt idx="20">
                  <c:v>14348.564700000001</c:v>
                </c:pt>
                <c:pt idx="21">
                  <c:v>14473.784700000002</c:v>
                </c:pt>
                <c:pt idx="22">
                  <c:v>14572.98</c:v>
                </c:pt>
                <c:pt idx="23">
                  <c:v>15033.880000000003</c:v>
                </c:pt>
                <c:pt idx="24">
                  <c:v>15704.298999999997</c:v>
                </c:pt>
                <c:pt idx="25">
                  <c:v>15882.768</c:v>
                </c:pt>
                <c:pt idx="26">
                  <c:v>16045.789000000004</c:v>
                </c:pt>
                <c:pt idx="27">
                  <c:v>16472.119000000002</c:v>
                </c:pt>
                <c:pt idx="28">
                  <c:v>17095.926000000003</c:v>
                </c:pt>
                <c:pt idx="29">
                  <c:v>17429.420000000002</c:v>
                </c:pt>
                <c:pt idx="30">
                  <c:v>18353.389999999996</c:v>
                </c:pt>
                <c:pt idx="31">
                  <c:v>19058.850000000002</c:v>
                </c:pt>
                <c:pt idx="32">
                  <c:v>19829.440000000002</c:v>
                </c:pt>
                <c:pt idx="33">
                  <c:v>20694.270000000004</c:v>
                </c:pt>
                <c:pt idx="34">
                  <c:v>21120.269999999997</c:v>
                </c:pt>
                <c:pt idx="35">
                  <c:v>21381.170000000002</c:v>
                </c:pt>
                <c:pt idx="36">
                  <c:v>21931.739999999998</c:v>
                </c:pt>
                <c:pt idx="37">
                  <c:v>21964.11</c:v>
                </c:pt>
                <c:pt idx="38">
                  <c:v>22411.27</c:v>
                </c:pt>
                <c:pt idx="39">
                  <c:v>23000.92</c:v>
                </c:pt>
                <c:pt idx="40">
                  <c:v>23623.34</c:v>
                </c:pt>
                <c:pt idx="41">
                  <c:v>24672.249999999993</c:v>
                </c:pt>
              </c:numCache>
            </c:numRef>
          </c:val>
          <c:smooth val="0"/>
          <c:extLst xmlns:c15="http://schemas.microsoft.com/office/drawing/2012/chart">
            <c:ext xmlns:c16="http://schemas.microsoft.com/office/drawing/2014/chart" uri="{C3380CC4-5D6E-409C-BE32-E72D297353CC}">
              <c16:uniqueId val="{00000000-5302-4B20-B086-673EBC70DD16}"/>
            </c:ext>
          </c:extLst>
        </c:ser>
        <c:ser>
          <c:idx val="1"/>
          <c:order val="1"/>
          <c:tx>
            <c:strRef>
              <c:f>'Commvault S3 All Regions'!$G$1</c:f>
              <c:strCache>
                <c:ptCount val="1"/>
                <c:pt idx="0">
                  <c:v>Forecast ($)</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val>
            <c:numRef>
              <c:f>'Commvault S3 All Regions'!$G$2:$G$97</c:f>
              <c:numCache>
                <c:formatCode>0.0</c:formatCode>
                <c:ptCount val="96"/>
                <c:pt idx="41" formatCode="&quot;$&quot;#,##0">
                  <c:v>24672.249999999993</c:v>
                </c:pt>
                <c:pt idx="42" formatCode="&quot;$&quot;#,##0">
                  <c:v>24868.989986197015</c:v>
                </c:pt>
                <c:pt idx="43" formatCode="&quot;$&quot;#,##0">
                  <c:v>25067.298804671951</c:v>
                </c:pt>
                <c:pt idx="44" formatCode="&quot;$&quot;#,##0">
                  <c:v>25267.188965513698</c:v>
                </c:pt>
                <c:pt idx="45" formatCode="&quot;$&quot;#,##0">
                  <c:v>25468.673078568354</c:v>
                </c:pt>
                <c:pt idx="46" formatCode="&quot;$&quot;#,##0">
                  <c:v>25671.763854234698</c:v>
                </c:pt>
                <c:pt idx="47" formatCode="&quot;$&quot;#,##0">
                  <c:v>25876.474104266021</c:v>
                </c:pt>
                <c:pt idx="48" formatCode="&quot;$&quot;#,##0">
                  <c:v>26082.816742578329</c:v>
                </c:pt>
                <c:pt idx="49" formatCode="&quot;$&quot;#,##0">
                  <c:v>26290.804786065011</c:v>
                </c:pt>
                <c:pt idx="50" formatCode="&quot;$&quot;#,##0">
                  <c:v>26500.45135541799</c:v>
                </c:pt>
                <c:pt idx="51" formatCode="&quot;$&quot;#,##0">
                  <c:v>26711.769675955427</c:v>
                </c:pt>
                <c:pt idx="52" formatCode="&quot;$&quot;#,##0">
                  <c:v>26924.77307845603</c:v>
                </c:pt>
                <c:pt idx="53" formatCode="&quot;$&quot;#,##0">
                  <c:v>27139.475000000006</c:v>
                </c:pt>
                <c:pt idx="54" formatCode="&quot;$&quot;#,##0">
                  <c:v>27355.888984816727</c:v>
                </c:pt>
                <c:pt idx="55" formatCode="&quot;$&quot;#,##0">
                  <c:v>27574.028685139157</c:v>
                </c:pt>
                <c:pt idx="56" formatCode="&quot;$&quot;#,##0">
                  <c:v>27793.907862065076</c:v>
                </c:pt>
                <c:pt idx="57" formatCode="&quot;$&quot;#,##0">
                  <c:v>28015.540386425197</c:v>
                </c:pt>
                <c:pt idx="58" formatCode="&quot;$&quot;#,##0">
                  <c:v>28238.940239658175</c:v>
                </c:pt>
                <c:pt idx="59" formatCode="&quot;$&quot;#,##0">
                  <c:v>28464.12151469263</c:v>
                </c:pt>
                <c:pt idx="60" formatCode="&quot;$&quot;#,##0">
                  <c:v>28691.098416836168</c:v>
                </c:pt>
                <c:pt idx="61" formatCode="&quot;$&quot;#,##0">
                  <c:v>28919.885264671517</c:v>
                </c:pt>
                <c:pt idx="62" formatCode="&quot;$&quot;#,##0">
                  <c:v>29150.496490959791</c:v>
                </c:pt>
                <c:pt idx="63" formatCode="&quot;$&quot;#,##0">
                  <c:v>29382.946643550971</c:v>
                </c:pt>
                <c:pt idx="64" formatCode="&quot;$&quot;#,##0">
                  <c:v>29617.250386301632</c:v>
                </c:pt>
                <c:pt idx="65" formatCode="&quot;$&quot;#,##0">
                  <c:v>29853.422500000004</c:v>
                </c:pt>
                <c:pt idx="66" formatCode="&quot;$&quot;#,##0">
                  <c:v>30091.477883298401</c:v>
                </c:pt>
                <c:pt idx="67" formatCode="&quot;$&quot;#,##0">
                  <c:v>30331.431553653074</c:v>
                </c:pt>
                <c:pt idx="68" formatCode="&quot;$&quot;#,##0">
                  <c:v>30573.298648271586</c:v>
                </c:pt>
                <c:pt idx="69" formatCode="&quot;$&quot;#,##0">
                  <c:v>30817.094425067717</c:v>
                </c:pt>
                <c:pt idx="70" formatCode="&quot;$&quot;#,##0">
                  <c:v>31062.834263623994</c:v>
                </c:pt>
                <c:pt idx="71" formatCode="&quot;$&quot;#,##0">
                  <c:v>31310.533666161897</c:v>
                </c:pt>
                <c:pt idx="72" formatCode="&quot;$&quot;#,##0">
                  <c:v>31560.20825851979</c:v>
                </c:pt>
                <c:pt idx="73" formatCode="&quot;$&quot;#,##0">
                  <c:v>31811.873791138674</c:v>
                </c:pt>
                <c:pt idx="74" formatCode="&quot;$&quot;#,##0">
                  <c:v>32065.546140055776</c:v>
                </c:pt>
                <c:pt idx="75" formatCode="&quot;$&quot;#,##0">
                  <c:v>32321.241307906075</c:v>
                </c:pt>
                <c:pt idx="76" formatCode="&quot;$&quot;#,##0">
                  <c:v>32578.975424931803</c:v>
                </c:pt>
                <c:pt idx="77" formatCode="&quot;$&quot;#,##0">
                  <c:v>32838.764750000017</c:v>
                </c:pt>
                <c:pt idx="78" formatCode="&quot;$&quot;#,##0">
                  <c:v>33100.625671628251</c:v>
                </c:pt>
                <c:pt idx="79" formatCode="&quot;$&quot;#,##0">
                  <c:v>33364.574709018394</c:v>
                </c:pt>
                <c:pt idx="80" formatCode="&quot;$&quot;#,##0">
                  <c:v>33630.62851309876</c:v>
                </c:pt>
                <c:pt idx="81" formatCode="&quot;$&quot;#,##0">
                  <c:v>33898.803867574505</c:v>
                </c:pt>
                <c:pt idx="82" formatCode="&quot;$&quot;#,##0">
                  <c:v>34169.117689986408</c:v>
                </c:pt>
                <c:pt idx="83" formatCode="&quot;$&quot;#,##0">
                  <c:v>34441.587032778101</c:v>
                </c:pt>
                <c:pt idx="84" formatCode="&quot;$&quot;#,##0">
                  <c:v>34716.229084371786</c:v>
                </c:pt>
                <c:pt idx="85" formatCode="&quot;$&quot;#,##0">
                  <c:v>34993.061170252557</c:v>
                </c:pt>
                <c:pt idx="86" formatCode="&quot;$&quot;#,##0">
                  <c:v>35272.100754061372</c:v>
                </c:pt>
                <c:pt idx="87" formatCode="&quot;$&quot;#,##0">
                  <c:v>35553.365438696703</c:v>
                </c:pt>
                <c:pt idx="88" formatCode="&quot;$&quot;#,##0">
                  <c:v>35836.872967425006</c:v>
                </c:pt>
                <c:pt idx="89" formatCode="&quot;$&quot;#,##0">
                  <c:v>36122.641225000036</c:v>
                </c:pt>
                <c:pt idx="90" formatCode="&quot;$&quot;#,##0">
                  <c:v>36410.688238791096</c:v>
                </c:pt>
                <c:pt idx="91" formatCode="&quot;$&quot;#,##0">
                  <c:v>36701.03217992025</c:v>
                </c:pt>
                <c:pt idx="92" formatCode="&quot;$&quot;#,##0">
                  <c:v>36993.691364408653</c:v>
                </c:pt>
                <c:pt idx="93" formatCode="&quot;$&quot;#,##0">
                  <c:v>37288.684254331973</c:v>
                </c:pt>
                <c:pt idx="94" formatCode="&quot;$&quot;#,##0">
                  <c:v>37586.029458985067</c:v>
                </c:pt>
                <c:pt idx="95" formatCode="&quot;$&quot;#,##0">
                  <c:v>37885.745736055927</c:v>
                </c:pt>
              </c:numCache>
            </c:numRef>
          </c:val>
          <c:smooth val="0"/>
          <c:extLst>
            <c:ext xmlns:c16="http://schemas.microsoft.com/office/drawing/2014/chart" uri="{C3380CC4-5D6E-409C-BE32-E72D297353CC}">
              <c16:uniqueId val="{00000001-5302-4B20-B086-673EBC70DD16}"/>
            </c:ext>
          </c:extLst>
        </c:ser>
        <c:dLbls>
          <c:showLegendKey val="0"/>
          <c:showVal val="0"/>
          <c:showCatName val="0"/>
          <c:showSerName val="0"/>
          <c:showPercent val="0"/>
          <c:showBubbleSize val="0"/>
        </c:dLbls>
        <c:marker val="1"/>
        <c:smooth val="0"/>
        <c:axId val="923718064"/>
        <c:axId val="923722640"/>
        <c:extLst/>
      </c:lineChart>
      <c:dateAx>
        <c:axId val="923718064"/>
        <c:scaling>
          <c:orientation val="minMax"/>
          <c:max val="47818"/>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mmm\-yy"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23722640"/>
        <c:crosses val="autoZero"/>
        <c:auto val="1"/>
        <c:lblOffset val="100"/>
        <c:baseTimeUnit val="months"/>
        <c:majorUnit val="2"/>
        <c:majorTimeUnit val="months"/>
      </c:dateAx>
      <c:valAx>
        <c:axId val="923722640"/>
        <c:scaling>
          <c:orientation val="minMax"/>
          <c:max val="60000"/>
          <c:min val="0"/>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2371806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10</xdr:col>
      <xdr:colOff>518332</xdr:colOff>
      <xdr:row>23</xdr:row>
      <xdr:rowOff>57712</xdr:rowOff>
    </xdr:from>
    <xdr:to>
      <xdr:col>19</xdr:col>
      <xdr:colOff>17274</xdr:colOff>
      <xdr:row>41</xdr:row>
      <xdr:rowOff>32808</xdr:rowOff>
    </xdr:to>
    <xdr:graphicFrame macro="">
      <xdr:nvGraphicFramePr>
        <xdr:cNvPr id="2" name="Chart 2">
          <a:extLst>
            <a:ext uri="{FF2B5EF4-FFF2-40B4-BE49-F238E27FC236}">
              <a16:creationId xmlns:a16="http://schemas.microsoft.com/office/drawing/2014/main" id="{12FE3998-E5AD-4075-BA36-FD9A25E3F1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975933</xdr:colOff>
      <xdr:row>126</xdr:row>
      <xdr:rowOff>175076</xdr:rowOff>
    </xdr:from>
    <xdr:to>
      <xdr:col>20</xdr:col>
      <xdr:colOff>404813</xdr:colOff>
      <xdr:row>145</xdr:row>
      <xdr:rowOff>130969</xdr:rowOff>
    </xdr:to>
    <xdr:graphicFrame macro="">
      <xdr:nvGraphicFramePr>
        <xdr:cNvPr id="7" name="Chart 2">
          <a:extLst>
            <a:ext uri="{FF2B5EF4-FFF2-40B4-BE49-F238E27FC236}">
              <a16:creationId xmlns:a16="http://schemas.microsoft.com/office/drawing/2014/main" id="{DCAC9814-51B3-456D-A1CE-E9A53B3101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77898</xdr:colOff>
      <xdr:row>205</xdr:row>
      <xdr:rowOff>1397</xdr:rowOff>
    </xdr:from>
    <xdr:to>
      <xdr:col>18</xdr:col>
      <xdr:colOff>63500</xdr:colOff>
      <xdr:row>230</xdr:row>
      <xdr:rowOff>178594</xdr:rowOff>
    </xdr:to>
    <xdr:graphicFrame macro="">
      <xdr:nvGraphicFramePr>
        <xdr:cNvPr id="13" name="Chart 6">
          <a:extLst>
            <a:ext uri="{FF2B5EF4-FFF2-40B4-BE49-F238E27FC236}">
              <a16:creationId xmlns:a16="http://schemas.microsoft.com/office/drawing/2014/main" id="{74D93C75-497A-40FC-9D71-561594E4AC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517071</xdr:colOff>
      <xdr:row>301</xdr:row>
      <xdr:rowOff>163286</xdr:rowOff>
    </xdr:from>
    <xdr:to>
      <xdr:col>19</xdr:col>
      <xdr:colOff>508000</xdr:colOff>
      <xdr:row>327</xdr:row>
      <xdr:rowOff>136071</xdr:rowOff>
    </xdr:to>
    <xdr:graphicFrame macro="">
      <xdr:nvGraphicFramePr>
        <xdr:cNvPr id="5" name="Chart 1">
          <a:extLst>
            <a:ext uri="{FF2B5EF4-FFF2-40B4-BE49-F238E27FC236}">
              <a16:creationId xmlns:a16="http://schemas.microsoft.com/office/drawing/2014/main" id="{306B2404-8602-42A2-8A35-DA1CFC6177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525341</xdr:colOff>
      <xdr:row>390</xdr:row>
      <xdr:rowOff>69359</xdr:rowOff>
    </xdr:from>
    <xdr:to>
      <xdr:col>21</xdr:col>
      <xdr:colOff>259617</xdr:colOff>
      <xdr:row>418</xdr:row>
      <xdr:rowOff>149712</xdr:rowOff>
    </xdr:to>
    <xdr:graphicFrame macro="">
      <xdr:nvGraphicFramePr>
        <xdr:cNvPr id="10" name="Chart 9">
          <a:extLst>
            <a:ext uri="{FF2B5EF4-FFF2-40B4-BE49-F238E27FC236}">
              <a16:creationId xmlns:a16="http://schemas.microsoft.com/office/drawing/2014/main" id="{3D269A35-670F-902B-3792-201F52158B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11</xdr:col>
      <xdr:colOff>75296</xdr:colOff>
      <xdr:row>17</xdr:row>
      <xdr:rowOff>128426</xdr:rowOff>
    </xdr:from>
    <xdr:to>
      <xdr:col>22</xdr:col>
      <xdr:colOff>277813</xdr:colOff>
      <xdr:row>41</xdr:row>
      <xdr:rowOff>59531</xdr:rowOff>
    </xdr:to>
    <xdr:graphicFrame macro="">
      <xdr:nvGraphicFramePr>
        <xdr:cNvPr id="3" name="Chart 6">
          <a:extLst>
            <a:ext uri="{FF2B5EF4-FFF2-40B4-BE49-F238E27FC236}">
              <a16:creationId xmlns:a16="http://schemas.microsoft.com/office/drawing/2014/main" id="{AEA6AFB0-DBBD-4E37-A867-946F07158E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10</xdr:col>
      <xdr:colOff>131095</xdr:colOff>
      <xdr:row>2</xdr:row>
      <xdr:rowOff>92287</xdr:rowOff>
    </xdr:from>
    <xdr:to>
      <xdr:col>18</xdr:col>
      <xdr:colOff>240438</xdr:colOff>
      <xdr:row>19</xdr:row>
      <xdr:rowOff>47843</xdr:rowOff>
    </xdr:to>
    <xdr:graphicFrame macro="">
      <xdr:nvGraphicFramePr>
        <xdr:cNvPr id="3" name="Chart 4">
          <a:extLst>
            <a:ext uri="{FF2B5EF4-FFF2-40B4-BE49-F238E27FC236}">
              <a16:creationId xmlns:a16="http://schemas.microsoft.com/office/drawing/2014/main" id="{25993BC2-28CE-4998-8D3A-154F498E12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10</xdr:col>
      <xdr:colOff>545713</xdr:colOff>
      <xdr:row>29</xdr:row>
      <xdr:rowOff>92287</xdr:rowOff>
    </xdr:from>
    <xdr:to>
      <xdr:col>19</xdr:col>
      <xdr:colOff>46763</xdr:colOff>
      <xdr:row>46</xdr:row>
      <xdr:rowOff>44668</xdr:rowOff>
    </xdr:to>
    <xdr:graphicFrame macro="">
      <xdr:nvGraphicFramePr>
        <xdr:cNvPr id="4" name="Chart 4">
          <a:extLst>
            <a:ext uri="{FF2B5EF4-FFF2-40B4-BE49-F238E27FC236}">
              <a16:creationId xmlns:a16="http://schemas.microsoft.com/office/drawing/2014/main" id="{EE03F8EB-CFC5-4024-AF35-A0676CD537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11</xdr:col>
      <xdr:colOff>52654</xdr:colOff>
      <xdr:row>30</xdr:row>
      <xdr:rowOff>103492</xdr:rowOff>
    </xdr:from>
    <xdr:to>
      <xdr:col>19</xdr:col>
      <xdr:colOff>158821</xdr:colOff>
      <xdr:row>47</xdr:row>
      <xdr:rowOff>55873</xdr:rowOff>
    </xdr:to>
    <xdr:graphicFrame macro="">
      <xdr:nvGraphicFramePr>
        <xdr:cNvPr id="2" name="Chart 4">
          <a:extLst>
            <a:ext uri="{FF2B5EF4-FFF2-40B4-BE49-F238E27FC236}">
              <a16:creationId xmlns:a16="http://schemas.microsoft.com/office/drawing/2014/main" id="{B679FBF1-0042-4E0D-A5DB-CD1C01F59A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11</xdr:col>
      <xdr:colOff>153507</xdr:colOff>
      <xdr:row>29</xdr:row>
      <xdr:rowOff>2640</xdr:rowOff>
    </xdr:from>
    <xdr:to>
      <xdr:col>19</xdr:col>
      <xdr:colOff>259674</xdr:colOff>
      <xdr:row>45</xdr:row>
      <xdr:rowOff>134315</xdr:rowOff>
    </xdr:to>
    <xdr:graphicFrame macro="">
      <xdr:nvGraphicFramePr>
        <xdr:cNvPr id="2" name="Chart 4">
          <a:extLst>
            <a:ext uri="{FF2B5EF4-FFF2-40B4-BE49-F238E27FC236}">
              <a16:creationId xmlns:a16="http://schemas.microsoft.com/office/drawing/2014/main" id="{BD5286BE-685C-4DB4-9519-4C3015C729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11</xdr:col>
      <xdr:colOff>404577</xdr:colOff>
      <xdr:row>30</xdr:row>
      <xdr:rowOff>155079</xdr:rowOff>
    </xdr:from>
    <xdr:to>
      <xdr:col>20</xdr:col>
      <xdr:colOff>454865</xdr:colOff>
      <xdr:row>50</xdr:row>
      <xdr:rowOff>176867</xdr:rowOff>
    </xdr:to>
    <xdr:graphicFrame macro="">
      <xdr:nvGraphicFramePr>
        <xdr:cNvPr id="3" name="Chart 1">
          <a:extLst>
            <a:ext uri="{FF2B5EF4-FFF2-40B4-BE49-F238E27FC236}">
              <a16:creationId xmlns:a16="http://schemas.microsoft.com/office/drawing/2014/main" id="{881780EC-948C-43C5-8659-F51601CB86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10</xdr:col>
      <xdr:colOff>487920</xdr:colOff>
      <xdr:row>21</xdr:row>
      <xdr:rowOff>116185</xdr:rowOff>
    </xdr:from>
    <xdr:to>
      <xdr:col>19</xdr:col>
      <xdr:colOff>544559</xdr:colOff>
      <xdr:row>41</xdr:row>
      <xdr:rowOff>137973</xdr:rowOff>
    </xdr:to>
    <xdr:graphicFrame macro="">
      <xdr:nvGraphicFramePr>
        <xdr:cNvPr id="2" name="Chart 1">
          <a:extLst>
            <a:ext uri="{FF2B5EF4-FFF2-40B4-BE49-F238E27FC236}">
              <a16:creationId xmlns:a16="http://schemas.microsoft.com/office/drawing/2014/main" id="{E2F1B360-5CB9-469A-B322-7BB6EEB6FC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10</xdr:col>
      <xdr:colOff>487921</xdr:colOff>
      <xdr:row>20</xdr:row>
      <xdr:rowOff>116185</xdr:rowOff>
    </xdr:from>
    <xdr:to>
      <xdr:col>19</xdr:col>
      <xdr:colOff>544560</xdr:colOff>
      <xdr:row>40</xdr:row>
      <xdr:rowOff>137973</xdr:rowOff>
    </xdr:to>
    <xdr:graphicFrame macro="">
      <xdr:nvGraphicFramePr>
        <xdr:cNvPr id="2" name="Chart 1">
          <a:extLst>
            <a:ext uri="{FF2B5EF4-FFF2-40B4-BE49-F238E27FC236}">
              <a16:creationId xmlns:a16="http://schemas.microsoft.com/office/drawing/2014/main" id="{5EC1C49D-E90F-43CC-923A-55622468C8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10</xdr:col>
      <xdr:colOff>590314</xdr:colOff>
      <xdr:row>19</xdr:row>
      <xdr:rowOff>83006</xdr:rowOff>
    </xdr:from>
    <xdr:to>
      <xdr:col>20</xdr:col>
      <xdr:colOff>13700</xdr:colOff>
      <xdr:row>40</xdr:row>
      <xdr:rowOff>125413</xdr:rowOff>
    </xdr:to>
    <xdr:graphicFrame macro="">
      <xdr:nvGraphicFramePr>
        <xdr:cNvPr id="4" name="Chart 1">
          <a:extLst>
            <a:ext uri="{FF2B5EF4-FFF2-40B4-BE49-F238E27FC236}">
              <a16:creationId xmlns:a16="http://schemas.microsoft.com/office/drawing/2014/main" id="{83C689D0-C234-4B61-8A43-D7787B7621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59296</xdr:colOff>
      <xdr:row>20</xdr:row>
      <xdr:rowOff>32842</xdr:rowOff>
    </xdr:from>
    <xdr:to>
      <xdr:col>20</xdr:col>
      <xdr:colOff>115935</xdr:colOff>
      <xdr:row>40</xdr:row>
      <xdr:rowOff>54630</xdr:rowOff>
    </xdr:to>
    <xdr:graphicFrame macro="">
      <xdr:nvGraphicFramePr>
        <xdr:cNvPr id="2" name="Chart 1">
          <a:extLst>
            <a:ext uri="{FF2B5EF4-FFF2-40B4-BE49-F238E27FC236}">
              <a16:creationId xmlns:a16="http://schemas.microsoft.com/office/drawing/2014/main" id="{E06D8922-0E7B-435B-8D61-AEE91D98AA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10</xdr:col>
      <xdr:colOff>523639</xdr:colOff>
      <xdr:row>20</xdr:row>
      <xdr:rowOff>80466</xdr:rowOff>
    </xdr:from>
    <xdr:to>
      <xdr:col>19</xdr:col>
      <xdr:colOff>580278</xdr:colOff>
      <xdr:row>40</xdr:row>
      <xdr:rowOff>102254</xdr:rowOff>
    </xdr:to>
    <xdr:graphicFrame macro="">
      <xdr:nvGraphicFramePr>
        <xdr:cNvPr id="2" name="Chart 1">
          <a:extLst>
            <a:ext uri="{FF2B5EF4-FFF2-40B4-BE49-F238E27FC236}">
              <a16:creationId xmlns:a16="http://schemas.microsoft.com/office/drawing/2014/main" id="{06718CEE-91D4-4FBE-A7A9-44DDD72691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8</xdr:col>
      <xdr:colOff>441089</xdr:colOff>
      <xdr:row>1</xdr:row>
      <xdr:rowOff>28079</xdr:rowOff>
    </xdr:from>
    <xdr:to>
      <xdr:col>17</xdr:col>
      <xdr:colOff>491378</xdr:colOff>
      <xdr:row>22</xdr:row>
      <xdr:rowOff>19050</xdr:rowOff>
    </xdr:to>
    <xdr:graphicFrame macro="">
      <xdr:nvGraphicFramePr>
        <xdr:cNvPr id="7" name="Chart 1">
          <a:extLst>
            <a:ext uri="{FF2B5EF4-FFF2-40B4-BE49-F238E27FC236}">
              <a16:creationId xmlns:a16="http://schemas.microsoft.com/office/drawing/2014/main" id="{DDE441F4-4E4A-4CBA-8398-6C0E34B360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Jeff Tan" id="{4AE72895-0798-4775-BF9B-2D72735D2400}" userId="S::jtan@cochlear.com::ad2d3b91-2528-4820-80b5-02ac5242b50d" providerId="AD"/>
  <person displayName="Elvin Edgar" id="{62D77978-9709-4623-9693-5B0FD26B6430}" userId="S::eedgar@cochlear.com::c31f3755-f427-46cc-b347-b95408899deb"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120" dT="2024-01-31T06:44:45.71" personId="{4AE72895-0798-4775-BF9B-2D72735D2400}" id="{776AE718-40C0-461D-A75E-97F3169F1C88}">
    <text>Pool1 utilization:
Captured from Jan 2024 onwards</text>
  </threadedComment>
</ThreadedComments>
</file>

<file path=xl/threadedComments/threadedComment2.xml><?xml version="1.0" encoding="utf-8"?>
<ThreadedComments xmlns="http://schemas.microsoft.com/office/spreadsheetml/2018/threadedcomments" xmlns:x="http://schemas.openxmlformats.org/spreadsheetml/2006/main">
  <threadedComment ref="E17" dT="2024-01-18T00:45:04.82" personId="{62D77978-9709-4623-9693-5B0FD26B6430}" id="{58046104-D9C1-4744-BB89-01D0008FDC52}">
    <text>Cloud - EC2 has a different block size compared to on-prem</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4.bin"/><Relationship Id="rId4" Type="http://schemas.microsoft.com/office/2017/10/relationships/threadedComment" Target="../threadedComments/threadedComment2.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8975D-9CC9-41C7-BBE9-6EFAE99D37B4}">
  <sheetPr codeName="Sheet1"/>
  <dimension ref="B1:CX379"/>
  <sheetViews>
    <sheetView tabSelected="1" zoomScale="90" zoomScaleNormal="90" workbookViewId="0">
      <pane xSplit="5" ySplit="8" topLeftCell="F73" activePane="bottomRight" state="frozen"/>
      <selection pane="topRight" activeCell="F1" sqref="F1"/>
      <selection pane="bottomLeft" activeCell="A9" sqref="A9"/>
      <selection pane="bottomRight" activeCell="E104" sqref="E104"/>
    </sheetView>
  </sheetViews>
  <sheetFormatPr defaultRowHeight="15" customHeight="1" outlineLevelCol="1" x14ac:dyDescent="0.25"/>
  <cols>
    <col min="1" max="1" width="2.7109375" customWidth="1"/>
    <col min="2" max="2" width="22.7109375" customWidth="1"/>
    <col min="3" max="3" width="11.5703125" customWidth="1"/>
    <col min="4" max="4" width="22.5703125" customWidth="1"/>
    <col min="5" max="5" width="61.140625" customWidth="1"/>
    <col min="6" max="6" width="3.140625" customWidth="1"/>
    <col min="7" max="7" width="30.7109375" customWidth="1"/>
    <col min="8" max="8" width="2.7109375" customWidth="1"/>
    <col min="9" max="9" width="8.140625" hidden="1" customWidth="1" outlineLevel="1"/>
    <col min="10" max="13" width="7.140625" hidden="1" customWidth="1" outlineLevel="1"/>
    <col min="14" max="14" width="6.42578125" hidden="1" customWidth="1" outlineLevel="1"/>
    <col min="15" max="15" width="7" hidden="1" customWidth="1" outlineLevel="1"/>
    <col min="16" max="18" width="5.7109375" hidden="1" customWidth="1" outlineLevel="1"/>
    <col min="19" max="19" width="6.7109375" hidden="1" customWidth="1" outlineLevel="1"/>
    <col min="20" max="20" width="6.7109375" customWidth="1" collapsed="1"/>
    <col min="21" max="31" width="6.7109375" hidden="1" customWidth="1" outlineLevel="1"/>
    <col min="32" max="32" width="6.7109375" customWidth="1" collapsed="1"/>
    <col min="33" max="33" width="6.5703125" hidden="1" customWidth="1" outlineLevel="1"/>
    <col min="34" max="34" width="6.42578125" hidden="1" customWidth="1" outlineLevel="1"/>
    <col min="35" max="35" width="6.7109375" hidden="1" customWidth="1" outlineLevel="1"/>
    <col min="36" max="36" width="6.5703125" hidden="1" customWidth="1" outlineLevel="1"/>
    <col min="37" max="37" width="7.42578125" hidden="1" customWidth="1" outlineLevel="1"/>
    <col min="38" max="38" width="7.7109375" hidden="1" customWidth="1" outlineLevel="1"/>
    <col min="39" max="39" width="6.7109375" hidden="1" customWidth="1" outlineLevel="1"/>
    <col min="40" max="41" width="8.140625" hidden="1" customWidth="1" outlineLevel="1"/>
    <col min="42" max="42" width="7.7109375" hidden="1" customWidth="1" outlineLevel="1"/>
    <col min="43" max="43" width="7.5703125" hidden="1" customWidth="1" outlineLevel="1"/>
    <col min="44" max="44" width="7.5703125" customWidth="1" collapsed="1"/>
    <col min="45" max="49" width="7.5703125" customWidth="1"/>
    <col min="50" max="57" width="6.140625" customWidth="1"/>
    <col min="58" max="58" width="6.42578125" bestFit="1" customWidth="1"/>
    <col min="59" max="59" width="6.85546875" bestFit="1" customWidth="1"/>
    <col min="60" max="60" width="6.85546875" customWidth="1"/>
    <col min="61" max="61" width="6.28515625" bestFit="1" customWidth="1"/>
    <col min="62" max="64" width="7.42578125" customWidth="1"/>
    <col min="65" max="65" width="3.42578125" customWidth="1"/>
    <col min="72" max="72" width="8.7109375" customWidth="1"/>
    <col min="73" max="73" width="9.7109375" customWidth="1"/>
    <col min="82" max="82" width="9.140625" customWidth="1"/>
    <col min="83" max="83" width="8.7109375" customWidth="1"/>
  </cols>
  <sheetData>
    <row r="1" spans="2:102" x14ac:dyDescent="0.25">
      <c r="B1" s="5"/>
      <c r="C1" s="5" t="s">
        <v>0</v>
      </c>
      <c r="D1" s="6">
        <v>1.1499999999999999</v>
      </c>
      <c r="E1" s="5" t="s">
        <v>1</v>
      </c>
      <c r="G1" t="s">
        <v>2</v>
      </c>
      <c r="I1" s="2" t="s">
        <v>3</v>
      </c>
      <c r="J1" s="2" t="s">
        <v>4</v>
      </c>
      <c r="K1" s="2" t="s">
        <v>5</v>
      </c>
      <c r="L1" s="2" t="s">
        <v>6</v>
      </c>
      <c r="M1" s="2" t="s">
        <v>7</v>
      </c>
      <c r="N1" s="2" t="s">
        <v>8</v>
      </c>
      <c r="O1" s="2" t="s">
        <v>9</v>
      </c>
      <c r="P1" s="2" t="s">
        <v>10</v>
      </c>
      <c r="Q1" s="2" t="s">
        <v>11</v>
      </c>
      <c r="R1" s="2" t="s">
        <v>12</v>
      </c>
      <c r="S1" s="2" t="s">
        <v>13</v>
      </c>
      <c r="T1" s="2" t="s">
        <v>14</v>
      </c>
      <c r="U1" s="2" t="s">
        <v>15</v>
      </c>
      <c r="V1" s="2" t="s">
        <v>16</v>
      </c>
      <c r="W1" s="2" t="s">
        <v>17</v>
      </c>
      <c r="X1" s="2" t="s">
        <v>18</v>
      </c>
      <c r="Y1" s="2" t="s">
        <v>19</v>
      </c>
      <c r="Z1" s="2" t="s">
        <v>20</v>
      </c>
      <c r="AA1" s="2" t="s">
        <v>21</v>
      </c>
      <c r="AB1" s="2" t="s">
        <v>22</v>
      </c>
      <c r="AC1" s="2" t="s">
        <v>23</v>
      </c>
      <c r="AD1" s="2" t="s">
        <v>24</v>
      </c>
      <c r="AE1" s="2" t="s">
        <v>25</v>
      </c>
      <c r="AF1" s="2" t="s">
        <v>26</v>
      </c>
      <c r="AG1" s="2" t="s">
        <v>27</v>
      </c>
      <c r="AH1" s="2" t="s">
        <v>278</v>
      </c>
      <c r="AI1" s="2" t="s">
        <v>292</v>
      </c>
      <c r="AJ1" s="2" t="s">
        <v>293</v>
      </c>
      <c r="AK1" s="2" t="s">
        <v>294</v>
      </c>
      <c r="AL1" s="2" t="s">
        <v>295</v>
      </c>
      <c r="AM1" s="2" t="s">
        <v>312</v>
      </c>
      <c r="AN1" s="2" t="s">
        <v>297</v>
      </c>
      <c r="AO1" s="2" t="s">
        <v>298</v>
      </c>
      <c r="AP1" s="2" t="s">
        <v>299</v>
      </c>
      <c r="AQ1" s="2" t="s">
        <v>300</v>
      </c>
      <c r="AR1" s="2" t="s">
        <v>301</v>
      </c>
      <c r="AS1" s="2" t="s">
        <v>302</v>
      </c>
      <c r="AT1" s="2" t="s">
        <v>337</v>
      </c>
      <c r="AU1" s="2" t="s">
        <v>338</v>
      </c>
      <c r="AV1" s="2" t="s">
        <v>339</v>
      </c>
      <c r="AW1" s="2" t="s">
        <v>340</v>
      </c>
      <c r="AX1" s="2" t="s">
        <v>315</v>
      </c>
      <c r="AY1" s="2" t="s">
        <v>341</v>
      </c>
      <c r="AZ1" s="2" t="s">
        <v>342</v>
      </c>
      <c r="BA1" s="2" t="s">
        <v>365</v>
      </c>
      <c r="BB1" s="2" t="s">
        <v>344</v>
      </c>
      <c r="BC1" s="2" t="s">
        <v>345</v>
      </c>
      <c r="BD1" s="2" t="s">
        <v>346</v>
      </c>
      <c r="BE1" s="2" t="s">
        <v>368</v>
      </c>
      <c r="BF1" s="2" t="s">
        <v>369</v>
      </c>
      <c r="BG1" s="2" t="s">
        <v>370</v>
      </c>
      <c r="BH1" s="2" t="s">
        <v>371</v>
      </c>
      <c r="BI1" s="2" t="s">
        <v>372</v>
      </c>
      <c r="BJ1" s="2" t="s">
        <v>373</v>
      </c>
      <c r="BK1" s="2" t="s">
        <v>374</v>
      </c>
      <c r="BL1" s="2" t="s">
        <v>375</v>
      </c>
    </row>
    <row r="2" spans="2:102" x14ac:dyDescent="0.25">
      <c r="B2" s="39"/>
      <c r="C2" s="39"/>
      <c r="D2" s="39">
        <v>4</v>
      </c>
      <c r="E2" s="5"/>
      <c r="G2" t="s">
        <v>28</v>
      </c>
      <c r="I2" s="6">
        <f t="shared" ref="I2:AF2" si="0">$G$25+$G$55+$G$69+$G$92+$G$100+$G$109</f>
        <v>337.81</v>
      </c>
      <c r="J2" s="6">
        <f t="shared" si="0"/>
        <v>337.81</v>
      </c>
      <c r="K2" s="6">
        <f t="shared" si="0"/>
        <v>337.81</v>
      </c>
      <c r="L2" s="6">
        <f t="shared" si="0"/>
        <v>337.81</v>
      </c>
      <c r="M2" s="6">
        <f t="shared" si="0"/>
        <v>337.81</v>
      </c>
      <c r="N2" s="6">
        <f t="shared" si="0"/>
        <v>337.81</v>
      </c>
      <c r="O2" s="6">
        <f t="shared" si="0"/>
        <v>337.81</v>
      </c>
      <c r="P2" s="6">
        <f t="shared" si="0"/>
        <v>337.81</v>
      </c>
      <c r="Q2" s="6">
        <f t="shared" si="0"/>
        <v>337.81</v>
      </c>
      <c r="R2" s="6">
        <f t="shared" si="0"/>
        <v>337.81</v>
      </c>
      <c r="S2" s="6">
        <f t="shared" si="0"/>
        <v>337.81</v>
      </c>
      <c r="T2" s="6">
        <f t="shared" si="0"/>
        <v>337.81</v>
      </c>
      <c r="U2" s="6">
        <f t="shared" si="0"/>
        <v>337.81</v>
      </c>
      <c r="V2" s="6">
        <f t="shared" si="0"/>
        <v>337.81</v>
      </c>
      <c r="W2" s="6">
        <f t="shared" si="0"/>
        <v>337.81</v>
      </c>
      <c r="X2" s="6">
        <f t="shared" si="0"/>
        <v>337.81</v>
      </c>
      <c r="Y2" s="6">
        <f t="shared" si="0"/>
        <v>337.81</v>
      </c>
      <c r="Z2" s="6">
        <f t="shared" si="0"/>
        <v>337.81</v>
      </c>
      <c r="AA2" s="6">
        <f t="shared" si="0"/>
        <v>337.81</v>
      </c>
      <c r="AB2" s="6">
        <f t="shared" si="0"/>
        <v>337.81</v>
      </c>
      <c r="AC2" s="6">
        <f t="shared" si="0"/>
        <v>337.81</v>
      </c>
      <c r="AD2" s="6">
        <f t="shared" si="0"/>
        <v>337.81</v>
      </c>
      <c r="AE2" s="6">
        <f t="shared" si="0"/>
        <v>337.81</v>
      </c>
      <c r="AF2" s="6">
        <f t="shared" si="0"/>
        <v>337.81</v>
      </c>
      <c r="AG2" s="6">
        <f t="shared" ref="AG2:AQ2" si="1">$G$25+$G$55+$G$69+$G$92+$G$109</f>
        <v>325.10000000000002</v>
      </c>
      <c r="AH2" s="6">
        <f t="shared" si="1"/>
        <v>325.10000000000002</v>
      </c>
      <c r="AI2" s="6">
        <f t="shared" si="1"/>
        <v>325.10000000000002</v>
      </c>
      <c r="AJ2" s="6">
        <f t="shared" si="1"/>
        <v>325.10000000000002</v>
      </c>
      <c r="AK2" s="6">
        <f t="shared" si="1"/>
        <v>325.10000000000002</v>
      </c>
      <c r="AL2" s="6">
        <f t="shared" si="1"/>
        <v>325.10000000000002</v>
      </c>
      <c r="AM2" s="6">
        <f t="shared" si="1"/>
        <v>325.10000000000002</v>
      </c>
      <c r="AN2" s="6">
        <f t="shared" si="1"/>
        <v>325.10000000000002</v>
      </c>
      <c r="AO2" s="6">
        <f t="shared" si="1"/>
        <v>325.10000000000002</v>
      </c>
      <c r="AP2" s="6">
        <f t="shared" si="1"/>
        <v>325.10000000000002</v>
      </c>
      <c r="AQ2" s="6">
        <f t="shared" si="1"/>
        <v>325.10000000000002</v>
      </c>
      <c r="AR2" s="6">
        <f>$G$25+$G$55+$G$69+$G$92+$G$109+$G$118+$G$125+$G$132+$G$138+$G$144+$G$150+$G$156+$G$162</f>
        <v>611.20000000000005</v>
      </c>
      <c r="AS2" s="6">
        <f t="shared" ref="AS2:BG2" si="2">$G$25+$G$55+$G$69+$G$92+$G$109+$G$118+$G$125+$G$132+$G$138+$G$144+$G$150+$G$156+$G$162</f>
        <v>611.20000000000005</v>
      </c>
      <c r="AT2" s="6">
        <f t="shared" si="2"/>
        <v>611.20000000000005</v>
      </c>
      <c r="AU2" s="6">
        <f t="shared" si="2"/>
        <v>611.20000000000005</v>
      </c>
      <c r="AV2" s="6">
        <f t="shared" si="2"/>
        <v>611.20000000000005</v>
      </c>
      <c r="AW2" s="6">
        <f t="shared" si="2"/>
        <v>611.20000000000005</v>
      </c>
      <c r="AX2" s="6">
        <f t="shared" si="2"/>
        <v>611.20000000000005</v>
      </c>
      <c r="AY2" s="6">
        <f t="shared" si="2"/>
        <v>611.20000000000005</v>
      </c>
      <c r="AZ2" s="6">
        <f t="shared" si="2"/>
        <v>611.20000000000005</v>
      </c>
      <c r="BA2" s="6">
        <f t="shared" si="2"/>
        <v>611.20000000000005</v>
      </c>
      <c r="BB2" s="6">
        <f t="shared" si="2"/>
        <v>611.20000000000005</v>
      </c>
      <c r="BC2" s="6">
        <f t="shared" si="2"/>
        <v>611.20000000000005</v>
      </c>
      <c r="BD2" s="6">
        <f t="shared" si="2"/>
        <v>611.20000000000005</v>
      </c>
      <c r="BE2" s="6">
        <f t="shared" si="2"/>
        <v>611.20000000000005</v>
      </c>
      <c r="BF2" s="6">
        <f t="shared" si="2"/>
        <v>611.20000000000005</v>
      </c>
      <c r="BG2" s="6">
        <f t="shared" si="2"/>
        <v>611.20000000000005</v>
      </c>
      <c r="BH2" s="6">
        <f>$G$25+$G$55+$G$69+$G$92+$G$109+$G$118+$G$125+G132+G138+G144+G150+G156+G162</f>
        <v>611.20000000000005</v>
      </c>
      <c r="BI2" s="6">
        <f>$G$25+$G$55+$G$69+$G$92+$G$109+$G$118+$G$125+G132+G138+G144+G150+G156+G162</f>
        <v>611.20000000000005</v>
      </c>
      <c r="BJ2" s="6">
        <f>$G$25+$G$55+$G$69+$G$78+$G$92+$G$109+$G$118+$G$125+G132+G138+G144+G150+G156+G162</f>
        <v>809.2</v>
      </c>
      <c r="BK2" s="6">
        <f>$G$25+$G$55+$G$69+$G$78+$G$92+$G$109+$G$118+$G$125+H132+H138+H144+H150+H156+H162</f>
        <v>574.50000000000011</v>
      </c>
      <c r="BL2" s="6">
        <f>$G$25+$G$55+$G$69+$G$78+$G$92+$G$109+$G$118+$G$125+I132+I138+I144+I150+I156+I162</f>
        <v>917.8</v>
      </c>
      <c r="BN2" s="38"/>
      <c r="BO2" s="41"/>
    </row>
    <row r="3" spans="2:102" x14ac:dyDescent="0.25">
      <c r="B3" s="39"/>
      <c r="C3" s="39"/>
      <c r="D3" s="39"/>
      <c r="E3" s="5"/>
      <c r="G3" t="s">
        <v>29</v>
      </c>
      <c r="I3" s="40">
        <f t="shared" ref="I3:AN3" si="3">I24+I54+I68+I91+I99+I108+I118+I124+I131+I137+I143+I149+I155+I161</f>
        <v>296.46123999999998</v>
      </c>
      <c r="J3" s="40">
        <f t="shared" si="3"/>
        <v>295.8236</v>
      </c>
      <c r="K3" s="40">
        <f t="shared" si="3"/>
        <v>360.66079999999999</v>
      </c>
      <c r="L3" s="40">
        <f t="shared" si="3"/>
        <v>354.48099999999999</v>
      </c>
      <c r="M3" s="40">
        <f t="shared" si="3"/>
        <v>353.82299999999992</v>
      </c>
      <c r="N3" s="40">
        <f t="shared" si="3"/>
        <v>328.31000000000012</v>
      </c>
      <c r="O3" s="40">
        <f t="shared" si="3"/>
        <v>333.10699999999997</v>
      </c>
      <c r="P3" s="40">
        <f t="shared" si="3"/>
        <v>309.91000000000003</v>
      </c>
      <c r="Q3" s="40">
        <f t="shared" si="3"/>
        <v>302.41500000000002</v>
      </c>
      <c r="R3" s="40">
        <f t="shared" si="3"/>
        <v>307.64</v>
      </c>
      <c r="S3" s="40">
        <f t="shared" si="3"/>
        <v>329.05000000000007</v>
      </c>
      <c r="T3" s="40">
        <f t="shared" si="3"/>
        <v>332.25060000000008</v>
      </c>
      <c r="U3" s="40">
        <f t="shared" si="3"/>
        <v>335.38000000000005</v>
      </c>
      <c r="V3" s="40">
        <f t="shared" si="3"/>
        <v>345.61</v>
      </c>
      <c r="W3" s="40">
        <f t="shared" si="3"/>
        <v>345.33000000000004</v>
      </c>
      <c r="X3" s="40">
        <f t="shared" si="3"/>
        <v>348.77000000000004</v>
      </c>
      <c r="Y3" s="40">
        <f t="shared" si="3"/>
        <v>351.18999999999994</v>
      </c>
      <c r="Z3" s="40">
        <f t="shared" si="3"/>
        <v>332.90800000000002</v>
      </c>
      <c r="AA3" s="40">
        <f t="shared" si="3"/>
        <v>342.23999999999995</v>
      </c>
      <c r="AB3" s="40">
        <f t="shared" si="3"/>
        <v>349.64</v>
      </c>
      <c r="AC3" s="40">
        <f t="shared" si="3"/>
        <v>349.98</v>
      </c>
      <c r="AD3" s="40">
        <f t="shared" si="3"/>
        <v>351.74999999999994</v>
      </c>
      <c r="AE3" s="40">
        <f t="shared" si="3"/>
        <v>376.68000000000006</v>
      </c>
      <c r="AF3" s="40">
        <f t="shared" si="3"/>
        <v>367.8300000000001</v>
      </c>
      <c r="AG3" s="40">
        <f t="shared" si="3"/>
        <v>360.54</v>
      </c>
      <c r="AH3" s="40">
        <f t="shared" si="3"/>
        <v>364.06000000000006</v>
      </c>
      <c r="AI3" s="40">
        <f t="shared" si="3"/>
        <v>362.88</v>
      </c>
      <c r="AJ3" s="40">
        <f t="shared" si="3"/>
        <v>368.40000000000009</v>
      </c>
      <c r="AK3" s="40">
        <f t="shared" si="3"/>
        <v>365.97999999999996</v>
      </c>
      <c r="AL3" s="40">
        <f t="shared" si="3"/>
        <v>382.98</v>
      </c>
      <c r="AM3" s="40">
        <f t="shared" si="3"/>
        <v>385.58</v>
      </c>
      <c r="AN3" s="40">
        <f t="shared" si="3"/>
        <v>390.86</v>
      </c>
      <c r="AO3" s="40">
        <f t="shared" ref="AO3:BI3" si="4">AO24+AO54+AO68+AO91+AO99+AO108+AO118+AO124+AO131+AO137+AO143+AO149+AO155+AO161</f>
        <v>378.36999999999989</v>
      </c>
      <c r="AP3" s="40">
        <f t="shared" si="4"/>
        <v>391.98999999999995</v>
      </c>
      <c r="AQ3" s="40">
        <f t="shared" si="4"/>
        <v>400.46999999999997</v>
      </c>
      <c r="AR3" s="40">
        <f t="shared" si="4"/>
        <v>390.10999999999996</v>
      </c>
      <c r="AS3" s="40">
        <f t="shared" si="4"/>
        <v>400.33000000000004</v>
      </c>
      <c r="AT3" s="40">
        <f t="shared" si="4"/>
        <v>397.86000000000007</v>
      </c>
      <c r="AU3" s="40">
        <f t="shared" si="4"/>
        <v>400.67000000000007</v>
      </c>
      <c r="AV3" s="40">
        <f t="shared" si="4"/>
        <v>405.34999999999997</v>
      </c>
      <c r="AW3" s="40">
        <f t="shared" si="4"/>
        <v>412.19999999999987</v>
      </c>
      <c r="AX3" s="40">
        <f t="shared" si="4"/>
        <v>413.85000000000008</v>
      </c>
      <c r="AY3" s="40">
        <f t="shared" si="4"/>
        <v>389.66999999999996</v>
      </c>
      <c r="AZ3" s="40">
        <f t="shared" si="4"/>
        <v>392.21999999999997</v>
      </c>
      <c r="BA3" s="40">
        <f t="shared" si="4"/>
        <v>394.42000000000007</v>
      </c>
      <c r="BB3" s="40">
        <f t="shared" si="4"/>
        <v>396.29000000000008</v>
      </c>
      <c r="BC3" s="40">
        <f t="shared" si="4"/>
        <v>400.7700000000001</v>
      </c>
      <c r="BD3" s="40">
        <f t="shared" si="4"/>
        <v>401.23</v>
      </c>
      <c r="BE3" s="40">
        <f t="shared" si="4"/>
        <v>399.07</v>
      </c>
      <c r="BF3" s="40">
        <f t="shared" si="4"/>
        <v>408.94</v>
      </c>
      <c r="BG3" s="40">
        <f t="shared" si="4"/>
        <v>414.2</v>
      </c>
      <c r="BH3" s="40">
        <f t="shared" si="4"/>
        <v>415.28999999999996</v>
      </c>
      <c r="BI3" s="40">
        <f t="shared" si="4"/>
        <v>413.58</v>
      </c>
      <c r="BJ3" s="40">
        <f>BJ24+BJ54+BJ68+BJ77+BJ91+BJ99+BJ108+BJ118+BJ124+BJ131+BJ137+BJ143+BJ149+BJ155+BJ161</f>
        <v>493.44</v>
      </c>
      <c r="BK3" s="40">
        <f>BK24+BK54+BK68+BK77+BK91+BK99+BK108+BK118+BK124+BK131+BK137+BK143+BK149+BK155+BK161</f>
        <v>495.69</v>
      </c>
      <c r="BL3" s="40">
        <f>BL24+BL54+BL68+BL77+BL91+BL99+BL108+BL118+BL124+BL131+BL137+BL143+BL149+BL155+BL161</f>
        <v>494.79000000000008</v>
      </c>
      <c r="BN3" s="38"/>
      <c r="BO3" s="41"/>
    </row>
    <row r="4" spans="2:102" x14ac:dyDescent="0.25">
      <c r="B4" s="5"/>
      <c r="C4" s="5"/>
      <c r="D4" s="32"/>
      <c r="E4" s="5"/>
      <c r="G4" s="37" t="s">
        <v>30</v>
      </c>
      <c r="I4" s="40">
        <f t="shared" ref="I4:AN4" si="5">I25+I55+I69+I92+I100+I109</f>
        <v>125.73876000000001</v>
      </c>
      <c r="J4" s="40">
        <f t="shared" si="5"/>
        <v>127.4204</v>
      </c>
      <c r="K4" s="40">
        <f t="shared" si="5"/>
        <v>106.27840000000003</v>
      </c>
      <c r="L4" s="40">
        <f t="shared" si="5"/>
        <v>120.66000000000003</v>
      </c>
      <c r="M4" s="40">
        <f t="shared" si="5"/>
        <v>106.727</v>
      </c>
      <c r="N4" s="40">
        <f t="shared" si="5"/>
        <v>87.79000000000002</v>
      </c>
      <c r="O4" s="40">
        <f t="shared" si="5"/>
        <v>80.593000000000018</v>
      </c>
      <c r="P4" s="40">
        <f t="shared" si="5"/>
        <v>102.79</v>
      </c>
      <c r="Q4" s="40">
        <f t="shared" si="5"/>
        <v>145.23499999999999</v>
      </c>
      <c r="R4" s="40">
        <f t="shared" si="5"/>
        <v>140.71</v>
      </c>
      <c r="S4" s="40">
        <f t="shared" si="5"/>
        <v>122.86</v>
      </c>
      <c r="T4" s="40">
        <f t="shared" si="5"/>
        <v>120.65939999999999</v>
      </c>
      <c r="U4" s="40">
        <f t="shared" si="5"/>
        <v>114.87</v>
      </c>
      <c r="V4" s="40">
        <f t="shared" si="5"/>
        <v>105.36</v>
      </c>
      <c r="W4" s="40">
        <f t="shared" si="5"/>
        <v>107.05000000000001</v>
      </c>
      <c r="X4" s="40">
        <f t="shared" si="5"/>
        <v>104.67999999999999</v>
      </c>
      <c r="Y4" s="40">
        <f t="shared" si="5"/>
        <v>103.74000000000001</v>
      </c>
      <c r="Z4" s="40">
        <f t="shared" si="5"/>
        <v>120.97199999999999</v>
      </c>
      <c r="AA4" s="40">
        <f t="shared" si="5"/>
        <v>116.53</v>
      </c>
      <c r="AB4" s="40">
        <f t="shared" si="5"/>
        <v>112.02999999999999</v>
      </c>
      <c r="AC4" s="40">
        <f t="shared" si="5"/>
        <v>112.49999999999999</v>
      </c>
      <c r="AD4" s="40">
        <f t="shared" si="5"/>
        <v>110.86999999999999</v>
      </c>
      <c r="AE4" s="40">
        <f t="shared" si="5"/>
        <v>87.88</v>
      </c>
      <c r="AF4" s="40">
        <f t="shared" si="5"/>
        <v>86.360000000000014</v>
      </c>
      <c r="AG4" s="40">
        <f t="shared" si="5"/>
        <v>85.2</v>
      </c>
      <c r="AH4" s="40">
        <f t="shared" si="5"/>
        <v>83.070000000000007</v>
      </c>
      <c r="AI4" s="40">
        <f t="shared" si="5"/>
        <v>85.54</v>
      </c>
      <c r="AJ4" s="40">
        <f t="shared" si="5"/>
        <v>81.19</v>
      </c>
      <c r="AK4" s="40">
        <f t="shared" si="5"/>
        <v>81.27</v>
      </c>
      <c r="AL4" s="40">
        <f t="shared" si="5"/>
        <v>62.48</v>
      </c>
      <c r="AM4" s="40">
        <f t="shared" si="5"/>
        <v>60.56</v>
      </c>
      <c r="AN4" s="40">
        <f t="shared" si="5"/>
        <v>59.13000000000001</v>
      </c>
      <c r="AO4" s="40">
        <f t="shared" ref="AO4:BI4" si="6">AO25+AO55+AO69+AO92+AO100+AO109</f>
        <v>75.960000000000008</v>
      </c>
      <c r="AP4" s="40">
        <f t="shared" si="6"/>
        <v>65.990000000000009</v>
      </c>
      <c r="AQ4" s="40">
        <f t="shared" si="6"/>
        <v>63.160000000000004</v>
      </c>
      <c r="AR4" s="40">
        <f t="shared" si="6"/>
        <v>68.849999999999994</v>
      </c>
      <c r="AS4" s="40">
        <f t="shared" si="6"/>
        <v>60.28</v>
      </c>
      <c r="AT4" s="40">
        <f t="shared" si="6"/>
        <v>64.510000000000005</v>
      </c>
      <c r="AU4" s="40">
        <f t="shared" si="6"/>
        <v>62.930000000000007</v>
      </c>
      <c r="AV4" s="40">
        <f t="shared" si="6"/>
        <v>60.210000000000008</v>
      </c>
      <c r="AW4" s="40">
        <f t="shared" si="6"/>
        <v>54.089999999999989</v>
      </c>
      <c r="AX4" s="40">
        <f t="shared" si="6"/>
        <v>52.08</v>
      </c>
      <c r="AY4" s="40">
        <f t="shared" si="6"/>
        <v>76.31</v>
      </c>
      <c r="AZ4" s="40">
        <f t="shared" si="6"/>
        <v>74.03</v>
      </c>
      <c r="BA4" s="40">
        <f t="shared" si="6"/>
        <v>72.649999999999991</v>
      </c>
      <c r="BB4" s="40">
        <f t="shared" si="6"/>
        <v>72.650000000000006</v>
      </c>
      <c r="BC4" s="40">
        <f t="shared" si="6"/>
        <v>68.78</v>
      </c>
      <c r="BD4" s="40">
        <f t="shared" si="6"/>
        <v>70.45</v>
      </c>
      <c r="BE4" s="40">
        <f t="shared" si="6"/>
        <v>74.36</v>
      </c>
      <c r="BF4" s="40">
        <f t="shared" si="6"/>
        <v>66.509999999999991</v>
      </c>
      <c r="BG4" s="40">
        <f t="shared" si="6"/>
        <v>62.97</v>
      </c>
      <c r="BH4" s="40">
        <f t="shared" si="6"/>
        <v>62.58</v>
      </c>
      <c r="BI4" s="40">
        <f t="shared" si="6"/>
        <v>67.250000000000014</v>
      </c>
      <c r="BJ4" s="40">
        <f>BJ25+BJ55+BJ69+BJ92+BJ100+BJ109+BJ118+BJ125+BJ132+BJ138+BJ144+BJ150+BJ156+BJ162</f>
        <v>414.02</v>
      </c>
      <c r="BK4" s="40">
        <f>BK25+BK55+BK69+BK92+BK100+BK109+BK118+BK125+BK132+BK138+BK144+BK150+BK156+BK162</f>
        <v>412.89</v>
      </c>
      <c r="BL4" s="40">
        <f>BL25+BL55+BL69+BL92+BL100+BL109+BL118+BL125+BL132+BL138+BL144+BL150+BL156+BL162</f>
        <v>412.7</v>
      </c>
      <c r="BN4" s="38"/>
    </row>
    <row r="5" spans="2:102" x14ac:dyDescent="0.25">
      <c r="B5" s="5"/>
      <c r="C5" s="5"/>
      <c r="D5" s="32"/>
      <c r="E5" s="5"/>
      <c r="G5" s="37"/>
      <c r="I5" s="40"/>
      <c r="J5" s="40"/>
      <c r="K5" s="40"/>
      <c r="L5" s="40"/>
      <c r="BN5" s="38"/>
    </row>
    <row r="6" spans="2:102" x14ac:dyDescent="0.25">
      <c r="B6" s="5"/>
      <c r="C6" s="5"/>
      <c r="D6" s="32"/>
      <c r="E6" s="5"/>
      <c r="G6" s="37"/>
      <c r="I6" s="40"/>
      <c r="J6" s="40"/>
      <c r="K6" s="40"/>
      <c r="L6" s="40"/>
      <c r="BN6" s="38"/>
    </row>
    <row r="8" spans="2:102" s="4" customFormat="1" ht="59.25" customHeight="1" x14ac:dyDescent="0.25">
      <c r="B8" s="3" t="s">
        <v>31</v>
      </c>
      <c r="C8" s="54" t="s">
        <v>32</v>
      </c>
      <c r="D8" s="3" t="s">
        <v>33</v>
      </c>
      <c r="E8" s="3" t="s">
        <v>34</v>
      </c>
      <c r="G8" s="7" t="s">
        <v>35</v>
      </c>
      <c r="I8" s="124"/>
      <c r="J8" s="124"/>
      <c r="K8" s="124"/>
      <c r="L8" s="124"/>
      <c r="M8" s="124"/>
      <c r="N8" s="124"/>
      <c r="O8" s="124"/>
      <c r="P8" s="124"/>
      <c r="Q8" s="124"/>
      <c r="R8" s="124"/>
      <c r="S8" s="124"/>
      <c r="T8" s="124"/>
      <c r="U8" s="124"/>
      <c r="V8" s="124"/>
      <c r="W8" s="124"/>
      <c r="X8" s="124"/>
      <c r="Y8" s="124"/>
      <c r="Z8" s="124"/>
      <c r="AA8" s="124"/>
      <c r="AB8" s="124"/>
      <c r="AC8" s="124"/>
      <c r="AD8" s="124"/>
      <c r="AE8" s="124"/>
      <c r="AF8" s="124"/>
      <c r="AG8" s="124"/>
      <c r="AH8" s="124"/>
      <c r="AI8" s="124"/>
      <c r="AJ8" s="124"/>
      <c r="AK8" s="124"/>
      <c r="AL8" s="124"/>
      <c r="AM8" s="124"/>
      <c r="AN8" s="124"/>
      <c r="AO8" s="124"/>
      <c r="AP8" s="7"/>
      <c r="AQ8" s="7"/>
      <c r="AR8" s="7"/>
      <c r="AS8" s="7"/>
      <c r="AT8" s="7"/>
      <c r="AU8" s="7"/>
      <c r="AV8" s="7"/>
      <c r="AW8" s="7"/>
      <c r="AX8" s="7"/>
      <c r="AY8" s="7"/>
      <c r="AZ8" s="7"/>
      <c r="BA8" s="7"/>
      <c r="BB8" s="7"/>
      <c r="BC8" s="7"/>
      <c r="BD8" s="7"/>
      <c r="BE8" s="7"/>
      <c r="BF8" s="7"/>
      <c r="BG8" s="7"/>
      <c r="BH8" s="7"/>
      <c r="BN8" s="124" t="s">
        <v>36</v>
      </c>
      <c r="BO8" s="124"/>
      <c r="BP8" s="124"/>
      <c r="BQ8" s="124"/>
      <c r="BR8" s="124"/>
      <c r="BS8" s="124"/>
      <c r="BT8" s="124"/>
      <c r="BU8" s="124"/>
      <c r="BV8" s="124"/>
      <c r="BW8" s="124"/>
      <c r="BX8" s="124"/>
      <c r="BY8" s="124"/>
      <c r="BZ8" s="124"/>
      <c r="CA8" s="124"/>
      <c r="CB8" s="7"/>
      <c r="CC8" s="7"/>
      <c r="CD8" s="7"/>
    </row>
    <row r="9" spans="2:102" ht="15.75" thickBot="1" x14ac:dyDescent="0.3">
      <c r="E9" s="56"/>
      <c r="I9" s="2" t="s">
        <v>3</v>
      </c>
      <c r="J9" s="2" t="s">
        <v>4</v>
      </c>
      <c r="K9" s="2" t="s">
        <v>5</v>
      </c>
      <c r="L9" s="2" t="s">
        <v>6</v>
      </c>
      <c r="M9" s="2" t="s">
        <v>7</v>
      </c>
      <c r="N9" s="2" t="s">
        <v>8</v>
      </c>
      <c r="O9" s="2" t="s">
        <v>9</v>
      </c>
      <c r="P9" s="2" t="s">
        <v>10</v>
      </c>
      <c r="Q9" s="2" t="s">
        <v>11</v>
      </c>
      <c r="R9" s="2" t="s">
        <v>12</v>
      </c>
      <c r="S9" s="2" t="s">
        <v>13</v>
      </c>
      <c r="T9" s="2" t="s">
        <v>14</v>
      </c>
      <c r="U9" s="2" t="s">
        <v>15</v>
      </c>
      <c r="V9" s="2" t="s">
        <v>16</v>
      </c>
      <c r="W9" s="2" t="s">
        <v>17</v>
      </c>
      <c r="X9" s="2" t="s">
        <v>18</v>
      </c>
      <c r="Y9" s="2" t="s">
        <v>19</v>
      </c>
      <c r="Z9" s="2" t="s">
        <v>20</v>
      </c>
      <c r="AA9" s="2" t="s">
        <v>21</v>
      </c>
      <c r="AB9" s="2" t="s">
        <v>22</v>
      </c>
      <c r="AC9" s="2" t="s">
        <v>23</v>
      </c>
      <c r="AD9" s="2" t="s">
        <v>24</v>
      </c>
      <c r="AE9" s="2" t="s">
        <v>25</v>
      </c>
      <c r="AF9" s="2" t="s">
        <v>26</v>
      </c>
      <c r="AG9" s="2" t="s">
        <v>27</v>
      </c>
      <c r="AH9" s="2" t="s">
        <v>278</v>
      </c>
      <c r="AI9" s="2" t="s">
        <v>292</v>
      </c>
      <c r="AJ9" s="2" t="s">
        <v>293</v>
      </c>
      <c r="AK9" s="2" t="s">
        <v>294</v>
      </c>
      <c r="AL9" s="2" t="s">
        <v>295</v>
      </c>
      <c r="AM9" s="2" t="s">
        <v>312</v>
      </c>
      <c r="AN9" s="2" t="s">
        <v>297</v>
      </c>
      <c r="AO9" s="2" t="s">
        <v>298</v>
      </c>
      <c r="AP9" s="2" t="s">
        <v>299</v>
      </c>
      <c r="AQ9" s="2" t="s">
        <v>300</v>
      </c>
      <c r="AR9" s="2" t="s">
        <v>301</v>
      </c>
      <c r="AS9" s="2" t="s">
        <v>302</v>
      </c>
      <c r="AT9" s="2" t="s">
        <v>337</v>
      </c>
      <c r="AU9" s="2" t="s">
        <v>338</v>
      </c>
      <c r="AV9" s="2" t="s">
        <v>339</v>
      </c>
      <c r="AW9" s="2" t="s">
        <v>340</v>
      </c>
      <c r="AX9" s="2" t="s">
        <v>315</v>
      </c>
      <c r="AY9" s="2" t="s">
        <v>341</v>
      </c>
      <c r="AZ9" s="2" t="s">
        <v>342</v>
      </c>
      <c r="BA9" s="2" t="s">
        <v>365</v>
      </c>
      <c r="BB9" s="2" t="s">
        <v>344</v>
      </c>
      <c r="BC9" s="2" t="s">
        <v>345</v>
      </c>
      <c r="BD9" s="2" t="s">
        <v>346</v>
      </c>
      <c r="BE9" s="2" t="s">
        <v>368</v>
      </c>
      <c r="BF9" s="2" t="s">
        <v>369</v>
      </c>
      <c r="BG9" s="2" t="s">
        <v>370</v>
      </c>
      <c r="BH9" s="2" t="s">
        <v>371</v>
      </c>
      <c r="BI9" s="2" t="s">
        <v>372</v>
      </c>
      <c r="BJ9" s="2" t="s">
        <v>373</v>
      </c>
      <c r="BK9" s="2" t="s">
        <v>374</v>
      </c>
      <c r="BL9" s="2" t="s">
        <v>375</v>
      </c>
      <c r="BN9" s="2" t="s">
        <v>3</v>
      </c>
      <c r="BO9" s="2" t="s">
        <v>4</v>
      </c>
      <c r="BP9" s="2" t="s">
        <v>5</v>
      </c>
      <c r="BQ9" s="2" t="s">
        <v>6</v>
      </c>
      <c r="BR9" s="2" t="s">
        <v>7</v>
      </c>
      <c r="BS9" s="2" t="s">
        <v>8</v>
      </c>
      <c r="BT9" s="2" t="s">
        <v>9</v>
      </c>
      <c r="BU9" s="2" t="s">
        <v>10</v>
      </c>
      <c r="BV9" s="2" t="s">
        <v>11</v>
      </c>
      <c r="BW9" s="2" t="s">
        <v>12</v>
      </c>
      <c r="BX9" s="2" t="s">
        <v>13</v>
      </c>
      <c r="BY9" s="2" t="s">
        <v>14</v>
      </c>
      <c r="BZ9" s="2" t="s">
        <v>15</v>
      </c>
      <c r="CA9" s="2" t="s">
        <v>16</v>
      </c>
      <c r="CB9" s="73" t="s">
        <v>17</v>
      </c>
      <c r="CC9" s="2" t="s">
        <v>18</v>
      </c>
      <c r="CD9" s="2" t="s">
        <v>19</v>
      </c>
      <c r="CE9" s="2" t="s">
        <v>20</v>
      </c>
      <c r="CF9" s="2" t="s">
        <v>21</v>
      </c>
      <c r="CG9" s="2" t="s">
        <v>22</v>
      </c>
      <c r="CH9" s="2" t="s">
        <v>23</v>
      </c>
      <c r="CI9" s="2" t="s">
        <v>24</v>
      </c>
      <c r="CJ9" s="2" t="s">
        <v>25</v>
      </c>
      <c r="CK9" s="2" t="s">
        <v>26</v>
      </c>
      <c r="CL9" s="2" t="s">
        <v>27</v>
      </c>
      <c r="CM9" s="2" t="s">
        <v>278</v>
      </c>
      <c r="CN9" s="2" t="s">
        <v>292</v>
      </c>
      <c r="CO9" s="2" t="s">
        <v>293</v>
      </c>
      <c r="CP9" s="2" t="s">
        <v>294</v>
      </c>
      <c r="CQ9" s="2" t="s">
        <v>295</v>
      </c>
      <c r="CR9" s="2" t="s">
        <v>296</v>
      </c>
      <c r="CS9" s="2" t="s">
        <v>297</v>
      </c>
      <c r="CT9" s="2" t="s">
        <v>298</v>
      </c>
      <c r="CU9" s="2" t="s">
        <v>299</v>
      </c>
      <c r="CV9" s="2" t="s">
        <v>300</v>
      </c>
      <c r="CW9" s="2" t="s">
        <v>301</v>
      </c>
      <c r="CX9" s="2" t="s">
        <v>302</v>
      </c>
    </row>
    <row r="10" spans="2:102" x14ac:dyDescent="0.25">
      <c r="B10" s="43" t="s">
        <v>37</v>
      </c>
      <c r="C10" s="10" t="s">
        <v>38</v>
      </c>
      <c r="D10" s="10" t="s">
        <v>39</v>
      </c>
      <c r="E10" s="10" t="s">
        <v>354</v>
      </c>
      <c r="F10" s="10"/>
      <c r="G10" s="26"/>
      <c r="H10" s="10"/>
      <c r="I10" s="11">
        <v>0.4</v>
      </c>
      <c r="J10" s="11">
        <v>0.34499999999999997</v>
      </c>
      <c r="K10" s="11">
        <v>0.32</v>
      </c>
      <c r="L10" s="11">
        <v>0.33</v>
      </c>
      <c r="M10" s="11">
        <v>0.36</v>
      </c>
      <c r="N10" s="11">
        <v>0.22</v>
      </c>
      <c r="O10" s="11">
        <v>0.21</v>
      </c>
      <c r="P10" s="11">
        <v>0.23</v>
      </c>
      <c r="Q10" s="11">
        <v>0.2</v>
      </c>
      <c r="R10" s="11">
        <v>0.24</v>
      </c>
      <c r="S10" s="11">
        <v>0.26</v>
      </c>
      <c r="T10" s="11"/>
      <c r="U10" s="11"/>
      <c r="V10" s="11"/>
      <c r="W10" s="11"/>
      <c r="X10" s="11"/>
      <c r="Y10" s="11"/>
      <c r="Z10" s="11"/>
      <c r="AA10" s="11"/>
      <c r="AB10" s="11"/>
      <c r="AC10" s="11"/>
      <c r="AD10" s="11"/>
      <c r="AE10" s="11"/>
      <c r="AF10" s="11"/>
      <c r="AG10" s="10"/>
      <c r="AH10" s="10"/>
      <c r="AI10" s="10"/>
      <c r="AJ10" s="10"/>
      <c r="AK10" s="10"/>
      <c r="AL10" s="10"/>
      <c r="AM10" s="10"/>
      <c r="AN10" s="10"/>
      <c r="AO10" s="10"/>
      <c r="AP10" s="10"/>
      <c r="AQ10" s="10"/>
      <c r="AR10" s="10"/>
      <c r="AS10" s="10"/>
      <c r="AT10" s="10"/>
      <c r="AU10" s="10"/>
      <c r="AV10" s="10">
        <v>8.56</v>
      </c>
      <c r="AW10" s="10">
        <v>8.59</v>
      </c>
      <c r="AX10" s="10">
        <v>8.67</v>
      </c>
      <c r="AY10" s="10">
        <v>8.74</v>
      </c>
      <c r="AZ10" s="10">
        <v>8.77</v>
      </c>
      <c r="BA10" s="10">
        <v>8.7899999999999991</v>
      </c>
      <c r="BB10" s="10">
        <v>8.65</v>
      </c>
      <c r="BC10" s="10">
        <v>8.66</v>
      </c>
      <c r="BD10" s="10">
        <v>8.66</v>
      </c>
      <c r="BE10" s="10">
        <v>8.69</v>
      </c>
      <c r="BF10" s="10">
        <v>8.76</v>
      </c>
      <c r="BG10" s="10">
        <v>8.7899999999999991</v>
      </c>
      <c r="BH10" s="10">
        <v>9.0299999999999994</v>
      </c>
      <c r="BI10" s="10">
        <v>0.02</v>
      </c>
      <c r="BJ10" s="44">
        <v>0</v>
      </c>
      <c r="BK10" s="44">
        <v>0</v>
      </c>
      <c r="BL10" s="44">
        <v>0</v>
      </c>
      <c r="BM10" s="10"/>
      <c r="BN10" s="12"/>
      <c r="BO10" s="12"/>
      <c r="BP10" s="12"/>
      <c r="BQ10" s="12"/>
      <c r="BR10" s="12"/>
      <c r="BS10" s="12"/>
      <c r="BT10" s="12"/>
      <c r="BU10" s="12"/>
      <c r="BV10" s="12"/>
      <c r="BW10" s="12"/>
      <c r="BX10" s="12"/>
      <c r="BY10" s="12"/>
      <c r="BZ10" s="12"/>
      <c r="CA10" s="13"/>
      <c r="CB10" s="1"/>
      <c r="CC10" s="1"/>
    </row>
    <row r="11" spans="2:102" ht="15" customHeight="1" x14ac:dyDescent="0.25">
      <c r="B11" s="42" t="s">
        <v>41</v>
      </c>
      <c r="E11" t="s">
        <v>40</v>
      </c>
      <c r="G11" s="46"/>
      <c r="I11" s="9">
        <v>0.7</v>
      </c>
      <c r="J11" s="9">
        <v>0.745</v>
      </c>
      <c r="K11" s="9">
        <v>0.74</v>
      </c>
      <c r="L11" s="9">
        <v>0.74</v>
      </c>
      <c r="M11" s="9">
        <v>1.04</v>
      </c>
      <c r="N11" s="9">
        <v>0.06</v>
      </c>
      <c r="O11" s="9">
        <v>5.8000000000000003E-2</v>
      </c>
      <c r="P11" s="9">
        <v>0.06</v>
      </c>
      <c r="Q11" s="9">
        <v>0.06</v>
      </c>
      <c r="R11" s="9">
        <v>0.06</v>
      </c>
      <c r="S11" s="9">
        <v>0.06</v>
      </c>
      <c r="T11" s="9">
        <v>0.26</v>
      </c>
      <c r="AF11">
        <v>0.45</v>
      </c>
      <c r="AG11">
        <v>0.47</v>
      </c>
      <c r="AH11">
        <v>0.48</v>
      </c>
      <c r="AI11">
        <v>0.47</v>
      </c>
      <c r="AJ11">
        <v>0.5</v>
      </c>
      <c r="AK11">
        <v>0.61</v>
      </c>
      <c r="AL11">
        <v>0.67</v>
      </c>
      <c r="AM11">
        <v>0.74</v>
      </c>
      <c r="AN11">
        <v>0.77</v>
      </c>
      <c r="AO11">
        <v>0.82</v>
      </c>
      <c r="AP11">
        <v>0.83</v>
      </c>
      <c r="AQ11">
        <v>0.77</v>
      </c>
      <c r="AR11">
        <v>0.84</v>
      </c>
      <c r="AS11">
        <v>0.81</v>
      </c>
      <c r="AT11">
        <v>1.23</v>
      </c>
      <c r="AU11">
        <v>1.23</v>
      </c>
      <c r="AV11" s="9">
        <v>1.37</v>
      </c>
      <c r="AW11" s="9">
        <v>1.45</v>
      </c>
      <c r="AX11">
        <v>1.51</v>
      </c>
      <c r="AY11">
        <v>1.45</v>
      </c>
      <c r="AZ11">
        <v>1.49</v>
      </c>
      <c r="BA11">
        <v>1.53</v>
      </c>
      <c r="BB11">
        <v>1.56</v>
      </c>
      <c r="BC11">
        <v>1.6</v>
      </c>
      <c r="BD11">
        <v>1.57</v>
      </c>
      <c r="BE11">
        <v>1.59</v>
      </c>
      <c r="BF11">
        <v>1.69</v>
      </c>
      <c r="BG11">
        <v>1.78</v>
      </c>
      <c r="BH11">
        <v>1.85</v>
      </c>
      <c r="BI11">
        <v>1.79</v>
      </c>
      <c r="BJ11">
        <v>1.7</v>
      </c>
      <c r="BK11">
        <v>1.75</v>
      </c>
      <c r="BL11">
        <v>1.76</v>
      </c>
      <c r="BN11" s="1"/>
      <c r="BO11" s="1"/>
      <c r="BP11" s="1"/>
      <c r="BQ11" s="1"/>
      <c r="BR11" s="1"/>
      <c r="BS11" s="1"/>
      <c r="BT11" s="1"/>
      <c r="BU11" s="1"/>
      <c r="BV11" s="1"/>
      <c r="BW11" s="1"/>
      <c r="BX11" s="1"/>
      <c r="BY11" s="1"/>
      <c r="BZ11" s="1"/>
      <c r="CA11" s="15"/>
      <c r="CB11" s="1"/>
      <c r="CC11" s="1"/>
    </row>
    <row r="12" spans="2:102" x14ac:dyDescent="0.25">
      <c r="B12" s="14"/>
      <c r="E12" t="s">
        <v>42</v>
      </c>
      <c r="G12" s="46"/>
      <c r="I12" s="9">
        <v>26.6</v>
      </c>
      <c r="J12" s="9">
        <v>22.08</v>
      </c>
      <c r="K12" s="9">
        <v>23.63</v>
      </c>
      <c r="L12" s="9">
        <v>22.73</v>
      </c>
      <c r="M12" s="9">
        <v>11.25</v>
      </c>
      <c r="N12" s="9">
        <v>13.45</v>
      </c>
      <c r="O12" s="9">
        <v>13.02</v>
      </c>
      <c r="P12" s="9">
        <v>12.67</v>
      </c>
      <c r="Q12" s="9">
        <v>12.56</v>
      </c>
      <c r="R12" s="9">
        <v>11.09</v>
      </c>
      <c r="S12" s="9">
        <v>11.46</v>
      </c>
      <c r="T12" s="9">
        <v>5.6000000000000001E-2</v>
      </c>
      <c r="U12" s="9">
        <v>0.06</v>
      </c>
      <c r="V12" s="9">
        <v>0.06</v>
      </c>
      <c r="W12" s="9">
        <v>0.06</v>
      </c>
      <c r="X12" s="9">
        <v>0.06</v>
      </c>
      <c r="Y12" s="9">
        <v>0.06</v>
      </c>
      <c r="Z12" s="9">
        <v>0.06</v>
      </c>
      <c r="AA12" s="9">
        <v>0.06</v>
      </c>
      <c r="AB12" s="9">
        <v>0.06</v>
      </c>
      <c r="AC12" s="9">
        <v>0.06</v>
      </c>
      <c r="AD12" s="9">
        <v>0.06</v>
      </c>
      <c r="AE12" s="9">
        <v>0.06</v>
      </c>
      <c r="AF12" s="9">
        <v>7.0000000000000007E-2</v>
      </c>
      <c r="AG12" s="9">
        <v>7.0000000000000007E-2</v>
      </c>
      <c r="AH12" s="9">
        <v>7.0000000000000007E-2</v>
      </c>
      <c r="AI12" s="9">
        <v>7.0000000000000007E-2</v>
      </c>
      <c r="AJ12" s="9">
        <v>7.0000000000000007E-2</v>
      </c>
      <c r="AK12" s="9">
        <v>7.0000000000000007E-2</v>
      </c>
      <c r="AL12" s="9">
        <v>0.06</v>
      </c>
      <c r="AM12" s="9">
        <v>0.06</v>
      </c>
      <c r="AN12" s="9">
        <v>0.06</v>
      </c>
      <c r="AO12" s="9">
        <v>0.06</v>
      </c>
      <c r="AP12" s="9">
        <v>0.06</v>
      </c>
      <c r="AQ12" s="9">
        <v>0.06</v>
      </c>
      <c r="AR12" s="9">
        <v>0.06</v>
      </c>
      <c r="AS12" s="9">
        <v>0.06</v>
      </c>
      <c r="AT12" s="9">
        <v>0.06</v>
      </c>
      <c r="AU12" s="9">
        <v>0.06</v>
      </c>
      <c r="AV12" s="9">
        <v>0.06</v>
      </c>
      <c r="AW12" s="9">
        <v>0.06</v>
      </c>
      <c r="AX12" s="9">
        <v>0.06</v>
      </c>
      <c r="AY12" s="9">
        <v>0.06</v>
      </c>
      <c r="AZ12" s="9">
        <v>0.06</v>
      </c>
      <c r="BA12" s="9">
        <v>0.06</v>
      </c>
      <c r="BB12" s="9">
        <v>0.06</v>
      </c>
      <c r="BC12" s="9">
        <v>0.06</v>
      </c>
      <c r="BD12" s="9">
        <v>0.06</v>
      </c>
      <c r="BE12" s="9">
        <v>0.06</v>
      </c>
      <c r="BF12" s="9">
        <v>0.06</v>
      </c>
      <c r="BG12" s="9">
        <v>0.06</v>
      </c>
      <c r="BH12" s="9">
        <v>0.06</v>
      </c>
      <c r="BI12" s="9">
        <v>0.06</v>
      </c>
      <c r="BJ12" s="9">
        <v>0.06</v>
      </c>
      <c r="BK12" s="9">
        <v>0.06</v>
      </c>
      <c r="BL12" s="9">
        <v>0.06</v>
      </c>
      <c r="BN12" s="1"/>
      <c r="BO12" s="1"/>
      <c r="BP12" s="1"/>
      <c r="BQ12" s="1"/>
      <c r="BR12" s="1"/>
      <c r="BS12" s="1"/>
      <c r="BT12" s="1"/>
      <c r="BU12" s="1"/>
      <c r="BV12" s="1"/>
      <c r="BW12" s="1"/>
      <c r="BX12" s="1"/>
      <c r="BY12" s="1"/>
      <c r="BZ12" s="1"/>
      <c r="CA12" s="15"/>
      <c r="CB12" s="1"/>
      <c r="CC12" s="1"/>
    </row>
    <row r="13" spans="2:102" x14ac:dyDescent="0.25">
      <c r="B13" s="14"/>
      <c r="E13" t="s">
        <v>43</v>
      </c>
      <c r="G13" s="46"/>
      <c r="I13" s="9"/>
      <c r="J13" s="9"/>
      <c r="K13" s="9"/>
      <c r="L13" s="9"/>
      <c r="M13" s="9"/>
      <c r="N13" s="9"/>
      <c r="O13" s="9"/>
      <c r="P13" s="9"/>
      <c r="Q13" s="9"/>
      <c r="R13" s="9"/>
      <c r="S13" s="9"/>
      <c r="T13" s="9">
        <v>11.9</v>
      </c>
      <c r="U13" s="9">
        <v>12.06</v>
      </c>
      <c r="V13" s="9">
        <v>21.55</v>
      </c>
      <c r="W13" s="9">
        <v>21.95</v>
      </c>
      <c r="X13" s="9">
        <v>23.55</v>
      </c>
      <c r="Y13" s="9">
        <v>14.5</v>
      </c>
      <c r="Z13" s="9">
        <v>15.24</v>
      </c>
      <c r="AA13" s="9">
        <v>15.64</v>
      </c>
      <c r="AB13" s="9">
        <v>16.489999999999998</v>
      </c>
      <c r="AC13" s="9">
        <v>16.170000000000002</v>
      </c>
      <c r="AD13" s="9">
        <v>16.350000000000001</v>
      </c>
      <c r="AE13" s="9">
        <v>16.77</v>
      </c>
      <c r="AF13" s="9">
        <v>16.43</v>
      </c>
      <c r="AG13" s="9">
        <v>16.440000000000001</v>
      </c>
      <c r="AH13" s="9">
        <v>17.55</v>
      </c>
      <c r="AI13" s="9">
        <v>17.100000000000001</v>
      </c>
      <c r="AJ13" s="9">
        <v>17.72</v>
      </c>
      <c r="AK13" s="9">
        <v>17.09</v>
      </c>
      <c r="AL13" s="9">
        <v>25.03</v>
      </c>
      <c r="AM13" s="9">
        <v>25.8</v>
      </c>
      <c r="AN13" s="9">
        <v>26.12</v>
      </c>
      <c r="AO13" s="9">
        <v>26.11</v>
      </c>
      <c r="AP13" s="9">
        <v>24.71</v>
      </c>
      <c r="AQ13" s="9">
        <v>24.64</v>
      </c>
      <c r="AR13" s="9">
        <v>24.6</v>
      </c>
      <c r="AS13" s="9">
        <v>25.41</v>
      </c>
      <c r="AT13" s="9">
        <v>24.91</v>
      </c>
      <c r="AU13" s="9">
        <v>24.91</v>
      </c>
      <c r="AV13" s="9">
        <v>24.71</v>
      </c>
      <c r="AW13" s="9">
        <v>24.89</v>
      </c>
      <c r="AX13" s="9">
        <v>25.54</v>
      </c>
      <c r="AY13" s="9">
        <v>25.66</v>
      </c>
      <c r="AZ13" s="9">
        <v>25.94</v>
      </c>
      <c r="BA13" s="9">
        <v>25.35</v>
      </c>
      <c r="BB13" s="9">
        <v>25.64</v>
      </c>
      <c r="BC13" s="9">
        <v>25.07</v>
      </c>
      <c r="BD13" s="9">
        <v>25.19</v>
      </c>
      <c r="BE13" s="9">
        <v>25.99</v>
      </c>
      <c r="BF13" s="9">
        <v>26.2</v>
      </c>
      <c r="BG13" s="9">
        <v>27.04</v>
      </c>
      <c r="BH13" s="9">
        <v>26.8</v>
      </c>
      <c r="BI13" s="9">
        <v>28.43</v>
      </c>
      <c r="BJ13" s="9">
        <v>28</v>
      </c>
      <c r="BK13" s="9">
        <v>27.6</v>
      </c>
      <c r="BL13" s="9">
        <v>26</v>
      </c>
      <c r="BN13" s="1"/>
      <c r="BO13" s="1"/>
      <c r="BP13" s="1"/>
      <c r="BQ13" s="1"/>
      <c r="BR13" s="1"/>
      <c r="BS13" s="1"/>
      <c r="BT13" s="1"/>
      <c r="BU13" s="1"/>
      <c r="BV13" s="1"/>
      <c r="BW13" s="1"/>
      <c r="BX13" s="1"/>
      <c r="BY13" s="1"/>
      <c r="BZ13" s="1"/>
      <c r="CA13" s="15"/>
      <c r="CB13" s="1"/>
      <c r="CC13" s="1"/>
    </row>
    <row r="14" spans="2:102" x14ac:dyDescent="0.25">
      <c r="B14" s="14"/>
      <c r="D14" t="s">
        <v>44</v>
      </c>
      <c r="E14" s="50" t="s">
        <v>45</v>
      </c>
      <c r="G14" s="46"/>
      <c r="I14" s="9">
        <v>0.216</v>
      </c>
      <c r="J14" s="9">
        <v>0.218</v>
      </c>
      <c r="K14" s="9">
        <v>0.19</v>
      </c>
      <c r="L14" s="9">
        <v>0.19</v>
      </c>
      <c r="M14" s="9">
        <v>0.19</v>
      </c>
      <c r="N14" s="9">
        <v>0.21</v>
      </c>
      <c r="O14" s="9">
        <v>0.20799999999999999</v>
      </c>
      <c r="P14" s="9">
        <v>0.21</v>
      </c>
      <c r="Q14" s="9">
        <v>0.21</v>
      </c>
      <c r="R14" s="9">
        <v>0.21</v>
      </c>
      <c r="S14" s="9">
        <v>0.21</v>
      </c>
      <c r="T14" s="9">
        <v>0.20699999999999999</v>
      </c>
      <c r="U14" s="9">
        <v>0.19</v>
      </c>
      <c r="V14" s="9">
        <v>0.19</v>
      </c>
      <c r="W14" s="9">
        <v>0.19</v>
      </c>
      <c r="X14" s="9">
        <v>0.19</v>
      </c>
      <c r="Y14" s="9">
        <v>0.2</v>
      </c>
      <c r="Z14" s="9">
        <v>0.21</v>
      </c>
      <c r="AA14" s="9">
        <v>0.22</v>
      </c>
      <c r="AB14" s="9">
        <v>0.23</v>
      </c>
      <c r="AC14" s="9">
        <v>0.23</v>
      </c>
      <c r="AD14" s="9">
        <v>0.23</v>
      </c>
      <c r="AE14" s="9">
        <v>0.24</v>
      </c>
      <c r="AF14" s="9">
        <v>0.24</v>
      </c>
      <c r="AG14" s="9">
        <v>0.2</v>
      </c>
      <c r="AH14" s="9">
        <v>0.21</v>
      </c>
      <c r="AI14" s="9">
        <v>0.22</v>
      </c>
      <c r="AJ14" s="9">
        <v>0.22</v>
      </c>
      <c r="AK14" s="9">
        <v>0.23</v>
      </c>
      <c r="AL14" s="9">
        <v>0.23</v>
      </c>
      <c r="AM14" s="9">
        <v>0.23</v>
      </c>
      <c r="AN14" s="9">
        <v>0.23</v>
      </c>
      <c r="AO14" s="9">
        <v>0.23</v>
      </c>
      <c r="AP14" s="9">
        <v>0.22</v>
      </c>
      <c r="AQ14" s="9">
        <v>0.21</v>
      </c>
      <c r="AR14" s="9">
        <v>0.21</v>
      </c>
      <c r="AS14" s="9">
        <v>0.22</v>
      </c>
      <c r="AT14" s="9">
        <v>0.23</v>
      </c>
      <c r="AU14" s="9">
        <v>0.23</v>
      </c>
      <c r="AV14" s="9">
        <v>0.24</v>
      </c>
      <c r="AW14" s="9">
        <v>0.24</v>
      </c>
      <c r="AX14" s="9">
        <v>0.24</v>
      </c>
      <c r="AY14" s="9">
        <v>0.24</v>
      </c>
      <c r="AZ14" s="9">
        <v>0.23</v>
      </c>
      <c r="BA14" s="9">
        <v>0.22</v>
      </c>
      <c r="BB14" s="9">
        <v>0.22</v>
      </c>
      <c r="BC14" s="9">
        <v>0.21</v>
      </c>
      <c r="BD14" s="9">
        <v>0.21</v>
      </c>
      <c r="BE14" s="9">
        <v>0.21</v>
      </c>
      <c r="BF14" s="9">
        <v>0.21</v>
      </c>
      <c r="BG14" s="9">
        <v>0.21</v>
      </c>
      <c r="BH14" s="9">
        <v>0.21</v>
      </c>
      <c r="BI14" s="9">
        <v>0.21</v>
      </c>
      <c r="BJ14" s="9">
        <v>0.21</v>
      </c>
      <c r="BK14" s="9">
        <v>0.21</v>
      </c>
      <c r="BL14" s="9">
        <v>0.22</v>
      </c>
      <c r="BN14" s="59"/>
      <c r="BO14" s="59">
        <v>0.42</v>
      </c>
      <c r="BP14" s="59">
        <v>0.43</v>
      </c>
      <c r="BQ14" s="59">
        <v>0.4</v>
      </c>
      <c r="BR14" s="59">
        <v>0.4</v>
      </c>
      <c r="BS14" s="59">
        <v>0.4</v>
      </c>
      <c r="BT14" s="59">
        <v>0.4</v>
      </c>
      <c r="BU14" s="59">
        <v>0.4</v>
      </c>
      <c r="BV14" s="59">
        <v>0.4</v>
      </c>
      <c r="BW14" s="59">
        <v>0.4</v>
      </c>
      <c r="BX14" s="59">
        <v>0.48</v>
      </c>
      <c r="BY14" s="59">
        <v>0.52</v>
      </c>
      <c r="BZ14" s="59">
        <v>0.5</v>
      </c>
      <c r="CA14" s="60">
        <v>0.5</v>
      </c>
      <c r="CB14" s="59">
        <v>0.5</v>
      </c>
      <c r="CC14" s="59">
        <v>0.5</v>
      </c>
      <c r="CD14" s="50">
        <v>0.5</v>
      </c>
      <c r="CE14" s="59">
        <v>0.5</v>
      </c>
      <c r="CF14" s="59">
        <v>0.5</v>
      </c>
      <c r="CG14" s="59">
        <v>0.5</v>
      </c>
      <c r="CH14" s="59">
        <v>0.5</v>
      </c>
      <c r="CI14" s="59">
        <v>0.5</v>
      </c>
      <c r="CJ14" s="59">
        <v>0.5</v>
      </c>
      <c r="CK14" s="59">
        <v>0.5</v>
      </c>
      <c r="CL14" s="59">
        <v>0.5</v>
      </c>
      <c r="CM14" s="59">
        <v>0.5</v>
      </c>
      <c r="CN14" s="50">
        <v>0.5</v>
      </c>
      <c r="CO14" s="50">
        <v>0.5</v>
      </c>
      <c r="CP14" s="50">
        <v>0.5</v>
      </c>
      <c r="CQ14" s="50">
        <v>0.5</v>
      </c>
      <c r="CR14" s="50">
        <v>0.5</v>
      </c>
      <c r="CS14" s="50">
        <v>0.5</v>
      </c>
      <c r="CT14" s="50"/>
      <c r="CU14" s="50"/>
      <c r="CV14" s="50"/>
      <c r="CW14" s="50"/>
      <c r="CX14" s="50"/>
    </row>
    <row r="15" spans="2:102" x14ac:dyDescent="0.25">
      <c r="B15" s="14"/>
      <c r="E15" s="50" t="s">
        <v>46</v>
      </c>
      <c r="G15" s="46"/>
      <c r="I15" s="9">
        <v>0.56000000000000005</v>
      </c>
      <c r="J15" s="9">
        <v>0.55700000000000005</v>
      </c>
      <c r="K15" s="9">
        <v>0.55800000000000005</v>
      </c>
      <c r="L15" s="9">
        <v>0.56000000000000005</v>
      </c>
      <c r="M15" s="9">
        <v>0.5</v>
      </c>
      <c r="N15" s="9">
        <v>0.51</v>
      </c>
      <c r="O15" s="9">
        <v>0.437</v>
      </c>
      <c r="P15" s="9">
        <v>0.42</v>
      </c>
      <c r="Q15" s="9">
        <v>0.45</v>
      </c>
      <c r="R15" s="9">
        <v>0.44</v>
      </c>
      <c r="S15" s="9">
        <v>0.44</v>
      </c>
      <c r="T15" s="9">
        <v>0.44</v>
      </c>
      <c r="U15" s="9">
        <v>0.45</v>
      </c>
      <c r="V15" s="9">
        <v>0.44</v>
      </c>
      <c r="W15" s="9">
        <v>0.45</v>
      </c>
      <c r="X15" s="9">
        <v>0.44</v>
      </c>
      <c r="Y15" s="9">
        <v>0.45</v>
      </c>
      <c r="Z15" s="9">
        <v>0.46</v>
      </c>
      <c r="AA15" s="9">
        <v>0.47</v>
      </c>
      <c r="AB15" s="9">
        <v>0.48</v>
      </c>
      <c r="AC15" s="9">
        <v>0.49</v>
      </c>
      <c r="AD15" s="9">
        <v>0.49</v>
      </c>
      <c r="AE15" s="9">
        <v>0.49</v>
      </c>
      <c r="AF15" s="9">
        <v>0.5</v>
      </c>
      <c r="AG15" s="9">
        <v>0.49</v>
      </c>
      <c r="AH15" s="9">
        <v>0.52</v>
      </c>
      <c r="AI15" s="9">
        <v>0.53</v>
      </c>
      <c r="AJ15" s="9">
        <v>0.51</v>
      </c>
      <c r="AK15" s="9">
        <v>0.52</v>
      </c>
      <c r="AL15" s="9">
        <v>0.52</v>
      </c>
      <c r="AM15" s="9">
        <v>0.52</v>
      </c>
      <c r="AN15" s="9">
        <v>0.52</v>
      </c>
      <c r="AO15" s="9">
        <v>0.53</v>
      </c>
      <c r="AP15" s="9">
        <v>0.51</v>
      </c>
      <c r="AQ15" s="9">
        <v>0.5</v>
      </c>
      <c r="AR15" s="9">
        <v>0.5</v>
      </c>
      <c r="AS15" s="9">
        <v>0.5</v>
      </c>
      <c r="AT15" s="9">
        <v>0.5</v>
      </c>
      <c r="AU15" s="9">
        <v>0.5</v>
      </c>
      <c r="AV15" s="9">
        <v>0.53</v>
      </c>
      <c r="AW15" s="9">
        <v>0.48</v>
      </c>
      <c r="AX15" s="9">
        <v>0.49</v>
      </c>
      <c r="AY15" s="9">
        <v>0.47</v>
      </c>
      <c r="AZ15" s="9">
        <v>0.49</v>
      </c>
      <c r="BA15" s="9">
        <v>0.49</v>
      </c>
      <c r="BB15" s="9">
        <v>0.49</v>
      </c>
      <c r="BC15" s="9">
        <v>0.47</v>
      </c>
      <c r="BD15" s="9">
        <v>0.47</v>
      </c>
      <c r="BE15" s="9">
        <v>0.45</v>
      </c>
      <c r="BF15" s="9">
        <v>0.49</v>
      </c>
      <c r="BG15" s="9">
        <v>0.48</v>
      </c>
      <c r="BH15" s="9">
        <v>0.46</v>
      </c>
      <c r="BI15" s="9">
        <v>0.4</v>
      </c>
      <c r="BJ15" s="9">
        <v>0.4</v>
      </c>
      <c r="BK15" s="9">
        <v>0.4</v>
      </c>
      <c r="BL15" s="9">
        <v>0.43</v>
      </c>
      <c r="BN15" s="59"/>
      <c r="BO15" s="59">
        <v>1.1299999999999999</v>
      </c>
      <c r="BP15" s="59">
        <v>1.1299999999999999</v>
      </c>
      <c r="BQ15" s="59">
        <v>1.5</v>
      </c>
      <c r="BR15" s="59">
        <v>1.5</v>
      </c>
      <c r="BS15" s="50">
        <v>1.1399999999999999</v>
      </c>
      <c r="BT15" s="59">
        <v>1.65</v>
      </c>
      <c r="BU15" s="59">
        <v>1.7</v>
      </c>
      <c r="BV15" s="59">
        <v>1.7</v>
      </c>
      <c r="BW15" s="59">
        <v>1.7</v>
      </c>
      <c r="BX15" s="59">
        <v>1.61</v>
      </c>
      <c r="BY15" s="59">
        <v>1.1200000000000001</v>
      </c>
      <c r="BZ15" s="59">
        <v>1.2</v>
      </c>
      <c r="CA15" s="60">
        <v>1.2</v>
      </c>
      <c r="CB15" s="59">
        <v>1.1000000000000001</v>
      </c>
      <c r="CC15" s="59">
        <v>1.1000000000000001</v>
      </c>
      <c r="CD15" s="50">
        <v>1.1000000000000001</v>
      </c>
      <c r="CE15" s="59">
        <v>1.1000000000000001</v>
      </c>
      <c r="CF15" s="59">
        <v>1.1000000000000001</v>
      </c>
      <c r="CG15" s="59">
        <v>1.1000000000000001</v>
      </c>
      <c r="CH15" s="59">
        <v>1.2</v>
      </c>
      <c r="CI15" s="59">
        <v>1.2</v>
      </c>
      <c r="CJ15" s="59">
        <v>1.2</v>
      </c>
      <c r="CK15" s="59">
        <v>1.2</v>
      </c>
      <c r="CL15" s="59">
        <v>1.2</v>
      </c>
      <c r="CM15" s="59">
        <v>1.2</v>
      </c>
      <c r="CN15" s="50">
        <v>1.2</v>
      </c>
      <c r="CO15" s="50">
        <v>1.2</v>
      </c>
      <c r="CP15" s="50">
        <v>1.2</v>
      </c>
      <c r="CQ15" s="50">
        <v>1.2</v>
      </c>
      <c r="CR15" s="50">
        <v>1.2</v>
      </c>
      <c r="CS15" s="50">
        <v>1.2</v>
      </c>
      <c r="CT15" s="50"/>
      <c r="CU15" s="50"/>
      <c r="CV15" s="50"/>
      <c r="CW15" s="50"/>
      <c r="CX15" s="50"/>
    </row>
    <row r="16" spans="2:102" x14ac:dyDescent="0.25">
      <c r="B16" s="14"/>
      <c r="E16" s="50" t="s">
        <v>47</v>
      </c>
      <c r="G16" s="46"/>
      <c r="I16" s="9">
        <v>0.22</v>
      </c>
      <c r="J16" s="9">
        <v>0.22800000000000001</v>
      </c>
      <c r="K16" s="9">
        <v>0.23200000000000001</v>
      </c>
      <c r="L16" s="9">
        <v>0.23</v>
      </c>
      <c r="M16" s="9">
        <v>0.23</v>
      </c>
      <c r="N16" s="9">
        <v>0.24</v>
      </c>
      <c r="O16" s="9">
        <v>0.251</v>
      </c>
      <c r="P16" s="9">
        <v>0.25</v>
      </c>
      <c r="Q16" s="9">
        <v>0.25</v>
      </c>
      <c r="R16" s="9">
        <v>0.25</v>
      </c>
      <c r="S16" s="9">
        <v>0.26</v>
      </c>
      <c r="T16" s="9">
        <v>0.25600000000000001</v>
      </c>
      <c r="U16" s="9">
        <v>0.26</v>
      </c>
      <c r="V16" s="9">
        <v>0.26</v>
      </c>
      <c r="W16" s="9">
        <v>0.26</v>
      </c>
      <c r="X16" s="9">
        <v>0.26</v>
      </c>
      <c r="Y16" s="9">
        <v>0.27</v>
      </c>
      <c r="Z16" s="9">
        <v>0.27</v>
      </c>
      <c r="AA16" s="9">
        <v>0.27</v>
      </c>
      <c r="AB16" s="9">
        <v>0.28000000000000003</v>
      </c>
      <c r="AC16" s="9">
        <v>0.28000000000000003</v>
      </c>
      <c r="AD16" s="9">
        <v>0.28000000000000003</v>
      </c>
      <c r="AE16" s="9">
        <v>0.28000000000000003</v>
      </c>
      <c r="AF16" s="9">
        <v>0.28999999999999998</v>
      </c>
      <c r="AG16" s="9">
        <v>0.28999999999999998</v>
      </c>
      <c r="AH16" s="9">
        <v>0.28999999999999998</v>
      </c>
      <c r="AI16" s="9">
        <v>0.28999999999999998</v>
      </c>
      <c r="AJ16" s="9">
        <v>0.28999999999999998</v>
      </c>
      <c r="AK16" s="9">
        <v>0.28999999999999998</v>
      </c>
      <c r="AL16" s="9">
        <v>0.28999999999999998</v>
      </c>
      <c r="AM16" s="9">
        <v>0.28999999999999998</v>
      </c>
      <c r="AN16" s="9">
        <v>0.28999999999999998</v>
      </c>
      <c r="AO16" s="9">
        <v>0.28999999999999998</v>
      </c>
      <c r="AP16" s="9">
        <v>0.28000000000000003</v>
      </c>
      <c r="AQ16" s="9">
        <v>0.27</v>
      </c>
      <c r="AR16" s="9">
        <v>0.28000000000000003</v>
      </c>
      <c r="AS16" s="9">
        <v>0.28000000000000003</v>
      </c>
      <c r="AT16" s="9">
        <v>0.28000000000000003</v>
      </c>
      <c r="AU16" s="9">
        <v>0.28000000000000003</v>
      </c>
      <c r="AV16" s="9">
        <v>0.28999999999999998</v>
      </c>
      <c r="AW16" s="9">
        <v>0.3</v>
      </c>
      <c r="AX16" s="9">
        <v>0.3</v>
      </c>
      <c r="AY16" s="9">
        <v>0.3</v>
      </c>
      <c r="AZ16" s="9">
        <v>0.3</v>
      </c>
      <c r="BA16" s="9">
        <v>0.3</v>
      </c>
      <c r="BB16" s="9">
        <v>0.3</v>
      </c>
      <c r="BC16" s="9">
        <v>0.3</v>
      </c>
      <c r="BD16" s="9">
        <v>0.31</v>
      </c>
      <c r="BE16" s="9">
        <v>0.31</v>
      </c>
      <c r="BF16" s="9">
        <v>0.31</v>
      </c>
      <c r="BG16" s="9">
        <v>0.31</v>
      </c>
      <c r="BH16" s="9">
        <v>0.31</v>
      </c>
      <c r="BI16" s="9">
        <v>0.31</v>
      </c>
      <c r="BJ16" s="9">
        <v>0.31</v>
      </c>
      <c r="BK16" s="9">
        <v>0.31</v>
      </c>
      <c r="BL16" s="9">
        <v>0.31</v>
      </c>
      <c r="BN16" s="59"/>
      <c r="BO16" s="59">
        <v>2.8</v>
      </c>
      <c r="BP16" s="59">
        <v>2.9</v>
      </c>
      <c r="BQ16" s="59"/>
      <c r="BR16" s="59"/>
      <c r="BS16" s="59"/>
      <c r="BT16" s="59"/>
      <c r="BU16" s="59"/>
      <c r="BV16" s="59">
        <v>2.9</v>
      </c>
      <c r="BW16" s="59">
        <v>2.9</v>
      </c>
      <c r="BX16" s="59">
        <v>2.9</v>
      </c>
      <c r="BY16" s="59">
        <v>2.9</v>
      </c>
      <c r="BZ16" s="59"/>
      <c r="CA16" s="60"/>
      <c r="CB16" s="59"/>
      <c r="CC16" s="59"/>
      <c r="CD16" s="50"/>
    </row>
    <row r="17" spans="2:102" x14ac:dyDescent="0.25">
      <c r="B17" s="14"/>
      <c r="E17" s="50" t="s">
        <v>48</v>
      </c>
      <c r="G17" s="46"/>
      <c r="I17" s="9">
        <v>0.15</v>
      </c>
      <c r="J17" s="9">
        <v>0.157</v>
      </c>
      <c r="K17" s="9">
        <v>0.20499999999999999</v>
      </c>
      <c r="L17" s="9">
        <v>0.22</v>
      </c>
      <c r="M17" s="9">
        <v>0.01</v>
      </c>
      <c r="N17" s="9">
        <v>0.01</v>
      </c>
      <c r="O17" s="9">
        <v>1.4500000000000001E-2</v>
      </c>
      <c r="P17" s="9">
        <v>0.04</v>
      </c>
      <c r="Q17" s="9">
        <v>0.04</v>
      </c>
      <c r="R17" s="9">
        <v>0.04</v>
      </c>
      <c r="S17" s="9">
        <v>0.04</v>
      </c>
      <c r="T17" s="9">
        <v>4.3999999999999997E-2</v>
      </c>
      <c r="U17" s="9">
        <v>0.05</v>
      </c>
      <c r="V17" s="9">
        <v>0.05</v>
      </c>
      <c r="W17" s="9">
        <v>0.05</v>
      </c>
      <c r="X17" s="9">
        <v>0.05</v>
      </c>
      <c r="Y17" s="9">
        <v>0.05</v>
      </c>
      <c r="Z17" s="9">
        <v>0.02</v>
      </c>
      <c r="AA17" s="9">
        <v>0.06</v>
      </c>
      <c r="AB17" s="9">
        <v>0.23</v>
      </c>
      <c r="AC17" s="9">
        <v>0.02</v>
      </c>
      <c r="AD17" s="9">
        <v>0.03</v>
      </c>
      <c r="AE17" s="9">
        <v>0</v>
      </c>
      <c r="AF17" s="9">
        <v>0.68</v>
      </c>
      <c r="AG17" s="9">
        <v>0.72</v>
      </c>
      <c r="AH17" s="9">
        <v>0.74</v>
      </c>
      <c r="AI17" s="9">
        <v>0.76</v>
      </c>
      <c r="AJ17" s="9">
        <v>0.78</v>
      </c>
      <c r="AK17" s="9">
        <v>0.8</v>
      </c>
      <c r="AL17" s="9">
        <v>0.8</v>
      </c>
      <c r="AM17" s="9">
        <v>0.99</v>
      </c>
      <c r="AN17" s="9">
        <v>1</v>
      </c>
      <c r="AO17" s="9">
        <v>1</v>
      </c>
      <c r="AP17" s="9">
        <v>0</v>
      </c>
      <c r="AQ17" s="9">
        <v>0</v>
      </c>
      <c r="AR17" s="9">
        <v>0</v>
      </c>
      <c r="AS17" s="9">
        <v>0</v>
      </c>
      <c r="AT17" s="9">
        <v>0</v>
      </c>
      <c r="AU17" s="9">
        <v>0</v>
      </c>
      <c r="AV17" s="9">
        <v>0</v>
      </c>
      <c r="AW17" s="9">
        <v>0</v>
      </c>
      <c r="AX17" s="9">
        <v>0</v>
      </c>
      <c r="AY17" s="9">
        <v>0</v>
      </c>
      <c r="AZ17" s="9">
        <v>0</v>
      </c>
      <c r="BA17" s="9">
        <v>0</v>
      </c>
      <c r="BB17" s="9">
        <v>0</v>
      </c>
      <c r="BC17" s="9">
        <v>0</v>
      </c>
      <c r="BD17" s="9">
        <v>0</v>
      </c>
      <c r="BE17" s="9">
        <v>0</v>
      </c>
      <c r="BF17" s="9">
        <v>0</v>
      </c>
      <c r="BG17" s="9">
        <v>0</v>
      </c>
      <c r="BH17" s="9">
        <v>0</v>
      </c>
      <c r="BI17" s="9">
        <v>0</v>
      </c>
      <c r="BJ17" s="9">
        <v>0</v>
      </c>
      <c r="BK17" s="9">
        <v>0</v>
      </c>
      <c r="BL17" s="9">
        <v>0</v>
      </c>
      <c r="BN17" s="59"/>
      <c r="BO17" s="59">
        <v>10.98</v>
      </c>
      <c r="BP17" s="59">
        <v>10.98</v>
      </c>
      <c r="BQ17" s="59">
        <v>12.7</v>
      </c>
      <c r="BR17" s="59">
        <v>12.7</v>
      </c>
      <c r="BS17" s="59">
        <v>12.75</v>
      </c>
      <c r="BT17" s="59">
        <v>12.75</v>
      </c>
      <c r="BU17" s="59">
        <v>12.77</v>
      </c>
      <c r="BV17" s="59">
        <v>12.77</v>
      </c>
      <c r="BW17" s="59">
        <v>12.77</v>
      </c>
      <c r="BX17" s="59">
        <v>12.77</v>
      </c>
      <c r="BY17" s="59">
        <v>12.8</v>
      </c>
      <c r="BZ17" s="59">
        <v>13.4</v>
      </c>
      <c r="CA17" s="60">
        <v>13.4</v>
      </c>
      <c r="CB17" s="59">
        <v>12.8</v>
      </c>
      <c r="CC17" s="59">
        <v>12.8</v>
      </c>
      <c r="CD17" s="50">
        <v>12.8</v>
      </c>
      <c r="CE17" s="59">
        <v>14.9</v>
      </c>
      <c r="CF17" s="59">
        <v>14.9</v>
      </c>
      <c r="CG17" s="59">
        <v>14.9</v>
      </c>
      <c r="CH17" s="59">
        <v>15.3</v>
      </c>
      <c r="CI17" s="59">
        <v>15.4</v>
      </c>
      <c r="CJ17" s="59">
        <v>15.5</v>
      </c>
      <c r="CK17" s="59">
        <v>15.5</v>
      </c>
      <c r="CL17" s="59">
        <v>15.5</v>
      </c>
      <c r="CM17" s="59">
        <v>15.5</v>
      </c>
      <c r="CN17" s="50">
        <v>15.5</v>
      </c>
      <c r="CO17" s="50">
        <v>15.5</v>
      </c>
      <c r="CP17" s="50">
        <v>15.5</v>
      </c>
      <c r="CQ17" s="50">
        <v>15.5</v>
      </c>
      <c r="CR17" s="50">
        <v>15.5</v>
      </c>
      <c r="CS17" s="50">
        <v>15.5</v>
      </c>
      <c r="CT17" s="50"/>
      <c r="CU17" s="50"/>
      <c r="CV17" s="50"/>
      <c r="CW17" s="50"/>
      <c r="CX17" s="50"/>
    </row>
    <row r="18" spans="2:102" x14ac:dyDescent="0.25">
      <c r="B18" s="14"/>
      <c r="E18" s="50" t="s">
        <v>49</v>
      </c>
      <c r="G18" s="46"/>
      <c r="I18" s="9">
        <v>1.6</v>
      </c>
      <c r="J18" s="9">
        <v>1.67</v>
      </c>
      <c r="K18" s="9">
        <v>1.77</v>
      </c>
      <c r="L18" s="9">
        <v>1.83</v>
      </c>
      <c r="M18" s="9">
        <v>0.03</v>
      </c>
      <c r="N18" s="9">
        <v>0.18</v>
      </c>
      <c r="O18" s="9">
        <v>0.27100000000000002</v>
      </c>
      <c r="P18" s="9">
        <v>0.48</v>
      </c>
      <c r="Q18" s="9">
        <v>0.57999999999999996</v>
      </c>
      <c r="R18" s="9">
        <v>0.69</v>
      </c>
      <c r="S18" s="9">
        <v>0.97</v>
      </c>
      <c r="T18" s="9">
        <v>1.0109999999999999</v>
      </c>
      <c r="U18" s="9">
        <v>1.07</v>
      </c>
      <c r="V18" s="9">
        <v>1.1299999999999999</v>
      </c>
      <c r="W18" s="9">
        <v>1.38</v>
      </c>
      <c r="X18" s="9">
        <v>1.36</v>
      </c>
      <c r="Y18" s="9">
        <v>1.42</v>
      </c>
      <c r="Z18" s="9">
        <v>0.03</v>
      </c>
      <c r="AA18" s="9">
        <v>0.1</v>
      </c>
      <c r="AB18" s="9">
        <v>0.17</v>
      </c>
      <c r="AC18" s="9">
        <v>0.03</v>
      </c>
      <c r="AD18" s="9">
        <v>0.1</v>
      </c>
      <c r="AE18" s="9">
        <v>0.14000000000000001</v>
      </c>
      <c r="AF18" s="9">
        <v>0.21</v>
      </c>
      <c r="AG18" s="9">
        <v>0.25</v>
      </c>
      <c r="AH18" s="9">
        <v>0.18</v>
      </c>
      <c r="AI18" s="9">
        <v>0.33</v>
      </c>
      <c r="AJ18" s="9">
        <v>0.4</v>
      </c>
      <c r="AK18" s="9">
        <v>0.44</v>
      </c>
      <c r="AL18" s="9">
        <v>0.88</v>
      </c>
      <c r="AM18" s="9">
        <v>0.01</v>
      </c>
      <c r="AN18" s="9">
        <v>0.02</v>
      </c>
      <c r="AO18" s="9">
        <v>0.03</v>
      </c>
      <c r="AP18" s="9">
        <v>0</v>
      </c>
      <c r="AQ18" s="9">
        <v>0</v>
      </c>
      <c r="AR18" s="9">
        <v>0</v>
      </c>
      <c r="AS18" s="9">
        <v>0</v>
      </c>
      <c r="AT18" s="9">
        <v>0</v>
      </c>
      <c r="AU18" s="9">
        <v>0</v>
      </c>
      <c r="AV18" s="9">
        <v>0</v>
      </c>
      <c r="AW18" s="9">
        <v>0</v>
      </c>
      <c r="AX18" s="9">
        <v>0</v>
      </c>
      <c r="AY18" s="9">
        <v>0</v>
      </c>
      <c r="AZ18" s="9">
        <v>0</v>
      </c>
      <c r="BA18" s="9">
        <v>0</v>
      </c>
      <c r="BB18" s="9">
        <v>0</v>
      </c>
      <c r="BC18" s="9">
        <v>0</v>
      </c>
      <c r="BD18" s="9">
        <v>0</v>
      </c>
      <c r="BE18" s="9">
        <v>0</v>
      </c>
      <c r="BF18" s="9">
        <v>0</v>
      </c>
      <c r="BG18" s="9">
        <v>0</v>
      </c>
      <c r="BH18" s="9">
        <v>0</v>
      </c>
      <c r="BI18" s="9">
        <v>0</v>
      </c>
      <c r="BJ18" s="9">
        <v>0</v>
      </c>
      <c r="BK18" s="9">
        <v>0</v>
      </c>
      <c r="BL18" s="9">
        <v>0</v>
      </c>
      <c r="BN18" s="59"/>
      <c r="BO18" s="59">
        <v>12</v>
      </c>
      <c r="BP18" s="59">
        <v>12.47</v>
      </c>
      <c r="BQ18" s="59">
        <v>13</v>
      </c>
      <c r="BR18" s="59">
        <v>13.1</v>
      </c>
      <c r="BS18" s="59">
        <v>12.98</v>
      </c>
      <c r="BT18" s="59">
        <v>13</v>
      </c>
      <c r="BU18" s="59">
        <v>13</v>
      </c>
      <c r="BV18" s="59">
        <v>13.59</v>
      </c>
      <c r="BW18" s="59">
        <v>13.89</v>
      </c>
      <c r="BX18" s="59">
        <v>14.01</v>
      </c>
      <c r="BY18" s="59">
        <v>14.11</v>
      </c>
      <c r="BZ18" s="59">
        <v>14.9</v>
      </c>
      <c r="CA18" s="60">
        <v>15</v>
      </c>
      <c r="CB18" s="59">
        <v>14.5</v>
      </c>
      <c r="CC18" s="59">
        <v>14.6</v>
      </c>
      <c r="CD18" s="50">
        <v>14.8</v>
      </c>
      <c r="CE18" s="59">
        <v>14.9</v>
      </c>
      <c r="CF18" s="59">
        <v>15.1</v>
      </c>
      <c r="CG18" s="59">
        <v>15.1</v>
      </c>
      <c r="CH18" s="59">
        <v>15.4</v>
      </c>
      <c r="CI18" s="59">
        <v>15.5</v>
      </c>
      <c r="CJ18" s="59">
        <v>15.7</v>
      </c>
      <c r="CK18" s="59">
        <v>15.7</v>
      </c>
      <c r="CL18" s="59">
        <v>16</v>
      </c>
      <c r="CM18" s="59">
        <v>16</v>
      </c>
      <c r="CN18" s="50">
        <v>16.3</v>
      </c>
      <c r="CO18" s="50">
        <v>16.3</v>
      </c>
      <c r="CP18" s="50">
        <v>16.3</v>
      </c>
      <c r="CQ18" s="50">
        <v>17</v>
      </c>
      <c r="CR18" s="50">
        <v>17.3</v>
      </c>
      <c r="CS18" s="50">
        <v>17.3</v>
      </c>
      <c r="CT18" s="50"/>
      <c r="CU18" s="50"/>
      <c r="CV18" s="50"/>
      <c r="CW18" s="50"/>
      <c r="CX18" s="50"/>
    </row>
    <row r="19" spans="2:102" x14ac:dyDescent="0.25">
      <c r="B19" s="14"/>
      <c r="E19" s="50" t="s">
        <v>50</v>
      </c>
      <c r="G19" s="46"/>
      <c r="I19" s="9">
        <v>0.15</v>
      </c>
      <c r="J19" s="9">
        <v>0.16200000000000001</v>
      </c>
      <c r="K19" s="9">
        <v>0.18</v>
      </c>
      <c r="L19" s="9">
        <v>0.18</v>
      </c>
      <c r="M19" s="9">
        <v>0.01</v>
      </c>
      <c r="N19" s="9">
        <v>0.01</v>
      </c>
      <c r="O19" s="9">
        <v>1.2E-2</v>
      </c>
      <c r="P19" s="9">
        <v>0.02</v>
      </c>
      <c r="Q19" s="9">
        <v>0.03</v>
      </c>
      <c r="R19" s="9">
        <v>0.03</v>
      </c>
      <c r="S19" s="9">
        <v>0.03</v>
      </c>
      <c r="T19" s="9">
        <v>3.2599999999999997E-2</v>
      </c>
      <c r="U19" s="9">
        <v>0.04</v>
      </c>
      <c r="V19" s="9">
        <v>0.04</v>
      </c>
      <c r="W19" s="9">
        <v>0.04</v>
      </c>
      <c r="X19" s="9">
        <v>0.04</v>
      </c>
      <c r="Y19" s="9">
        <v>0.04</v>
      </c>
      <c r="Z19" s="9">
        <v>4.0000000000000001E-3</v>
      </c>
      <c r="AA19" s="9">
        <v>0.01</v>
      </c>
      <c r="AB19" s="9">
        <v>0.01</v>
      </c>
      <c r="AC19" s="9">
        <v>0.01</v>
      </c>
      <c r="AD19" s="9">
        <v>0.01</v>
      </c>
      <c r="AE19" s="9">
        <v>0.01</v>
      </c>
      <c r="AF19" s="9">
        <v>0.01</v>
      </c>
      <c r="AG19" s="9">
        <v>0.01</v>
      </c>
      <c r="AH19" s="9">
        <v>0.1</v>
      </c>
      <c r="AI19" s="9">
        <v>0.11</v>
      </c>
      <c r="AJ19" s="9">
        <v>0.12</v>
      </c>
      <c r="AK19" s="9">
        <v>0.12</v>
      </c>
      <c r="AL19" s="9">
        <v>0.19</v>
      </c>
      <c r="AM19" s="9">
        <v>0.32</v>
      </c>
      <c r="AN19" s="9">
        <v>0.33</v>
      </c>
      <c r="AO19" s="9">
        <v>0.33</v>
      </c>
      <c r="AP19" s="9">
        <v>0</v>
      </c>
      <c r="AQ19" s="9">
        <v>0</v>
      </c>
      <c r="AR19" s="9">
        <v>0</v>
      </c>
      <c r="AS19" s="9">
        <v>0</v>
      </c>
      <c r="AT19" s="9">
        <v>0</v>
      </c>
      <c r="AU19" s="9">
        <v>0</v>
      </c>
      <c r="AV19" s="9">
        <v>0</v>
      </c>
      <c r="AW19" s="9">
        <v>0</v>
      </c>
      <c r="AX19" s="9">
        <v>0</v>
      </c>
      <c r="AY19" s="9">
        <v>0</v>
      </c>
      <c r="AZ19" s="9">
        <v>0</v>
      </c>
      <c r="BA19" s="9">
        <v>0</v>
      </c>
      <c r="BB19" s="9">
        <v>0</v>
      </c>
      <c r="BC19" s="9">
        <v>0</v>
      </c>
      <c r="BD19" s="9">
        <v>0</v>
      </c>
      <c r="BE19" s="9">
        <v>0</v>
      </c>
      <c r="BF19" s="9">
        <v>0</v>
      </c>
      <c r="BG19" s="9">
        <v>0</v>
      </c>
      <c r="BH19" s="9">
        <v>0</v>
      </c>
      <c r="BI19" s="9">
        <v>0</v>
      </c>
      <c r="BJ19" s="9">
        <v>0</v>
      </c>
      <c r="BK19" s="9">
        <v>0</v>
      </c>
      <c r="BL19" s="9">
        <v>0</v>
      </c>
      <c r="BN19" s="59"/>
      <c r="BO19" s="59">
        <v>11.57</v>
      </c>
      <c r="BP19" s="59">
        <v>11.57</v>
      </c>
      <c r="BQ19" s="59" t="s">
        <v>51</v>
      </c>
      <c r="BR19" s="59">
        <v>12.7</v>
      </c>
      <c r="BS19" s="59">
        <v>12.75</v>
      </c>
      <c r="BT19" s="59">
        <v>12.75</v>
      </c>
      <c r="BU19" s="59">
        <v>12.75</v>
      </c>
      <c r="BV19" s="59">
        <v>12.75</v>
      </c>
      <c r="BW19" s="59">
        <v>12.75</v>
      </c>
      <c r="BX19" s="59">
        <v>12.75</v>
      </c>
      <c r="BY19" s="59">
        <v>12.79</v>
      </c>
      <c r="BZ19" s="59">
        <v>13.4</v>
      </c>
      <c r="CA19" s="60">
        <v>13.4</v>
      </c>
      <c r="CB19" s="59">
        <v>12.8</v>
      </c>
      <c r="CC19" s="59">
        <v>12.8</v>
      </c>
      <c r="CD19" s="50">
        <v>12.8</v>
      </c>
      <c r="CE19" s="59">
        <v>14.9</v>
      </c>
      <c r="CF19" s="59">
        <v>14.9</v>
      </c>
      <c r="CG19" s="59">
        <v>14.9</v>
      </c>
      <c r="CH19" s="59">
        <v>14.9</v>
      </c>
      <c r="CI19" s="59">
        <v>14.9</v>
      </c>
      <c r="CJ19" s="59">
        <v>14.9</v>
      </c>
      <c r="CK19" s="59">
        <v>14.9</v>
      </c>
      <c r="CL19" s="59">
        <v>15.5</v>
      </c>
      <c r="CM19" s="59">
        <v>15.5</v>
      </c>
      <c r="CN19" s="50">
        <v>15.5</v>
      </c>
      <c r="CO19" s="50">
        <v>15.5</v>
      </c>
      <c r="CP19" s="50">
        <v>15.5</v>
      </c>
      <c r="CQ19" s="50">
        <v>15.5</v>
      </c>
      <c r="CR19" s="50">
        <v>15.5</v>
      </c>
      <c r="CS19" s="50">
        <v>15.5</v>
      </c>
      <c r="CT19" s="50"/>
      <c r="CU19" s="50"/>
      <c r="CV19" s="50"/>
      <c r="CW19" s="50"/>
      <c r="CX19" s="50"/>
    </row>
    <row r="20" spans="2:102" x14ac:dyDescent="0.25">
      <c r="B20" s="14"/>
      <c r="E20" s="50" t="s">
        <v>52</v>
      </c>
      <c r="G20" s="46"/>
      <c r="I20" s="9">
        <v>0.12</v>
      </c>
      <c r="J20" s="9">
        <v>0.128</v>
      </c>
      <c r="K20" s="9">
        <v>0.13800000000000001</v>
      </c>
      <c r="L20" s="9">
        <v>0.15</v>
      </c>
      <c r="M20" s="9">
        <v>0.02</v>
      </c>
      <c r="N20" s="9">
        <v>0.05</v>
      </c>
      <c r="O20" s="9">
        <v>4.8500000000000001E-2</v>
      </c>
      <c r="P20" s="9">
        <v>0.05</v>
      </c>
      <c r="Q20" s="9">
        <v>0.05</v>
      </c>
      <c r="R20" s="9">
        <v>0.05</v>
      </c>
      <c r="S20" s="9">
        <v>0.05</v>
      </c>
      <c r="T20" s="9">
        <v>5.2999999999999999E-2</v>
      </c>
      <c r="U20" s="9">
        <v>0.05</v>
      </c>
      <c r="V20" s="9">
        <v>0.06</v>
      </c>
      <c r="W20" s="9">
        <v>0.06</v>
      </c>
      <c r="X20" s="9">
        <v>0.06</v>
      </c>
      <c r="Y20" s="9">
        <v>0.06</v>
      </c>
      <c r="Z20" s="9">
        <v>4.0000000000000001E-3</v>
      </c>
      <c r="AA20" s="9">
        <v>0.01</v>
      </c>
      <c r="AB20" s="9">
        <v>0.01</v>
      </c>
      <c r="AC20" s="9">
        <v>0.01</v>
      </c>
      <c r="AD20" s="9">
        <v>0.01</v>
      </c>
      <c r="AE20" s="9">
        <v>0.01</v>
      </c>
      <c r="AF20" s="9">
        <v>0.01</v>
      </c>
      <c r="AG20" s="9">
        <v>0.01</v>
      </c>
      <c r="AH20" s="9">
        <v>0.11</v>
      </c>
      <c r="AI20" s="9">
        <v>0.11</v>
      </c>
      <c r="AJ20" s="9">
        <v>0.11</v>
      </c>
      <c r="AK20" s="9">
        <v>0.26</v>
      </c>
      <c r="AL20" s="9">
        <v>0.28999999999999998</v>
      </c>
      <c r="AM20" s="9">
        <v>0.08</v>
      </c>
      <c r="AN20" s="9">
        <v>0.02</v>
      </c>
      <c r="AO20" s="9">
        <v>0.03</v>
      </c>
      <c r="AP20" s="9">
        <v>0</v>
      </c>
      <c r="AQ20" s="9">
        <v>0</v>
      </c>
      <c r="AR20" s="9">
        <v>0</v>
      </c>
      <c r="AS20" s="9">
        <v>0</v>
      </c>
      <c r="AT20" s="9">
        <v>0</v>
      </c>
      <c r="AU20" s="9">
        <v>0</v>
      </c>
      <c r="AV20" s="9">
        <v>0</v>
      </c>
      <c r="AW20" s="9">
        <v>0</v>
      </c>
      <c r="AX20" s="9">
        <v>0</v>
      </c>
      <c r="AY20" s="9">
        <v>0</v>
      </c>
      <c r="AZ20" s="9">
        <v>0</v>
      </c>
      <c r="BA20" s="9">
        <v>0</v>
      </c>
      <c r="BB20" s="9">
        <v>0</v>
      </c>
      <c r="BC20" s="9">
        <v>0</v>
      </c>
      <c r="BD20" s="9">
        <v>0</v>
      </c>
      <c r="BE20" s="9">
        <v>0</v>
      </c>
      <c r="BF20" s="9">
        <v>0</v>
      </c>
      <c r="BG20" s="9">
        <v>0</v>
      </c>
      <c r="BH20" s="9">
        <v>0</v>
      </c>
      <c r="BI20" s="9">
        <v>0</v>
      </c>
      <c r="BJ20" s="9">
        <v>0</v>
      </c>
      <c r="BK20" s="9">
        <v>0</v>
      </c>
      <c r="BL20" s="9">
        <v>0</v>
      </c>
      <c r="BN20" s="59"/>
      <c r="BO20" s="59">
        <v>11.62</v>
      </c>
      <c r="BP20" s="59">
        <v>11.62</v>
      </c>
      <c r="BQ20" s="59">
        <v>11.6</v>
      </c>
      <c r="BR20" s="59">
        <v>11.6</v>
      </c>
      <c r="BS20" s="59">
        <v>12.8</v>
      </c>
      <c r="BT20" s="59">
        <v>12.8</v>
      </c>
      <c r="BU20" s="59">
        <v>12.8</v>
      </c>
      <c r="BV20" s="59">
        <v>12.8</v>
      </c>
      <c r="BW20" s="59">
        <v>12.8</v>
      </c>
      <c r="BX20" s="59">
        <v>12.8</v>
      </c>
      <c r="BY20" s="59">
        <v>12.84</v>
      </c>
      <c r="BZ20" s="59">
        <v>13.4</v>
      </c>
      <c r="CA20" s="60">
        <v>13.5</v>
      </c>
      <c r="CB20" s="59">
        <v>12.8</v>
      </c>
      <c r="CC20" s="59">
        <v>12.8</v>
      </c>
      <c r="CD20" s="50">
        <v>12.8</v>
      </c>
      <c r="CE20" s="59">
        <v>14.9</v>
      </c>
      <c r="CF20" s="59">
        <v>14.9</v>
      </c>
      <c r="CG20" s="59">
        <v>14.9</v>
      </c>
      <c r="CH20" s="59">
        <v>14.9</v>
      </c>
      <c r="CI20" s="59">
        <v>14.9</v>
      </c>
      <c r="CJ20" s="59">
        <v>14.9</v>
      </c>
      <c r="CK20" s="59">
        <v>14.9</v>
      </c>
      <c r="CL20" s="59">
        <v>14.9</v>
      </c>
      <c r="CM20" s="59">
        <v>14.9</v>
      </c>
      <c r="CN20" s="50">
        <v>14.9</v>
      </c>
      <c r="CO20" s="50">
        <v>14.9</v>
      </c>
      <c r="CP20" s="50">
        <v>14.9</v>
      </c>
      <c r="CQ20" s="50">
        <v>14.9</v>
      </c>
      <c r="CR20" s="50">
        <v>14.9</v>
      </c>
      <c r="CS20" s="50">
        <v>14.9</v>
      </c>
      <c r="CT20" s="50"/>
      <c r="CU20" s="50"/>
      <c r="CV20" s="50"/>
      <c r="CW20" s="50"/>
      <c r="CX20" s="50"/>
    </row>
    <row r="21" spans="2:102" ht="6.75" customHeight="1" x14ac:dyDescent="0.25">
      <c r="B21" s="19"/>
      <c r="C21" s="16"/>
      <c r="D21" s="16"/>
      <c r="E21" s="16"/>
      <c r="F21" s="16"/>
      <c r="G21" s="16"/>
      <c r="H21" s="16"/>
      <c r="I21" s="64"/>
      <c r="J21" s="64"/>
      <c r="K21" s="64"/>
      <c r="L21" s="64"/>
      <c r="M21" s="64"/>
      <c r="N21" s="64"/>
      <c r="O21" s="64"/>
      <c r="P21" s="64"/>
      <c r="Q21" s="64"/>
      <c r="R21" s="64"/>
      <c r="S21" s="64"/>
      <c r="T21" s="16"/>
      <c r="U21" s="16"/>
      <c r="V21" s="16"/>
      <c r="W21" s="16"/>
      <c r="X21" s="16"/>
      <c r="Y21" s="16"/>
      <c r="Z21" s="16"/>
      <c r="AA21" s="16"/>
      <c r="AB21" s="16"/>
      <c r="AC21" s="16"/>
      <c r="AD21" s="16"/>
      <c r="AE21" s="16"/>
      <c r="AF21" s="16"/>
      <c r="AG21" s="16"/>
      <c r="AH21" s="16"/>
      <c r="AI21" s="16"/>
      <c r="AJ21" s="16"/>
      <c r="AK21" s="16"/>
      <c r="AL21" s="16"/>
      <c r="AM21" s="16"/>
      <c r="AN21" s="16"/>
      <c r="AO21" s="16"/>
      <c r="AP21" s="16"/>
      <c r="AQ21" s="16"/>
      <c r="AR21" s="16"/>
      <c r="AS21" s="16"/>
      <c r="AT21" s="16"/>
      <c r="AU21" s="16"/>
      <c r="AV21" s="16"/>
      <c r="AW21" s="16"/>
      <c r="AX21" s="16"/>
      <c r="AY21" s="16"/>
      <c r="AZ21" s="16"/>
      <c r="BA21" s="16"/>
      <c r="BB21" s="16"/>
      <c r="BC21" s="16"/>
      <c r="BD21" s="16"/>
      <c r="BE21" s="16"/>
      <c r="BF21" s="16"/>
      <c r="BG21" s="16"/>
      <c r="BH21" s="16"/>
      <c r="BI21" s="16"/>
      <c r="BJ21" s="16"/>
      <c r="BK21" s="16"/>
      <c r="BL21" s="16"/>
      <c r="BM21" s="16"/>
      <c r="BN21" s="16"/>
      <c r="BO21" s="16"/>
      <c r="BP21" s="16"/>
      <c r="BQ21" s="16"/>
      <c r="BR21" s="16"/>
      <c r="BS21" s="16"/>
      <c r="BT21" s="16"/>
      <c r="BU21" s="16"/>
      <c r="BV21" s="16"/>
      <c r="BW21" s="16"/>
      <c r="BX21" s="16"/>
      <c r="BY21" s="16"/>
      <c r="BZ21" s="16"/>
      <c r="CA21" s="16"/>
      <c r="CB21" s="16"/>
      <c r="CC21" s="16"/>
      <c r="CD21" s="16"/>
    </row>
    <row r="22" spans="2:102" x14ac:dyDescent="0.25">
      <c r="B22" s="14"/>
      <c r="E22" t="s">
        <v>53</v>
      </c>
      <c r="G22" s="46"/>
      <c r="I22" s="9">
        <v>13.51</v>
      </c>
      <c r="J22" s="9">
        <v>13.6</v>
      </c>
      <c r="K22" s="9">
        <v>13.74</v>
      </c>
      <c r="L22" s="9">
        <v>14.64</v>
      </c>
      <c r="M22" s="9">
        <v>13.6</v>
      </c>
      <c r="N22" s="9">
        <v>13.11</v>
      </c>
      <c r="O22" s="9">
        <v>12.96</v>
      </c>
      <c r="P22" s="9">
        <v>13.42</v>
      </c>
      <c r="Q22" s="9">
        <v>13.53</v>
      </c>
      <c r="R22" s="9">
        <v>14.66</v>
      </c>
      <c r="S22" s="9">
        <v>14.95</v>
      </c>
      <c r="T22" s="9">
        <v>15.14</v>
      </c>
      <c r="U22" s="9">
        <v>14.65</v>
      </c>
      <c r="V22" s="9">
        <v>15.27</v>
      </c>
      <c r="W22" s="9">
        <v>15.43</v>
      </c>
      <c r="X22" s="9">
        <v>15.35</v>
      </c>
      <c r="Y22" s="9">
        <v>16.079999999999998</v>
      </c>
      <c r="Z22" s="9">
        <v>16.87</v>
      </c>
      <c r="AA22" s="9">
        <v>16.63</v>
      </c>
      <c r="AB22" s="9">
        <v>16.940000000000001</v>
      </c>
      <c r="AC22" s="9">
        <v>16.920000000000002</v>
      </c>
      <c r="AD22" s="9">
        <v>17.989999999999998</v>
      </c>
      <c r="AE22" s="9">
        <v>17.420000000000002</v>
      </c>
      <c r="AF22" s="9">
        <v>16.77</v>
      </c>
      <c r="AG22" s="9">
        <v>17.149999999999999</v>
      </c>
      <c r="AH22" s="9">
        <v>16.27</v>
      </c>
      <c r="AI22" s="9">
        <v>14.6</v>
      </c>
      <c r="AJ22" s="9">
        <v>14.59</v>
      </c>
      <c r="AK22" s="9">
        <v>14.34</v>
      </c>
      <c r="AL22" s="9">
        <v>14.22</v>
      </c>
      <c r="AM22" s="9">
        <v>14.82</v>
      </c>
      <c r="AN22" s="9">
        <v>14.99</v>
      </c>
      <c r="AO22" s="9">
        <v>15.04</v>
      </c>
      <c r="AP22" s="9">
        <v>4.3099999999999996</v>
      </c>
      <c r="AQ22" s="9">
        <v>4.21</v>
      </c>
      <c r="AR22" s="9">
        <v>4.2300000000000004</v>
      </c>
      <c r="AS22" s="9">
        <v>4.24</v>
      </c>
      <c r="AT22" s="9">
        <v>3.62</v>
      </c>
      <c r="AU22" s="9">
        <v>3.62</v>
      </c>
      <c r="AV22" s="9">
        <v>4.01</v>
      </c>
      <c r="AW22" s="9">
        <v>3.62</v>
      </c>
      <c r="AX22" s="9">
        <v>3.6</v>
      </c>
      <c r="AY22" s="9">
        <v>3.59</v>
      </c>
      <c r="AZ22" s="9">
        <v>3.39</v>
      </c>
      <c r="BA22" s="9">
        <v>3.54</v>
      </c>
      <c r="BB22" s="9">
        <v>3.39</v>
      </c>
      <c r="BC22" s="9">
        <v>3.54</v>
      </c>
      <c r="BD22" s="9">
        <v>3.23</v>
      </c>
      <c r="BE22" s="9">
        <v>3.67</v>
      </c>
      <c r="BF22" s="9">
        <v>3.6</v>
      </c>
      <c r="BG22" s="9">
        <v>3.08</v>
      </c>
      <c r="BH22" s="9">
        <v>3.19</v>
      </c>
      <c r="BI22" s="9">
        <v>2.87</v>
      </c>
      <c r="BJ22" s="9">
        <v>2.87</v>
      </c>
      <c r="BK22" s="9">
        <v>2.7</v>
      </c>
      <c r="BL22" s="9">
        <v>4.0999999999999996</v>
      </c>
      <c r="BN22" s="1"/>
      <c r="BO22" s="1"/>
      <c r="BP22" s="1"/>
      <c r="BQ22" s="1"/>
      <c r="BR22" s="1"/>
      <c r="BS22" s="1"/>
      <c r="BT22" s="1"/>
      <c r="BU22" s="1"/>
      <c r="BV22" s="1"/>
      <c r="BW22" s="1"/>
      <c r="BX22" s="1"/>
      <c r="BY22" s="1"/>
      <c r="BZ22" s="1"/>
      <c r="CA22" s="15"/>
      <c r="CB22" s="1"/>
      <c r="CC22" s="1"/>
    </row>
    <row r="23" spans="2:102" x14ac:dyDescent="0.25">
      <c r="B23" s="14"/>
      <c r="E23" t="s">
        <v>54</v>
      </c>
      <c r="G23" s="46"/>
      <c r="I23" s="9">
        <v>0.52</v>
      </c>
      <c r="J23" s="9">
        <v>0.39500000000000002</v>
      </c>
      <c r="K23" s="9">
        <v>0.40500000000000003</v>
      </c>
      <c r="L23" s="9">
        <v>0.41</v>
      </c>
      <c r="M23" s="9">
        <v>0.37</v>
      </c>
      <c r="N23" s="9">
        <v>0.03</v>
      </c>
      <c r="O23" s="9">
        <v>3.1E-2</v>
      </c>
      <c r="P23" s="9">
        <v>0.01</v>
      </c>
      <c r="Q23" s="9">
        <v>0.03</v>
      </c>
      <c r="R23" s="9">
        <v>0.04</v>
      </c>
      <c r="S23" s="9">
        <v>0.04</v>
      </c>
      <c r="T23" s="9">
        <v>4.2999999999999997E-2</v>
      </c>
      <c r="U23" s="9">
        <v>0.05</v>
      </c>
      <c r="V23" s="9">
        <v>0.05</v>
      </c>
      <c r="W23" s="9">
        <v>0.05</v>
      </c>
      <c r="X23" s="9">
        <v>0.08</v>
      </c>
      <c r="Y23" s="9">
        <v>0.08</v>
      </c>
      <c r="Z23" s="9">
        <v>0.09</v>
      </c>
      <c r="AA23" s="9">
        <v>0.12</v>
      </c>
      <c r="AB23" s="9">
        <v>0.12</v>
      </c>
      <c r="AC23" s="9">
        <v>0.13</v>
      </c>
      <c r="AD23" s="9">
        <v>0.02</v>
      </c>
      <c r="AE23" s="9">
        <v>0.02</v>
      </c>
      <c r="AF23" s="9">
        <v>0.02</v>
      </c>
      <c r="AG23" s="9">
        <v>0.02</v>
      </c>
      <c r="AH23" s="9">
        <v>0.02</v>
      </c>
      <c r="AI23" s="9">
        <v>0.02</v>
      </c>
      <c r="AJ23" s="9">
        <v>0.02</v>
      </c>
      <c r="AK23" s="9">
        <v>0.05</v>
      </c>
      <c r="AL23" s="9">
        <v>0.06</v>
      </c>
      <c r="AM23" s="9">
        <v>0.08</v>
      </c>
      <c r="AN23" s="9">
        <v>0.09</v>
      </c>
      <c r="AO23" s="9">
        <v>0.09</v>
      </c>
      <c r="AP23" s="9">
        <v>0.02</v>
      </c>
      <c r="AQ23" s="9">
        <v>0.2</v>
      </c>
      <c r="AR23" s="9">
        <v>0.03</v>
      </c>
      <c r="AS23" s="9">
        <v>0.03</v>
      </c>
      <c r="AT23" s="9">
        <v>0.03</v>
      </c>
      <c r="AU23" s="9">
        <v>0.03</v>
      </c>
      <c r="AV23" s="9">
        <v>0.03</v>
      </c>
      <c r="AW23" s="9">
        <v>0.03</v>
      </c>
      <c r="AX23" s="9">
        <v>0.03</v>
      </c>
      <c r="AY23" s="9">
        <v>0.14000000000000001</v>
      </c>
      <c r="AZ23" s="9">
        <v>0.01</v>
      </c>
      <c r="BA23" s="9">
        <v>0.01</v>
      </c>
      <c r="BB23" s="9">
        <v>0.01</v>
      </c>
      <c r="BC23" s="9">
        <v>0.01</v>
      </c>
      <c r="BD23" s="9">
        <v>0.01</v>
      </c>
      <c r="BE23" s="9">
        <v>0.01</v>
      </c>
      <c r="BF23" s="9">
        <v>0.01</v>
      </c>
      <c r="BG23" s="9">
        <v>0.01</v>
      </c>
      <c r="BH23" s="9">
        <v>0.01</v>
      </c>
      <c r="BI23" s="9">
        <v>0.01</v>
      </c>
      <c r="BJ23" s="9">
        <v>0.01</v>
      </c>
      <c r="BK23" s="9">
        <v>0.01</v>
      </c>
      <c r="BL23" s="9">
        <v>0.01</v>
      </c>
      <c r="BN23" s="1"/>
      <c r="BO23" s="1"/>
      <c r="BP23" s="1"/>
      <c r="BQ23" s="1"/>
      <c r="BR23" s="1"/>
      <c r="BS23" s="1"/>
      <c r="BT23" s="1"/>
      <c r="BU23" s="1"/>
      <c r="BV23" s="1"/>
      <c r="BW23" s="1"/>
      <c r="BX23" s="1"/>
      <c r="BY23" s="1"/>
      <c r="BZ23" s="1"/>
      <c r="CA23" s="15"/>
      <c r="CB23" s="1"/>
      <c r="CC23" s="1"/>
    </row>
    <row r="24" spans="2:102" x14ac:dyDescent="0.25">
      <c r="B24" s="14"/>
      <c r="E24" s="16" t="s">
        <v>55</v>
      </c>
      <c r="F24" s="16"/>
      <c r="G24" s="48"/>
      <c r="H24" s="16"/>
      <c r="I24" s="65">
        <f>SUM(I10:I23)</f>
        <v>44.746000000000002</v>
      </c>
      <c r="J24" s="65">
        <f>SUM(J10:J23)</f>
        <v>40.285000000000004</v>
      </c>
      <c r="K24" s="65">
        <f>SUM(K10:K23)</f>
        <v>42.107999999999997</v>
      </c>
      <c r="L24" s="65">
        <f t="shared" ref="L24:N24" si="7">SUM(L10:L23)</f>
        <v>42.209999999999994</v>
      </c>
      <c r="M24" s="65">
        <f t="shared" si="7"/>
        <v>27.61</v>
      </c>
      <c r="N24" s="65">
        <f t="shared" si="7"/>
        <v>28.08</v>
      </c>
      <c r="O24" s="65">
        <f t="shared" ref="O24:T24" si="8">SUM(O10:O23)</f>
        <v>27.521000000000001</v>
      </c>
      <c r="P24" s="65">
        <f t="shared" si="8"/>
        <v>27.860000000000003</v>
      </c>
      <c r="Q24" s="65">
        <f t="shared" si="8"/>
        <v>27.990000000000002</v>
      </c>
      <c r="R24" s="65">
        <f t="shared" si="8"/>
        <v>27.799999999999997</v>
      </c>
      <c r="S24" s="65">
        <f t="shared" si="8"/>
        <v>28.77</v>
      </c>
      <c r="T24" s="65">
        <f t="shared" si="8"/>
        <v>29.442600000000002</v>
      </c>
      <c r="U24" s="65">
        <f t="shared" ref="U24" si="9">SUM(U10:U23)</f>
        <v>28.930000000000003</v>
      </c>
      <c r="V24" s="65">
        <f t="shared" ref="V24:AB24" si="10">SUM(V10:V23)</f>
        <v>39.099999999999994</v>
      </c>
      <c r="W24" s="65">
        <f t="shared" si="10"/>
        <v>39.919999999999995</v>
      </c>
      <c r="X24" s="65">
        <f t="shared" si="10"/>
        <v>41.44</v>
      </c>
      <c r="Y24" s="65">
        <f t="shared" si="10"/>
        <v>33.209999999999994</v>
      </c>
      <c r="Z24" s="65">
        <f t="shared" si="10"/>
        <v>33.25800000000001</v>
      </c>
      <c r="AA24" s="65">
        <f t="shared" si="10"/>
        <v>33.589999999999996</v>
      </c>
      <c r="AB24" s="65">
        <f t="shared" si="10"/>
        <v>35.020000000000003</v>
      </c>
      <c r="AC24" s="65">
        <f t="shared" ref="AC24" si="11">SUM(AC10:AC23)</f>
        <v>34.350000000000009</v>
      </c>
      <c r="AD24" s="65">
        <f t="shared" ref="AD24:AJ24" si="12">SUM(AD10:AD23)</f>
        <v>35.570000000000007</v>
      </c>
      <c r="AE24" s="65">
        <f t="shared" si="12"/>
        <v>35.440000000000005</v>
      </c>
      <c r="AF24" s="65">
        <f t="shared" si="12"/>
        <v>35.68</v>
      </c>
      <c r="AG24" s="65">
        <f t="shared" si="12"/>
        <v>36.119999999999997</v>
      </c>
      <c r="AH24" s="65">
        <f t="shared" si="12"/>
        <v>36.54</v>
      </c>
      <c r="AI24" s="65">
        <f t="shared" si="12"/>
        <v>34.61</v>
      </c>
      <c r="AJ24" s="65">
        <f t="shared" si="12"/>
        <v>35.330000000000005</v>
      </c>
      <c r="AK24" s="65">
        <f t="shared" ref="AK24" si="13">SUM(AK10:AK23)</f>
        <v>34.82</v>
      </c>
      <c r="AL24" s="65">
        <f t="shared" ref="AL24:AQ24" si="14">SUM(AL10:AL23)</f>
        <v>43.24</v>
      </c>
      <c r="AM24" s="65">
        <f t="shared" si="14"/>
        <v>43.94</v>
      </c>
      <c r="AN24" s="65">
        <f t="shared" si="14"/>
        <v>44.440000000000005</v>
      </c>
      <c r="AO24" s="65">
        <f t="shared" si="14"/>
        <v>44.56</v>
      </c>
      <c r="AP24" s="65">
        <f t="shared" si="14"/>
        <v>30.94</v>
      </c>
      <c r="AQ24" s="65">
        <f t="shared" si="14"/>
        <v>30.86</v>
      </c>
      <c r="AR24" s="65">
        <f>SUM(AR10:AR23)</f>
        <v>30.750000000000004</v>
      </c>
      <c r="AS24" s="65">
        <f>SUM(AS10:AS23)</f>
        <v>31.550000000000004</v>
      </c>
      <c r="AT24" s="65">
        <f>SUM(AT10:AT23)</f>
        <v>30.860000000000003</v>
      </c>
      <c r="AU24" s="65">
        <f t="shared" ref="AU24:AV24" si="15">SUM(AU10:AU23)</f>
        <v>30.860000000000003</v>
      </c>
      <c r="AV24" s="65">
        <f t="shared" si="15"/>
        <v>39.800000000000004</v>
      </c>
      <c r="AW24" s="65">
        <f t="shared" ref="AW24:AX24" si="16">SUM(AW10:AW23)</f>
        <v>39.659999999999997</v>
      </c>
      <c r="AX24" s="65">
        <f t="shared" si="16"/>
        <v>40.440000000000005</v>
      </c>
      <c r="AY24" s="65">
        <f t="shared" ref="AY24:AZ24" si="17">SUM(AY10:AY23)</f>
        <v>40.649999999999991</v>
      </c>
      <c r="AZ24" s="65">
        <f t="shared" si="17"/>
        <v>40.68</v>
      </c>
      <c r="BA24" s="65">
        <f t="shared" ref="BA24:BB24" si="18">SUM(BA10:BA23)</f>
        <v>40.29</v>
      </c>
      <c r="BB24" s="65">
        <f t="shared" si="18"/>
        <v>40.32</v>
      </c>
      <c r="BC24" s="65">
        <f t="shared" ref="BC24" si="19">SUM(BC10:BC23)</f>
        <v>39.919999999999995</v>
      </c>
      <c r="BD24" s="65">
        <f t="shared" ref="BD24:BJ24" si="20">SUM(BD10:BD23)</f>
        <v>39.71</v>
      </c>
      <c r="BE24" s="65">
        <f t="shared" si="20"/>
        <v>40.980000000000004</v>
      </c>
      <c r="BF24" s="65">
        <f t="shared" si="20"/>
        <v>41.330000000000005</v>
      </c>
      <c r="BG24" s="65">
        <f t="shared" si="20"/>
        <v>41.76</v>
      </c>
      <c r="BH24" s="65">
        <f t="shared" si="20"/>
        <v>41.92</v>
      </c>
      <c r="BI24" s="65">
        <f t="shared" si="20"/>
        <v>34.099999999999994</v>
      </c>
      <c r="BJ24" s="65">
        <f t="shared" si="20"/>
        <v>33.559999999999995</v>
      </c>
      <c r="BK24" s="65">
        <f>SUM(BK10:BK23)</f>
        <v>33.04</v>
      </c>
      <c r="BL24" s="65">
        <f>SUM(BL10:BL23)</f>
        <v>32.889999999999993</v>
      </c>
      <c r="BM24" s="16"/>
      <c r="BN24" s="17"/>
      <c r="BO24" s="17"/>
      <c r="BP24" s="17"/>
      <c r="BQ24" s="17"/>
      <c r="BR24" s="17"/>
      <c r="BS24" s="17"/>
      <c r="BT24" s="17"/>
      <c r="BU24" s="17"/>
      <c r="BV24" s="17"/>
      <c r="BW24" s="17"/>
      <c r="BX24" s="17"/>
      <c r="BY24" s="17"/>
      <c r="BZ24" s="17"/>
      <c r="CA24" s="18"/>
      <c r="CB24" s="17"/>
      <c r="CC24" s="17"/>
      <c r="CD24" s="17"/>
      <c r="CE24" t="s">
        <v>56</v>
      </c>
    </row>
    <row r="25" spans="2:102" x14ac:dyDescent="0.25">
      <c r="B25" s="19"/>
      <c r="C25" s="16"/>
      <c r="D25" s="16"/>
      <c r="E25" s="49" t="s">
        <v>57</v>
      </c>
      <c r="F25" s="16"/>
      <c r="G25" s="16">
        <v>51.39</v>
      </c>
      <c r="H25" s="16"/>
      <c r="I25" s="65">
        <f t="shared" ref="I25:R25" si="21">49.13-I24</f>
        <v>4.3840000000000003</v>
      </c>
      <c r="J25" s="65">
        <f t="shared" si="21"/>
        <v>8.8449999999999989</v>
      </c>
      <c r="K25" s="65">
        <f t="shared" si="21"/>
        <v>7.0220000000000056</v>
      </c>
      <c r="L25" s="65">
        <f t="shared" si="21"/>
        <v>6.9200000000000088</v>
      </c>
      <c r="M25" s="65">
        <f t="shared" si="21"/>
        <v>21.520000000000003</v>
      </c>
      <c r="N25" s="65">
        <f t="shared" si="21"/>
        <v>21.050000000000004</v>
      </c>
      <c r="O25" s="65">
        <f t="shared" si="21"/>
        <v>21.609000000000002</v>
      </c>
      <c r="P25" s="65">
        <f t="shared" si="21"/>
        <v>21.27</v>
      </c>
      <c r="Q25" s="65">
        <f t="shared" si="21"/>
        <v>21.14</v>
      </c>
      <c r="R25" s="65">
        <f t="shared" si="21"/>
        <v>21.330000000000005</v>
      </c>
      <c r="S25" s="65">
        <f t="shared" ref="S25:X25" si="22">$G25-S24</f>
        <v>22.62</v>
      </c>
      <c r="T25" s="65">
        <f t="shared" si="22"/>
        <v>21.947399999999998</v>
      </c>
      <c r="U25" s="65">
        <f t="shared" si="22"/>
        <v>22.459999999999997</v>
      </c>
      <c r="V25" s="65">
        <f t="shared" si="22"/>
        <v>12.290000000000006</v>
      </c>
      <c r="W25" s="65">
        <f t="shared" si="22"/>
        <v>11.470000000000006</v>
      </c>
      <c r="X25" s="65">
        <f t="shared" si="22"/>
        <v>9.9500000000000028</v>
      </c>
      <c r="Y25" s="65">
        <f t="shared" ref="Y25:Z25" si="23">$G25-Y24</f>
        <v>18.180000000000007</v>
      </c>
      <c r="Z25" s="65">
        <f t="shared" si="23"/>
        <v>18.131999999999991</v>
      </c>
      <c r="AA25" s="65">
        <f t="shared" ref="AA25:AF25" si="24">$G25-AA24</f>
        <v>17.800000000000004</v>
      </c>
      <c r="AB25" s="65">
        <f t="shared" si="24"/>
        <v>16.369999999999997</v>
      </c>
      <c r="AC25" s="65">
        <f t="shared" si="24"/>
        <v>17.039999999999992</v>
      </c>
      <c r="AD25" s="65">
        <f t="shared" si="24"/>
        <v>15.819999999999993</v>
      </c>
      <c r="AE25" s="65">
        <f t="shared" si="24"/>
        <v>15.949999999999996</v>
      </c>
      <c r="AF25" s="65">
        <f t="shared" si="24"/>
        <v>15.71</v>
      </c>
      <c r="AG25" s="65">
        <f t="shared" ref="AG25:AL25" si="25">$G25-AG24</f>
        <v>15.270000000000003</v>
      </c>
      <c r="AH25" s="65">
        <f t="shared" si="25"/>
        <v>14.850000000000001</v>
      </c>
      <c r="AI25" s="65">
        <f t="shared" si="25"/>
        <v>16.78</v>
      </c>
      <c r="AJ25" s="65">
        <f t="shared" si="25"/>
        <v>16.059999999999995</v>
      </c>
      <c r="AK25" s="65">
        <f t="shared" si="25"/>
        <v>16.57</v>
      </c>
      <c r="AL25" s="65">
        <f t="shared" si="25"/>
        <v>8.1499999999999986</v>
      </c>
      <c r="AM25" s="65">
        <f t="shared" ref="AM25:AN25" si="26">$G25-AM24</f>
        <v>7.4500000000000028</v>
      </c>
      <c r="AN25" s="65">
        <f t="shared" si="26"/>
        <v>6.9499999999999957</v>
      </c>
      <c r="AO25" s="65">
        <f t="shared" ref="AO25:AP25" si="27">$G25-AO24</f>
        <v>6.8299999999999983</v>
      </c>
      <c r="AP25" s="65">
        <f t="shared" si="27"/>
        <v>20.45</v>
      </c>
      <c r="AQ25" s="65">
        <f t="shared" ref="AQ25" si="28">$G25-AQ24</f>
        <v>20.53</v>
      </c>
      <c r="AR25" s="65">
        <f>$G25-AR24</f>
        <v>20.639999999999997</v>
      </c>
      <c r="AS25" s="65">
        <f>$G25-AS24</f>
        <v>19.839999999999996</v>
      </c>
      <c r="AT25" s="65">
        <f>$G25-AT24</f>
        <v>20.529999999999998</v>
      </c>
      <c r="AU25" s="65">
        <f t="shared" ref="AU25:AV25" si="29">$G25-AU24</f>
        <v>20.529999999999998</v>
      </c>
      <c r="AV25" s="65">
        <f t="shared" si="29"/>
        <v>11.589999999999996</v>
      </c>
      <c r="AW25" s="65">
        <f t="shared" ref="AW25:AX25" si="30">$G25-AW24</f>
        <v>11.730000000000004</v>
      </c>
      <c r="AX25" s="65">
        <f t="shared" si="30"/>
        <v>10.949999999999996</v>
      </c>
      <c r="AY25" s="65">
        <f t="shared" ref="AY25:AZ25" si="31">$G25-AY24</f>
        <v>10.740000000000009</v>
      </c>
      <c r="AZ25" s="65">
        <f t="shared" si="31"/>
        <v>10.71</v>
      </c>
      <c r="BA25" s="65">
        <f t="shared" ref="BA25:BB25" si="32">$G25-BA24</f>
        <v>11.100000000000001</v>
      </c>
      <c r="BB25" s="65">
        <f t="shared" si="32"/>
        <v>11.07</v>
      </c>
      <c r="BC25" s="65">
        <f t="shared" ref="BC25" si="33">$G25-BC24</f>
        <v>11.470000000000006</v>
      </c>
      <c r="BD25" s="65">
        <f t="shared" ref="BD25:BJ25" si="34">$G25-BD24</f>
        <v>11.68</v>
      </c>
      <c r="BE25" s="65">
        <f t="shared" si="34"/>
        <v>10.409999999999997</v>
      </c>
      <c r="BF25" s="65">
        <f t="shared" si="34"/>
        <v>10.059999999999995</v>
      </c>
      <c r="BG25" s="65">
        <f t="shared" si="34"/>
        <v>9.6300000000000026</v>
      </c>
      <c r="BH25" s="65">
        <f t="shared" si="34"/>
        <v>9.4699999999999989</v>
      </c>
      <c r="BI25" s="65">
        <f t="shared" si="34"/>
        <v>17.290000000000006</v>
      </c>
      <c r="BJ25" s="65">
        <f t="shared" si="34"/>
        <v>17.830000000000005</v>
      </c>
      <c r="BK25" s="65">
        <f>$G25-BK24</f>
        <v>18.350000000000001</v>
      </c>
      <c r="BL25" s="65">
        <f>$G25-BL24</f>
        <v>18.500000000000007</v>
      </c>
      <c r="BM25" s="16"/>
      <c r="BN25" s="17"/>
      <c r="BO25" s="17"/>
      <c r="BP25" s="17"/>
      <c r="BQ25" s="17"/>
      <c r="BR25" s="17"/>
      <c r="BS25" s="17"/>
      <c r="BT25" s="17"/>
      <c r="BU25" s="17"/>
      <c r="BV25" s="17"/>
      <c r="BW25" s="17"/>
      <c r="BX25" s="17"/>
      <c r="BY25" s="17"/>
      <c r="BZ25" s="17"/>
      <c r="CA25" s="18"/>
      <c r="CB25" s="17"/>
      <c r="CC25" s="17"/>
      <c r="CD25" s="17"/>
      <c r="CE25" t="s">
        <v>58</v>
      </c>
    </row>
    <row r="26" spans="2:102" ht="15.75" thickBot="1" x14ac:dyDescent="0.3">
      <c r="B26" s="20"/>
      <c r="C26" s="21"/>
      <c r="D26" s="21"/>
      <c r="E26" s="22" t="s">
        <v>59</v>
      </c>
      <c r="F26" s="22"/>
      <c r="G26" s="22"/>
      <c r="H26" s="22"/>
      <c r="I26" s="23">
        <f t="shared" ref="I26:R26" si="35">I24/49.13</f>
        <v>0.91076735192346836</v>
      </c>
      <c r="J26" s="23">
        <f t="shared" si="35"/>
        <v>0.81996743334011812</v>
      </c>
      <c r="K26" s="23">
        <f t="shared" si="35"/>
        <v>0.85707307144310996</v>
      </c>
      <c r="L26" s="23">
        <f t="shared" si="35"/>
        <v>0.85914919601058404</v>
      </c>
      <c r="M26" s="23">
        <f t="shared" si="35"/>
        <v>0.56197842458782821</v>
      </c>
      <c r="N26" s="23">
        <f t="shared" si="35"/>
        <v>0.5715448809281497</v>
      </c>
      <c r="O26" s="23">
        <f t="shared" si="35"/>
        <v>0.56016690413189496</v>
      </c>
      <c r="P26" s="23">
        <f t="shared" si="35"/>
        <v>0.56706696519438227</v>
      </c>
      <c r="Q26" s="23">
        <f t="shared" si="35"/>
        <v>0.56971300630979038</v>
      </c>
      <c r="R26" s="23">
        <f t="shared" si="35"/>
        <v>0.56584571544880924</v>
      </c>
      <c r="S26" s="23">
        <f t="shared" ref="S26:X26" si="36">S24/$G$25</f>
        <v>0.55983654407472272</v>
      </c>
      <c r="T26" s="23">
        <f t="shared" si="36"/>
        <v>0.57292469352014019</v>
      </c>
      <c r="U26" s="23">
        <f t="shared" si="36"/>
        <v>0.56294999027048065</v>
      </c>
      <c r="V26" s="23">
        <f t="shared" si="36"/>
        <v>0.76084841408834392</v>
      </c>
      <c r="W26" s="23">
        <f t="shared" si="36"/>
        <v>0.77680482584160326</v>
      </c>
      <c r="X26" s="23">
        <f t="shared" si="36"/>
        <v>0.80638256470130365</v>
      </c>
      <c r="Y26" s="23">
        <f t="shared" ref="Y26:Z26" si="37">Y24/$G$25</f>
        <v>0.64623467600700513</v>
      </c>
      <c r="Z26" s="23">
        <f t="shared" si="37"/>
        <v>0.64716870986573283</v>
      </c>
      <c r="AA26" s="23">
        <f t="shared" ref="AA26:AF26" si="38">AA24/$G$25</f>
        <v>0.65362911072193031</v>
      </c>
      <c r="AB26" s="23">
        <f t="shared" si="38"/>
        <v>0.68145553609651688</v>
      </c>
      <c r="AC26" s="23">
        <f t="shared" si="38"/>
        <v>0.66841798015178067</v>
      </c>
      <c r="AD26" s="23">
        <f t="shared" si="38"/>
        <v>0.69215800739443489</v>
      </c>
      <c r="AE26" s="23">
        <f t="shared" si="38"/>
        <v>0.68962833236038146</v>
      </c>
      <c r="AF26" s="23">
        <f t="shared" si="38"/>
        <v>0.6942985016540183</v>
      </c>
      <c r="AG26" s="23">
        <f t="shared" ref="AG26:AL26" si="39">AG24/$G$25</f>
        <v>0.70286047869235257</v>
      </c>
      <c r="AH26" s="23">
        <f t="shared" si="39"/>
        <v>0.71103327495621715</v>
      </c>
      <c r="AI26" s="23">
        <f t="shared" si="39"/>
        <v>0.67347733021988709</v>
      </c>
      <c r="AJ26" s="23">
        <f t="shared" si="39"/>
        <v>0.68748783810079794</v>
      </c>
      <c r="AK26" s="23">
        <f t="shared" si="39"/>
        <v>0.67756372835181944</v>
      </c>
      <c r="AL26" s="23">
        <f t="shared" si="39"/>
        <v>0.8414088344035805</v>
      </c>
      <c r="AM26" s="23">
        <f t="shared" ref="AM26:AN26" si="40">AM24/$G$25</f>
        <v>0.85503016151002131</v>
      </c>
      <c r="AN26" s="23">
        <f t="shared" si="40"/>
        <v>0.86475968087176502</v>
      </c>
      <c r="AO26" s="23">
        <f t="shared" ref="AO26:AP26" si="41">AO24/$G$25</f>
        <v>0.86709476551858344</v>
      </c>
      <c r="AP26" s="23">
        <f t="shared" si="41"/>
        <v>0.60206265810468962</v>
      </c>
      <c r="AQ26" s="23">
        <f t="shared" ref="AQ26" si="42">AQ24/$G$25</f>
        <v>0.6005059350068106</v>
      </c>
      <c r="AR26" s="23">
        <f>AR24/$G$25</f>
        <v>0.5983654407472272</v>
      </c>
      <c r="AS26" s="23">
        <f>AS24/$G$25</f>
        <v>0.61393267172601684</v>
      </c>
      <c r="AT26" s="23">
        <f>AT24/$G$25</f>
        <v>0.60050593500681071</v>
      </c>
      <c r="AU26" s="23">
        <f t="shared" ref="AU26:AV26" si="43">AU24/$G$25</f>
        <v>0.60050593500681071</v>
      </c>
      <c r="AV26" s="23">
        <f t="shared" si="43"/>
        <v>0.77446974119478507</v>
      </c>
      <c r="AW26" s="23">
        <f t="shared" ref="AW26:AX26" si="44">AW24/$G$25</f>
        <v>0.77174547577349673</v>
      </c>
      <c r="AX26" s="23">
        <f t="shared" si="44"/>
        <v>0.78692352597781678</v>
      </c>
      <c r="AY26" s="23">
        <f t="shared" ref="AY26:AZ26" si="45">AY24/$G$25</f>
        <v>0.7910099241097488</v>
      </c>
      <c r="AZ26" s="23">
        <f t="shared" si="45"/>
        <v>0.79159369527145362</v>
      </c>
      <c r="BA26" s="23">
        <f t="shared" ref="BA26" si="46">BA24/$G$25</f>
        <v>0.78400467016929365</v>
      </c>
      <c r="BB26" s="23">
        <f t="shared" ref="BB26:BC26" si="47">BB24/$G$25</f>
        <v>0.78458844133099825</v>
      </c>
      <c r="BC26" s="23">
        <f t="shared" si="47"/>
        <v>0.77680482584160326</v>
      </c>
      <c r="BD26" s="23">
        <f t="shared" ref="BD26:BI26" si="48">BD24/$G$25</f>
        <v>0.77271842770967114</v>
      </c>
      <c r="BE26" s="23">
        <f t="shared" si="48"/>
        <v>0.79743140688849978</v>
      </c>
      <c r="BF26" s="23">
        <f t="shared" si="48"/>
        <v>0.80424207044172025</v>
      </c>
      <c r="BG26" s="23">
        <f t="shared" si="48"/>
        <v>0.81260945709281962</v>
      </c>
      <c r="BH26" s="23">
        <f t="shared" si="48"/>
        <v>0.81572290328857755</v>
      </c>
      <c r="BI26" s="23">
        <f t="shared" si="48"/>
        <v>0.66355322047090859</v>
      </c>
      <c r="BJ26" s="23">
        <f t="shared" ref="BJ26" si="49">BJ24/$G$25</f>
        <v>0.65304533956022559</v>
      </c>
      <c r="BK26" s="23">
        <f>BK24/$G$25</f>
        <v>0.6429266394240124</v>
      </c>
      <c r="BL26" s="23">
        <f>BL24/$G$25</f>
        <v>0.64000778361548927</v>
      </c>
      <c r="BM26" s="22"/>
      <c r="BN26" s="24"/>
      <c r="BO26" s="24"/>
      <c r="BP26" s="24"/>
      <c r="BQ26" s="24"/>
      <c r="BR26" s="24"/>
      <c r="BS26" s="24"/>
      <c r="BT26" s="24"/>
      <c r="BU26" s="24"/>
      <c r="BV26" s="24"/>
      <c r="BW26" s="24"/>
      <c r="BX26" s="24"/>
      <c r="BY26" s="24"/>
      <c r="BZ26" s="24"/>
      <c r="CA26" s="25"/>
      <c r="CB26" s="17"/>
      <c r="CC26" s="17"/>
      <c r="CD26" s="17"/>
      <c r="CE26" t="s">
        <v>60</v>
      </c>
    </row>
    <row r="27" spans="2:102" ht="15.75" thickBot="1" x14ac:dyDescent="0.3">
      <c r="I27" s="9"/>
      <c r="J27" s="9"/>
      <c r="K27" s="9"/>
      <c r="L27" s="9"/>
      <c r="M27" s="9"/>
      <c r="N27" s="9"/>
      <c r="O27" s="9"/>
      <c r="P27" s="9"/>
      <c r="Q27" s="9"/>
      <c r="R27" s="9"/>
      <c r="S27" s="9"/>
      <c r="T27" s="9"/>
      <c r="U27" s="9"/>
      <c r="V27" s="9"/>
      <c r="W27" s="9"/>
      <c r="X27" s="9"/>
      <c r="Y27" s="9"/>
      <c r="Z27" s="9"/>
      <c r="AA27" s="9"/>
      <c r="AB27" s="9"/>
      <c r="AC27" s="9"/>
      <c r="AD27" s="9"/>
      <c r="AE27" s="9"/>
      <c r="AF27" s="9"/>
      <c r="BN27" s="1"/>
      <c r="BO27" s="1"/>
      <c r="BP27" s="1"/>
      <c r="BQ27" s="1"/>
      <c r="BR27" s="1"/>
      <c r="BS27" s="1"/>
      <c r="BT27" s="1"/>
      <c r="BU27" s="1"/>
      <c r="BV27" s="1"/>
      <c r="BW27" s="1"/>
      <c r="BX27" s="1"/>
      <c r="BY27" s="1"/>
      <c r="BZ27" s="1"/>
      <c r="CA27" s="1"/>
      <c r="CB27" s="1"/>
      <c r="CC27" s="1"/>
      <c r="CE27" t="s">
        <v>61</v>
      </c>
    </row>
    <row r="28" spans="2:102" x14ac:dyDescent="0.25">
      <c r="B28" s="43" t="s">
        <v>37</v>
      </c>
      <c r="C28" s="71" t="s">
        <v>62</v>
      </c>
      <c r="D28" s="10" t="s">
        <v>63</v>
      </c>
      <c r="E28" s="51" t="s">
        <v>64</v>
      </c>
      <c r="F28" s="10"/>
      <c r="G28" s="10"/>
      <c r="H28" s="10"/>
      <c r="I28" s="11">
        <v>1.01</v>
      </c>
      <c r="J28" s="11">
        <v>1.02</v>
      </c>
      <c r="K28" s="11">
        <v>0.38</v>
      </c>
      <c r="L28" s="11">
        <v>0.91</v>
      </c>
      <c r="M28" s="11">
        <v>0.96</v>
      </c>
      <c r="N28" s="11">
        <v>0.28000000000000003</v>
      </c>
      <c r="O28" s="11">
        <v>0.66900000000000004</v>
      </c>
      <c r="P28" s="11">
        <v>0.71</v>
      </c>
      <c r="Q28" s="11">
        <v>0.16</v>
      </c>
      <c r="R28" s="11">
        <v>0.81</v>
      </c>
      <c r="S28" s="11">
        <v>0.99</v>
      </c>
      <c r="T28" s="11">
        <v>1.26</v>
      </c>
      <c r="U28" s="11">
        <v>1.26</v>
      </c>
      <c r="V28" s="11">
        <v>1.66</v>
      </c>
      <c r="W28" s="11">
        <v>1.62</v>
      </c>
      <c r="X28" s="11">
        <v>0.36</v>
      </c>
      <c r="Y28" s="11">
        <v>0.64</v>
      </c>
      <c r="Z28" s="11">
        <v>0.68</v>
      </c>
      <c r="AA28" s="11">
        <v>0.41</v>
      </c>
      <c r="AB28" s="11">
        <v>0.84</v>
      </c>
      <c r="AC28" s="11">
        <v>0.86</v>
      </c>
      <c r="AD28" s="11">
        <v>0.62</v>
      </c>
      <c r="AE28" s="11">
        <v>0.6</v>
      </c>
      <c r="AF28" s="11">
        <v>0.73</v>
      </c>
      <c r="AG28" s="10">
        <v>0.73</v>
      </c>
      <c r="AH28" s="10">
        <v>0.46</v>
      </c>
      <c r="AI28" s="10">
        <v>0.64</v>
      </c>
      <c r="AJ28" s="10">
        <v>0.43</v>
      </c>
      <c r="AK28" s="10">
        <v>0.47</v>
      </c>
      <c r="AL28" s="10">
        <v>0.71</v>
      </c>
      <c r="AM28" s="10">
        <v>0.99</v>
      </c>
      <c r="AN28" s="10">
        <v>0.9</v>
      </c>
      <c r="AO28" s="10">
        <v>1.18</v>
      </c>
      <c r="AP28" s="10">
        <v>1.34</v>
      </c>
      <c r="AQ28" s="10">
        <v>1.47</v>
      </c>
      <c r="AR28" s="10">
        <v>1.57</v>
      </c>
      <c r="AS28" s="10">
        <v>1.62</v>
      </c>
      <c r="AT28" s="10">
        <v>1.68</v>
      </c>
      <c r="AU28" s="10">
        <v>1.68</v>
      </c>
      <c r="AV28" s="10">
        <v>0.24</v>
      </c>
      <c r="AW28" s="10">
        <v>0.93</v>
      </c>
      <c r="AX28" s="10">
        <v>1.07</v>
      </c>
      <c r="AY28" s="10">
        <v>1.1399999999999999</v>
      </c>
      <c r="AZ28" s="10">
        <v>1.17</v>
      </c>
      <c r="BA28" s="10">
        <v>1.21</v>
      </c>
      <c r="BB28" s="10">
        <v>0.88</v>
      </c>
      <c r="BC28" s="10">
        <v>1.02</v>
      </c>
      <c r="BD28">
        <v>1.1200000000000001</v>
      </c>
      <c r="BE28">
        <v>1.44</v>
      </c>
      <c r="BF28">
        <v>1.51</v>
      </c>
      <c r="BG28">
        <v>0.77</v>
      </c>
      <c r="BH28">
        <v>0.93</v>
      </c>
      <c r="BI28">
        <v>1.1100000000000001</v>
      </c>
      <c r="BJ28">
        <v>1.05</v>
      </c>
      <c r="BK28">
        <v>0.75</v>
      </c>
      <c r="BL28" s="8">
        <v>0.8</v>
      </c>
      <c r="BN28" s="59"/>
      <c r="BO28" s="59">
        <v>14.10411</v>
      </c>
      <c r="BP28" s="59">
        <v>15.32212</v>
      </c>
      <c r="BQ28" s="50">
        <v>15.3</v>
      </c>
      <c r="BR28" s="50">
        <v>14.97</v>
      </c>
      <c r="BS28" s="50">
        <v>15.48</v>
      </c>
      <c r="BT28" s="59">
        <v>15.66</v>
      </c>
      <c r="BU28" s="59">
        <v>15.5</v>
      </c>
      <c r="BV28" s="59">
        <v>15.54</v>
      </c>
      <c r="BW28" s="59">
        <v>16.05</v>
      </c>
      <c r="BX28" s="59">
        <v>16.36</v>
      </c>
      <c r="BY28" s="59">
        <v>16.57</v>
      </c>
      <c r="BZ28" s="59">
        <v>17.7</v>
      </c>
      <c r="CA28" s="60">
        <v>17.7</v>
      </c>
      <c r="CB28" s="59">
        <v>16.7</v>
      </c>
      <c r="CC28" s="59">
        <v>17.100000000000001</v>
      </c>
      <c r="CD28" s="50">
        <v>17.2</v>
      </c>
      <c r="CE28" s="59">
        <v>17.2</v>
      </c>
      <c r="CF28" s="59">
        <v>17.8</v>
      </c>
      <c r="CG28" s="59">
        <v>17.8</v>
      </c>
      <c r="CH28" s="59">
        <v>17.899999999999999</v>
      </c>
      <c r="CI28" s="59">
        <v>18</v>
      </c>
      <c r="CJ28" s="59">
        <v>18.399999999999999</v>
      </c>
      <c r="CK28" s="59">
        <v>18.399999999999999</v>
      </c>
      <c r="CL28" s="59">
        <v>19</v>
      </c>
      <c r="CM28" s="59">
        <v>19</v>
      </c>
      <c r="CN28" s="96">
        <v>19</v>
      </c>
      <c r="CO28" s="50"/>
      <c r="CP28" s="50"/>
      <c r="CQ28" s="50"/>
      <c r="CR28" s="50"/>
      <c r="CS28" s="50"/>
      <c r="CT28" s="50"/>
      <c r="CU28" s="50"/>
      <c r="CV28" s="50"/>
      <c r="CW28" s="50"/>
      <c r="CX28" s="50"/>
    </row>
    <row r="29" spans="2:102" x14ac:dyDescent="0.25">
      <c r="B29" s="42" t="s">
        <v>65</v>
      </c>
      <c r="C29" s="61"/>
      <c r="D29" t="s">
        <v>66</v>
      </c>
      <c r="E29" s="50" t="s">
        <v>67</v>
      </c>
      <c r="I29" s="9">
        <v>7.1349999999999997E-2</v>
      </c>
      <c r="J29" s="9">
        <v>0.38600000000000001</v>
      </c>
      <c r="K29" s="9">
        <v>0.28000000000000003</v>
      </c>
      <c r="L29" s="9">
        <v>0.31</v>
      </c>
      <c r="M29" s="9">
        <v>0.04</v>
      </c>
      <c r="N29" s="9">
        <v>0.3</v>
      </c>
      <c r="O29" s="9">
        <v>0.29499999999999998</v>
      </c>
      <c r="P29" s="9">
        <v>0.04</v>
      </c>
      <c r="Q29" s="9">
        <v>0.28999999999999998</v>
      </c>
      <c r="R29" s="9">
        <v>0.33</v>
      </c>
      <c r="S29" s="9">
        <v>0.27</v>
      </c>
      <c r="T29" s="9">
        <v>0.108</v>
      </c>
      <c r="U29" s="9">
        <v>0.61</v>
      </c>
      <c r="V29" s="9">
        <v>0.14000000000000001</v>
      </c>
      <c r="W29" s="9">
        <v>0.28999999999999998</v>
      </c>
      <c r="X29" s="9">
        <v>0.28000000000000003</v>
      </c>
      <c r="Y29" s="9">
        <v>0.28000000000000003</v>
      </c>
      <c r="Z29" s="9">
        <v>0.26</v>
      </c>
      <c r="AA29" s="9">
        <v>0.36</v>
      </c>
      <c r="AB29" s="9">
        <v>0.27</v>
      </c>
      <c r="AC29" s="9">
        <v>0.45</v>
      </c>
      <c r="AD29" s="9">
        <v>0.4</v>
      </c>
      <c r="AE29" s="9">
        <v>0.39</v>
      </c>
      <c r="AF29" s="9">
        <v>0.4</v>
      </c>
      <c r="AG29" s="9">
        <v>0.3</v>
      </c>
      <c r="AH29" s="9">
        <v>0.28999999999999998</v>
      </c>
      <c r="AI29" s="9">
        <v>0.3</v>
      </c>
      <c r="AJ29" s="9">
        <v>0.24</v>
      </c>
      <c r="AK29" s="9">
        <v>0.05</v>
      </c>
      <c r="AL29" s="9">
        <v>0.41</v>
      </c>
      <c r="AM29" s="9">
        <v>0.25</v>
      </c>
      <c r="AN29" s="9">
        <v>0.3</v>
      </c>
      <c r="AO29" s="9">
        <v>1.18</v>
      </c>
      <c r="AP29" s="9">
        <v>0.35</v>
      </c>
      <c r="AQ29" s="9">
        <v>0.34</v>
      </c>
      <c r="AR29" s="9">
        <v>0.43</v>
      </c>
      <c r="AS29" s="9">
        <v>0.44</v>
      </c>
      <c r="AT29" s="9">
        <v>0.06</v>
      </c>
      <c r="AU29" s="9">
        <v>0.06</v>
      </c>
      <c r="AV29" s="9">
        <v>0.42</v>
      </c>
      <c r="AW29" s="9">
        <v>0.32</v>
      </c>
      <c r="AX29" s="9">
        <v>0.36</v>
      </c>
      <c r="AY29" s="9">
        <v>0.42</v>
      </c>
      <c r="AZ29" s="9">
        <v>0.37</v>
      </c>
      <c r="BA29" s="9">
        <v>0.34</v>
      </c>
      <c r="BB29" s="9">
        <v>0.08</v>
      </c>
      <c r="BC29" s="9">
        <v>0.05</v>
      </c>
      <c r="BD29" s="9">
        <v>0.5</v>
      </c>
      <c r="BE29" s="9">
        <v>0.17</v>
      </c>
      <c r="BF29" s="9">
        <v>0.32</v>
      </c>
      <c r="BG29" s="9">
        <v>0.32</v>
      </c>
      <c r="BH29" s="9">
        <v>0.52</v>
      </c>
      <c r="BI29" s="9">
        <v>0.68</v>
      </c>
      <c r="BJ29" s="9">
        <v>0.27</v>
      </c>
      <c r="BK29" s="9">
        <v>0.51</v>
      </c>
      <c r="BL29" s="9">
        <v>0.56999999999999995</v>
      </c>
      <c r="BN29" s="59"/>
      <c r="BO29" s="59">
        <v>14.97683</v>
      </c>
      <c r="BP29" s="59">
        <v>15.32339</v>
      </c>
      <c r="BQ29" s="59">
        <v>15.6</v>
      </c>
      <c r="BR29" s="59">
        <v>15.6</v>
      </c>
      <c r="BS29" s="50">
        <v>15.5</v>
      </c>
      <c r="BT29" s="59">
        <v>15.8</v>
      </c>
      <c r="BU29" s="59">
        <v>15.76</v>
      </c>
      <c r="BV29" s="59">
        <v>15.94</v>
      </c>
      <c r="BW29" s="59">
        <v>16.12</v>
      </c>
      <c r="BX29" s="59">
        <v>16.34</v>
      </c>
      <c r="BY29" s="59">
        <v>16.8</v>
      </c>
      <c r="BZ29" s="59">
        <v>17.8</v>
      </c>
      <c r="CA29" s="60">
        <v>16.899999999999999</v>
      </c>
      <c r="CB29" s="59">
        <v>17.100000000000001</v>
      </c>
      <c r="CC29" s="59">
        <v>17.399999999999999</v>
      </c>
      <c r="CD29" s="50">
        <v>17.5</v>
      </c>
      <c r="CE29" s="59">
        <v>17.8</v>
      </c>
      <c r="CF29" s="59">
        <v>17.899999999999999</v>
      </c>
      <c r="CG29" s="59">
        <v>17.899999999999999</v>
      </c>
      <c r="CH29" s="59">
        <v>18.399999999999999</v>
      </c>
      <c r="CI29" s="59">
        <v>18.399999999999999</v>
      </c>
      <c r="CJ29" s="59">
        <v>18.8</v>
      </c>
      <c r="CK29" s="59">
        <v>18.8</v>
      </c>
      <c r="CL29" s="59">
        <v>19.3</v>
      </c>
      <c r="CM29" s="59">
        <v>19.3</v>
      </c>
      <c r="CN29" s="50">
        <v>19.8</v>
      </c>
      <c r="CO29" s="50"/>
      <c r="CP29" s="50"/>
      <c r="CQ29" s="50"/>
      <c r="CR29" s="50"/>
      <c r="CS29" s="50"/>
      <c r="CT29" s="50"/>
      <c r="CU29" s="50"/>
      <c r="CV29" s="50"/>
      <c r="CW29" s="50"/>
      <c r="CX29" s="50"/>
    </row>
    <row r="30" spans="2:102" x14ac:dyDescent="0.25">
      <c r="B30" s="14"/>
      <c r="D30" t="s">
        <v>63</v>
      </c>
      <c r="E30" s="50" t="s">
        <v>68</v>
      </c>
      <c r="I30" s="9">
        <v>6.6379999999999995E-2</v>
      </c>
      <c r="J30" s="9">
        <v>0.45600000000000002</v>
      </c>
      <c r="K30" s="9">
        <v>0.34</v>
      </c>
      <c r="L30" s="9">
        <v>0.33</v>
      </c>
      <c r="M30" s="9">
        <v>0.05</v>
      </c>
      <c r="N30" s="9">
        <v>0.12</v>
      </c>
      <c r="O30" s="9">
        <v>0.51600000000000001</v>
      </c>
      <c r="P30" s="9">
        <v>0.34</v>
      </c>
      <c r="Q30" s="9">
        <v>0.14000000000000001</v>
      </c>
      <c r="R30" s="9">
        <v>0.6</v>
      </c>
      <c r="S30" s="9">
        <v>0.28000000000000003</v>
      </c>
      <c r="T30" s="9">
        <v>0.16500000000000001</v>
      </c>
      <c r="U30" s="9">
        <v>1.06</v>
      </c>
      <c r="V30" s="9">
        <v>0.2</v>
      </c>
      <c r="W30" s="9">
        <v>0.36</v>
      </c>
      <c r="X30" s="9">
        <v>0.3</v>
      </c>
      <c r="Y30" s="9">
        <v>0.36</v>
      </c>
      <c r="Z30" s="9">
        <v>0.3</v>
      </c>
      <c r="AA30" s="9">
        <v>0.66</v>
      </c>
      <c r="AB30" s="9">
        <v>0.56999999999999995</v>
      </c>
      <c r="AC30" s="9">
        <v>0.41</v>
      </c>
      <c r="AD30" s="9">
        <v>0.23</v>
      </c>
      <c r="AE30" s="9">
        <v>0.41</v>
      </c>
      <c r="AF30" s="9">
        <v>0.18</v>
      </c>
      <c r="AG30" s="9">
        <v>0.32</v>
      </c>
      <c r="AH30" s="9">
        <v>0.34</v>
      </c>
      <c r="AI30" s="9">
        <v>0.33</v>
      </c>
      <c r="AJ30" s="9">
        <v>0.44</v>
      </c>
      <c r="AK30" s="9">
        <v>0.04</v>
      </c>
      <c r="AL30" s="9">
        <v>1.1000000000000001</v>
      </c>
      <c r="AM30" s="9">
        <v>0.46</v>
      </c>
      <c r="AN30" s="9">
        <v>0.37</v>
      </c>
      <c r="AO30" s="9">
        <v>0.62</v>
      </c>
      <c r="AP30" s="9">
        <v>0.79</v>
      </c>
      <c r="AQ30" s="9">
        <v>0.4</v>
      </c>
      <c r="AR30" s="9">
        <v>0.43</v>
      </c>
      <c r="AS30" s="9">
        <v>0.46</v>
      </c>
      <c r="AT30" s="9">
        <v>0.45</v>
      </c>
      <c r="AU30" s="9">
        <v>0.45</v>
      </c>
      <c r="AV30" s="9">
        <v>0.34</v>
      </c>
      <c r="AW30" s="9">
        <v>0.34</v>
      </c>
      <c r="AX30" s="9">
        <v>0.42</v>
      </c>
      <c r="AY30" s="9">
        <v>0.42</v>
      </c>
      <c r="AZ30" s="9">
        <v>0.43</v>
      </c>
      <c r="BA30" s="9">
        <v>0.4</v>
      </c>
      <c r="BB30" s="9">
        <v>0.11</v>
      </c>
      <c r="BC30" s="9">
        <v>0.54</v>
      </c>
      <c r="BD30" s="9">
        <v>0.39</v>
      </c>
      <c r="BE30" s="9">
        <v>0.2</v>
      </c>
      <c r="BF30" s="9">
        <v>0.31</v>
      </c>
      <c r="BG30" s="9">
        <v>0.59</v>
      </c>
      <c r="BH30" s="9">
        <v>0.55000000000000004</v>
      </c>
      <c r="BI30" s="9">
        <v>0.56999999999999995</v>
      </c>
      <c r="BJ30" s="9">
        <v>0.26</v>
      </c>
      <c r="BK30" s="9">
        <v>0.43</v>
      </c>
      <c r="BL30" s="9">
        <v>0.47</v>
      </c>
      <c r="BN30" s="59"/>
      <c r="BO30" s="59">
        <v>14.96425</v>
      </c>
      <c r="BP30" s="59">
        <v>15.321109999999999</v>
      </c>
      <c r="BQ30" s="59">
        <v>15.6</v>
      </c>
      <c r="BR30" s="50">
        <v>15.37</v>
      </c>
      <c r="BS30" s="59">
        <v>15.49</v>
      </c>
      <c r="BT30" s="59">
        <v>15.82</v>
      </c>
      <c r="BU30" s="59">
        <v>15.75</v>
      </c>
      <c r="BV30" s="59">
        <v>15.93</v>
      </c>
      <c r="BW30" s="59">
        <v>16.12</v>
      </c>
      <c r="BX30" s="59">
        <v>16.34</v>
      </c>
      <c r="BY30" s="59">
        <v>16.8</v>
      </c>
      <c r="BZ30" s="59">
        <v>17.8</v>
      </c>
      <c r="CA30" s="60">
        <v>17.899999999999999</v>
      </c>
      <c r="CB30" s="59">
        <v>17.100000000000001</v>
      </c>
      <c r="CC30" s="59">
        <v>17.399999999999999</v>
      </c>
      <c r="CD30" s="50">
        <v>17.5</v>
      </c>
      <c r="CE30" s="59">
        <v>17.8</v>
      </c>
      <c r="CF30" s="59">
        <v>17.899999999999999</v>
      </c>
      <c r="CG30" s="59">
        <v>17.899999999999999</v>
      </c>
      <c r="CH30" s="59">
        <v>18.3</v>
      </c>
      <c r="CI30" s="59">
        <v>18.3</v>
      </c>
      <c r="CJ30" s="59">
        <v>18.8</v>
      </c>
      <c r="CK30" s="59">
        <v>18.8</v>
      </c>
      <c r="CL30" s="59">
        <v>19.3</v>
      </c>
      <c r="CM30" s="59">
        <v>19.3</v>
      </c>
      <c r="CN30" s="50">
        <v>19.8</v>
      </c>
      <c r="CO30" s="50"/>
      <c r="CP30" s="50"/>
      <c r="CQ30" s="50"/>
      <c r="CR30" s="50"/>
      <c r="CS30" s="50"/>
      <c r="CT30" s="50"/>
      <c r="CU30" s="50"/>
      <c r="CV30" s="50"/>
      <c r="CW30" s="50"/>
      <c r="CX30" s="50"/>
    </row>
    <row r="31" spans="2:102" x14ac:dyDescent="0.25">
      <c r="B31" s="14"/>
      <c r="D31" t="s">
        <v>63</v>
      </c>
      <c r="E31" s="50" t="s">
        <v>69</v>
      </c>
      <c r="I31" s="9">
        <v>0.11458</v>
      </c>
      <c r="J31" s="9">
        <v>0.46600000000000003</v>
      </c>
      <c r="K31" s="9">
        <v>0.78800000000000003</v>
      </c>
      <c r="L31" s="9">
        <v>0.7</v>
      </c>
      <c r="M31" s="9">
        <v>0.76</v>
      </c>
      <c r="N31" s="9">
        <v>1.05</v>
      </c>
      <c r="O31" s="9">
        <v>0.63100000000000001</v>
      </c>
      <c r="P31" s="9">
        <v>0.67</v>
      </c>
      <c r="Q31" s="9">
        <v>0.7</v>
      </c>
      <c r="R31" s="9">
        <v>0.59</v>
      </c>
      <c r="S31" s="9">
        <v>0.72</v>
      </c>
      <c r="T31" s="9">
        <v>0.76900000000000002</v>
      </c>
      <c r="U31" s="9">
        <v>0.86</v>
      </c>
      <c r="V31" s="9">
        <v>0.88</v>
      </c>
      <c r="W31" s="9">
        <v>0.49</v>
      </c>
      <c r="X31" s="9">
        <v>0.6</v>
      </c>
      <c r="Y31" s="9">
        <v>0.8</v>
      </c>
      <c r="Z31" s="9">
        <v>0.86</v>
      </c>
      <c r="AA31" s="9">
        <v>0.35</v>
      </c>
      <c r="AB31" s="9">
        <v>0.68</v>
      </c>
      <c r="AC31" s="9">
        <v>0.72</v>
      </c>
      <c r="AD31" s="9">
        <v>0.87</v>
      </c>
      <c r="AE31" s="9">
        <v>0.88</v>
      </c>
      <c r="AF31" s="9">
        <v>0.99</v>
      </c>
      <c r="AG31" s="9">
        <v>1.02</v>
      </c>
      <c r="AH31" s="9">
        <v>1.03</v>
      </c>
      <c r="AI31" s="9">
        <v>0</v>
      </c>
      <c r="BN31" s="59"/>
      <c r="BO31" s="59">
        <v>14.713699999999999</v>
      </c>
      <c r="BP31" s="59">
        <v>15.23781</v>
      </c>
      <c r="BQ31" s="59">
        <v>15.3</v>
      </c>
      <c r="BR31" s="50">
        <v>15.03</v>
      </c>
      <c r="BS31" s="59">
        <v>15.03</v>
      </c>
      <c r="BT31" s="59">
        <v>15.68</v>
      </c>
      <c r="BU31" s="59">
        <v>15.5</v>
      </c>
      <c r="BV31" s="59">
        <v>15.5</v>
      </c>
      <c r="BW31" s="59">
        <v>15.96</v>
      </c>
      <c r="BX31" s="59">
        <v>15.96</v>
      </c>
      <c r="BY31" s="59">
        <v>16.14</v>
      </c>
      <c r="BZ31" s="59">
        <v>16.899999999999999</v>
      </c>
      <c r="CA31" s="60">
        <v>16.899999999999999</v>
      </c>
      <c r="CB31" s="59">
        <v>17.100000000000001</v>
      </c>
      <c r="CC31" s="59">
        <v>17.100000000000001</v>
      </c>
      <c r="CD31" s="50">
        <v>17.100000000000001</v>
      </c>
      <c r="CE31" s="59">
        <v>17.8</v>
      </c>
      <c r="CF31" s="59">
        <v>17.8</v>
      </c>
      <c r="CG31" s="59">
        <v>17.8</v>
      </c>
      <c r="CH31" s="59">
        <v>17.8</v>
      </c>
      <c r="CI31" s="59">
        <v>17.8</v>
      </c>
      <c r="CJ31" s="59">
        <v>17.8</v>
      </c>
      <c r="CK31" s="59">
        <v>17.8</v>
      </c>
      <c r="CL31" s="59">
        <v>17.8</v>
      </c>
      <c r="CM31" s="59">
        <v>17.8</v>
      </c>
      <c r="CN31" s="50">
        <v>17.8</v>
      </c>
      <c r="CO31" s="50"/>
      <c r="CP31" s="50"/>
      <c r="CQ31" s="50"/>
      <c r="CR31" s="50"/>
      <c r="CS31" s="50"/>
      <c r="CT31" s="50"/>
      <c r="CU31" s="50"/>
      <c r="CV31" s="50"/>
      <c r="CW31" s="50"/>
      <c r="CX31" s="50"/>
    </row>
    <row r="32" spans="2:102" x14ac:dyDescent="0.25">
      <c r="B32" s="14"/>
      <c r="D32" t="s">
        <v>63</v>
      </c>
      <c r="E32" s="50" t="s">
        <v>70</v>
      </c>
      <c r="I32" s="9">
        <v>0.82088000000000005</v>
      </c>
      <c r="J32" s="9">
        <v>0.79600000000000004</v>
      </c>
      <c r="K32" s="9">
        <v>1.1299999999999999</v>
      </c>
      <c r="L32" s="9">
        <v>1.2</v>
      </c>
      <c r="M32" s="9">
        <v>0.48</v>
      </c>
      <c r="N32" s="9">
        <v>0.54</v>
      </c>
      <c r="O32" s="9">
        <v>0.50600000000000001</v>
      </c>
      <c r="P32" s="9">
        <v>0.8</v>
      </c>
      <c r="Q32" s="9">
        <v>0.56000000000000005</v>
      </c>
      <c r="R32" s="9">
        <v>0.82</v>
      </c>
      <c r="S32" s="9">
        <v>0.87</v>
      </c>
      <c r="T32" s="9">
        <v>0.88800000000000001</v>
      </c>
      <c r="U32" s="9">
        <v>0.92</v>
      </c>
      <c r="V32" s="9">
        <v>1</v>
      </c>
      <c r="W32" s="9">
        <v>1.05</v>
      </c>
      <c r="X32" s="9">
        <v>0.35</v>
      </c>
      <c r="Y32" s="9">
        <v>0.74</v>
      </c>
      <c r="Z32" s="9">
        <v>0.84</v>
      </c>
      <c r="AA32" s="9">
        <v>1.02</v>
      </c>
      <c r="AB32" s="9">
        <v>1.05</v>
      </c>
      <c r="AC32" s="9">
        <v>0.9</v>
      </c>
      <c r="AD32" s="9">
        <v>1</v>
      </c>
      <c r="AE32" s="9">
        <v>1.01</v>
      </c>
      <c r="AF32" s="9">
        <v>1.02</v>
      </c>
      <c r="AG32" s="9">
        <v>1.04</v>
      </c>
      <c r="AH32" s="9">
        <v>1.1499999999999999</v>
      </c>
      <c r="AI32" s="9">
        <v>1.22</v>
      </c>
      <c r="AJ32" s="9">
        <v>1.26</v>
      </c>
      <c r="AK32" s="9">
        <v>1.99</v>
      </c>
      <c r="AL32" s="9"/>
      <c r="AM32" s="9"/>
      <c r="AN32" s="9"/>
      <c r="AO32" s="9"/>
      <c r="AP32" s="9"/>
      <c r="AQ32" s="9"/>
      <c r="AR32" s="9"/>
      <c r="AS32" s="9"/>
      <c r="AT32" s="9"/>
      <c r="AU32" s="9"/>
      <c r="AV32" s="9"/>
      <c r="AW32" s="9"/>
      <c r="BN32" s="59"/>
      <c r="BO32" s="59">
        <v>14.948740000000001</v>
      </c>
      <c r="BP32" s="59">
        <v>14.94903</v>
      </c>
      <c r="BQ32" s="59">
        <v>14.9</v>
      </c>
      <c r="BR32" s="50">
        <v>15.32</v>
      </c>
      <c r="BS32" s="59">
        <v>15.43</v>
      </c>
      <c r="BT32" s="59">
        <v>15.8</v>
      </c>
      <c r="BU32" s="59">
        <v>15.63</v>
      </c>
      <c r="BV32" s="59">
        <v>15.78</v>
      </c>
      <c r="BW32" s="59">
        <v>15.78</v>
      </c>
      <c r="BX32" s="59">
        <v>15.78</v>
      </c>
      <c r="BY32" s="59">
        <v>15.95</v>
      </c>
      <c r="BZ32" s="59">
        <v>16.7</v>
      </c>
      <c r="CA32" s="60">
        <v>16.7</v>
      </c>
      <c r="CB32" s="59">
        <v>15.8</v>
      </c>
      <c r="CC32" s="59">
        <v>17.2</v>
      </c>
      <c r="CD32" s="50">
        <v>17.2</v>
      </c>
      <c r="CE32" s="59">
        <v>17.2</v>
      </c>
      <c r="CF32" s="59">
        <v>17.2</v>
      </c>
      <c r="CG32" s="59">
        <v>17.2</v>
      </c>
      <c r="CH32" s="59">
        <v>18.2</v>
      </c>
      <c r="CI32" s="59">
        <v>18.2</v>
      </c>
      <c r="CJ32" s="59">
        <v>18.2</v>
      </c>
      <c r="CK32" s="59">
        <v>18.2</v>
      </c>
      <c r="CL32" s="59">
        <v>18.2</v>
      </c>
      <c r="CM32" s="59">
        <v>18.2</v>
      </c>
      <c r="CN32" s="50">
        <v>18.2</v>
      </c>
      <c r="CO32" s="50"/>
      <c r="CP32" s="50"/>
      <c r="CQ32" s="50"/>
      <c r="CR32" s="50"/>
      <c r="CS32" s="50"/>
      <c r="CT32" s="50"/>
      <c r="CU32" s="50"/>
      <c r="CV32" s="50"/>
      <c r="CW32" s="50"/>
      <c r="CX32" s="50"/>
    </row>
    <row r="33" spans="2:102" x14ac:dyDescent="0.25">
      <c r="B33" s="14"/>
      <c r="D33" t="s">
        <v>63</v>
      </c>
      <c r="E33" s="50" t="s">
        <v>71</v>
      </c>
      <c r="I33" s="9">
        <v>0.91256000000000004</v>
      </c>
      <c r="J33" s="9">
        <v>0.98</v>
      </c>
      <c r="K33" s="9">
        <v>1.05</v>
      </c>
      <c r="L33" s="9">
        <v>1.06</v>
      </c>
      <c r="M33" s="9">
        <v>0.56000000000000005</v>
      </c>
      <c r="N33" s="9">
        <v>0.82</v>
      </c>
      <c r="O33" s="9">
        <v>0.91300000000000003</v>
      </c>
      <c r="P33" s="9">
        <v>0.79</v>
      </c>
      <c r="Q33" s="9">
        <v>0.91</v>
      </c>
      <c r="R33" s="9">
        <v>0.94</v>
      </c>
      <c r="S33" s="9">
        <v>0.96</v>
      </c>
      <c r="T33" s="9">
        <v>0.72</v>
      </c>
      <c r="U33" s="9">
        <v>1.05</v>
      </c>
      <c r="V33" s="9">
        <v>0.59</v>
      </c>
      <c r="W33" s="9">
        <v>0.92</v>
      </c>
      <c r="X33" s="9">
        <v>0.98</v>
      </c>
      <c r="Y33" s="9">
        <v>1.42</v>
      </c>
      <c r="Z33" s="9">
        <v>0.39</v>
      </c>
      <c r="AA33" s="9">
        <v>0.68</v>
      </c>
      <c r="AB33" s="9">
        <v>0.78</v>
      </c>
      <c r="AC33" s="9">
        <v>0.82</v>
      </c>
      <c r="AD33" s="9">
        <v>0.96</v>
      </c>
      <c r="AE33" s="9">
        <v>0.96</v>
      </c>
      <c r="AF33" s="9">
        <v>0.18</v>
      </c>
      <c r="AG33" s="9">
        <v>0.55000000000000004</v>
      </c>
      <c r="AH33" s="9">
        <v>0.81</v>
      </c>
      <c r="AI33" s="9">
        <v>0.84</v>
      </c>
      <c r="AJ33" s="9">
        <v>0.95</v>
      </c>
      <c r="AK33" s="9">
        <v>0.15</v>
      </c>
      <c r="AL33" s="9">
        <v>0.2</v>
      </c>
      <c r="AM33" s="9">
        <v>0.52</v>
      </c>
      <c r="AN33" s="9">
        <v>0.56000000000000005</v>
      </c>
      <c r="AO33" s="9">
        <v>0.62</v>
      </c>
      <c r="AP33" s="9">
        <v>0.67</v>
      </c>
      <c r="AQ33" s="9">
        <v>0.74</v>
      </c>
      <c r="AR33" s="9">
        <v>0.76</v>
      </c>
      <c r="AS33" s="9">
        <v>0.83</v>
      </c>
      <c r="AT33" s="9">
        <v>0.86</v>
      </c>
      <c r="AU33" s="9">
        <v>0.86</v>
      </c>
      <c r="AV33" s="9">
        <v>1</v>
      </c>
      <c r="AW33" s="9">
        <v>1.04</v>
      </c>
      <c r="AX33" s="9">
        <v>0.86</v>
      </c>
      <c r="AY33" s="9">
        <v>0.95</v>
      </c>
      <c r="AZ33" s="9">
        <v>1.19</v>
      </c>
      <c r="BA33" s="9">
        <v>1.24</v>
      </c>
      <c r="BB33" s="9">
        <v>1.33</v>
      </c>
      <c r="BC33" s="9">
        <v>0.04</v>
      </c>
      <c r="BD33" s="9">
        <v>0.75</v>
      </c>
      <c r="BE33" s="9">
        <v>0.8</v>
      </c>
      <c r="BF33" s="9">
        <v>0.86</v>
      </c>
      <c r="BG33" s="9">
        <v>1.1000000000000001</v>
      </c>
      <c r="BH33" s="9">
        <v>1.1200000000000001</v>
      </c>
      <c r="BI33" s="9">
        <v>0.63</v>
      </c>
      <c r="BJ33" s="9">
        <v>1.02</v>
      </c>
      <c r="BK33" s="9">
        <v>2.65</v>
      </c>
      <c r="BL33" s="9">
        <v>2.73</v>
      </c>
      <c r="BN33" s="59"/>
      <c r="BO33" s="59">
        <v>14.325240000000001</v>
      </c>
      <c r="BP33" s="59">
        <v>14.325240000000001</v>
      </c>
      <c r="BQ33" s="59">
        <v>14.3</v>
      </c>
      <c r="BR33" s="50">
        <v>15.32</v>
      </c>
      <c r="BS33" s="59">
        <v>15.32</v>
      </c>
      <c r="BT33" s="59">
        <v>15.66</v>
      </c>
      <c r="BU33" s="59">
        <v>15.32</v>
      </c>
      <c r="BV33" s="59">
        <v>15.32</v>
      </c>
      <c r="BW33" s="59">
        <v>15.32</v>
      </c>
      <c r="BX33" s="59">
        <v>15.32</v>
      </c>
      <c r="BY33" s="59">
        <v>16.57</v>
      </c>
      <c r="BZ33" s="59">
        <v>17.399999999999999</v>
      </c>
      <c r="CA33" s="60">
        <v>17.899999999999999</v>
      </c>
      <c r="CB33" s="59">
        <v>16.899999999999999</v>
      </c>
      <c r="CC33" s="59">
        <v>16.899999999999999</v>
      </c>
      <c r="CD33" s="50">
        <v>16.899999999999999</v>
      </c>
      <c r="CE33" s="59">
        <v>17.7</v>
      </c>
      <c r="CF33" s="59">
        <v>17.8</v>
      </c>
      <c r="CG33" s="59">
        <v>17.8</v>
      </c>
      <c r="CH33" s="59">
        <v>17.8</v>
      </c>
      <c r="CI33" s="59">
        <v>17.8</v>
      </c>
      <c r="CJ33" s="59">
        <v>17.8</v>
      </c>
      <c r="CK33" s="59">
        <v>17.8</v>
      </c>
      <c r="CL33" s="59">
        <v>18.8</v>
      </c>
      <c r="CM33" s="59">
        <v>18.8</v>
      </c>
      <c r="CN33" s="50">
        <v>18.8</v>
      </c>
      <c r="CO33" s="50"/>
      <c r="CP33" s="50"/>
      <c r="CQ33" s="50"/>
      <c r="CR33" s="50"/>
      <c r="CS33" s="50"/>
      <c r="CT33" s="50"/>
      <c r="CU33" s="50"/>
      <c r="CV33" s="50"/>
      <c r="CW33" s="50"/>
      <c r="CX33" s="50"/>
    </row>
    <row r="34" spans="2:102" x14ac:dyDescent="0.25">
      <c r="B34" s="14"/>
      <c r="D34" t="s">
        <v>63</v>
      </c>
      <c r="E34" s="50" t="s">
        <v>72</v>
      </c>
      <c r="I34" s="9">
        <v>0.82765</v>
      </c>
      <c r="J34" s="9">
        <v>0.86099999999999999</v>
      </c>
      <c r="K34" s="9">
        <v>1.06</v>
      </c>
      <c r="L34" s="9">
        <v>1.08</v>
      </c>
      <c r="M34" s="9">
        <v>1.98</v>
      </c>
      <c r="N34" s="9">
        <v>0.71</v>
      </c>
      <c r="O34" s="9">
        <v>0.81699999999999995</v>
      </c>
      <c r="P34" s="9">
        <v>0.05</v>
      </c>
      <c r="Q34" s="9">
        <v>0.99</v>
      </c>
      <c r="R34" s="9">
        <v>0.56999999999999995</v>
      </c>
      <c r="S34" s="9">
        <v>0.75</v>
      </c>
      <c r="T34" s="9">
        <v>0.81100000000000005</v>
      </c>
      <c r="U34" s="9">
        <v>0.86</v>
      </c>
      <c r="V34" s="9">
        <v>0.9</v>
      </c>
      <c r="W34" s="9">
        <v>0.97</v>
      </c>
      <c r="X34" s="9">
        <v>1.38</v>
      </c>
      <c r="Y34" s="9">
        <v>0.41</v>
      </c>
      <c r="Z34" s="9">
        <v>0.52</v>
      </c>
      <c r="AA34" s="9">
        <v>0.6</v>
      </c>
      <c r="AB34" s="9">
        <v>0.63</v>
      </c>
      <c r="AC34" s="9">
        <v>0.66</v>
      </c>
      <c r="AD34" s="9">
        <v>0.71</v>
      </c>
      <c r="AE34" s="9">
        <v>1.1100000000000001</v>
      </c>
      <c r="AF34" s="9">
        <v>1.17</v>
      </c>
      <c r="AG34" s="9">
        <v>1.19</v>
      </c>
      <c r="AH34" s="9">
        <v>1.34</v>
      </c>
      <c r="AI34" s="9">
        <v>1.58</v>
      </c>
      <c r="AJ34" s="9">
        <v>1.62</v>
      </c>
      <c r="AK34" s="9">
        <v>0.14000000000000001</v>
      </c>
      <c r="AL34" s="9">
        <v>0.2</v>
      </c>
      <c r="AM34" s="9">
        <v>0.21</v>
      </c>
      <c r="AN34" s="9">
        <v>0.56000000000000005</v>
      </c>
      <c r="AO34" s="9">
        <v>0.61</v>
      </c>
      <c r="AP34" s="9">
        <v>0.73</v>
      </c>
      <c r="AQ34" s="9">
        <v>0.8</v>
      </c>
      <c r="AR34" s="9">
        <v>0.85</v>
      </c>
      <c r="AS34" s="9">
        <v>1</v>
      </c>
      <c r="AT34" s="9">
        <v>1</v>
      </c>
      <c r="AU34" s="9">
        <v>1</v>
      </c>
      <c r="AV34" s="9">
        <v>1.07</v>
      </c>
      <c r="AW34" s="9">
        <v>1.2</v>
      </c>
      <c r="AX34" s="9">
        <v>2.5499999999999998</v>
      </c>
      <c r="AY34" s="9">
        <v>2.58</v>
      </c>
      <c r="AZ34" s="9">
        <v>2.61</v>
      </c>
      <c r="BA34" s="9">
        <v>2.61</v>
      </c>
      <c r="BB34" s="9">
        <v>0</v>
      </c>
      <c r="BC34" s="9">
        <v>0</v>
      </c>
      <c r="BD34" s="9">
        <v>0</v>
      </c>
      <c r="BE34" s="9">
        <v>0</v>
      </c>
      <c r="BF34" s="9">
        <v>0</v>
      </c>
      <c r="BG34" s="9">
        <v>0</v>
      </c>
      <c r="BH34" s="9">
        <v>0</v>
      </c>
      <c r="BI34" s="9">
        <v>0</v>
      </c>
      <c r="BJ34" s="9">
        <v>0</v>
      </c>
      <c r="BK34" s="9">
        <v>0.62</v>
      </c>
      <c r="BL34" s="9">
        <v>0.88</v>
      </c>
      <c r="BN34" s="59"/>
      <c r="BO34" s="59">
        <v>13.89231</v>
      </c>
      <c r="BP34" s="59">
        <v>13.8924</v>
      </c>
      <c r="BQ34" s="59">
        <v>13.8</v>
      </c>
      <c r="BR34" s="50">
        <v>15.36</v>
      </c>
      <c r="BS34" s="59">
        <v>15.36</v>
      </c>
      <c r="BT34" s="59">
        <v>15.7</v>
      </c>
      <c r="BU34" s="59">
        <v>15.36</v>
      </c>
      <c r="BV34" s="59">
        <v>12.31</v>
      </c>
      <c r="BW34" s="59">
        <v>16.010000000000002</v>
      </c>
      <c r="BX34" s="59">
        <v>16.010000000000002</v>
      </c>
      <c r="BY34" s="59">
        <v>16.18</v>
      </c>
      <c r="BZ34" s="59">
        <v>16.899999999999999</v>
      </c>
      <c r="CA34" s="60">
        <v>16.899999999999999</v>
      </c>
      <c r="CB34" s="59">
        <v>16.100000000000001</v>
      </c>
      <c r="CC34" s="59">
        <v>16</v>
      </c>
      <c r="CD34" s="50">
        <v>17.5</v>
      </c>
      <c r="CE34" s="59">
        <v>17.5</v>
      </c>
      <c r="CF34" s="59">
        <v>17.5</v>
      </c>
      <c r="CG34" s="59">
        <v>17.5</v>
      </c>
      <c r="CH34" s="59">
        <v>17.5</v>
      </c>
      <c r="CI34" s="59">
        <v>17.5</v>
      </c>
      <c r="CJ34" s="59">
        <v>17.600000000000001</v>
      </c>
      <c r="CK34" s="59">
        <v>17.600000000000001</v>
      </c>
      <c r="CL34" s="59">
        <v>17.7</v>
      </c>
      <c r="CM34" s="59">
        <v>17.7</v>
      </c>
      <c r="CN34" s="50">
        <v>17.7</v>
      </c>
      <c r="CO34" s="50">
        <v>17.7</v>
      </c>
      <c r="CP34" s="50">
        <v>17.7</v>
      </c>
      <c r="CQ34" s="50">
        <v>17.8</v>
      </c>
      <c r="CR34" s="50">
        <v>17.8</v>
      </c>
      <c r="CS34" s="50">
        <v>17.899999999999999</v>
      </c>
      <c r="CT34" s="50"/>
      <c r="CU34" s="50"/>
      <c r="CV34" s="50"/>
      <c r="CW34" s="50"/>
      <c r="CX34" s="50"/>
    </row>
    <row r="35" spans="2:102" x14ac:dyDescent="0.25">
      <c r="B35" s="14"/>
      <c r="D35" t="s">
        <v>63</v>
      </c>
      <c r="E35" s="50" t="s">
        <v>73</v>
      </c>
      <c r="I35" s="9"/>
      <c r="J35" s="9"/>
      <c r="K35" s="9"/>
      <c r="L35" s="9"/>
      <c r="M35" s="9"/>
      <c r="N35" s="9">
        <v>3.28</v>
      </c>
      <c r="O35" s="9">
        <v>3.51</v>
      </c>
      <c r="P35" s="9">
        <v>0.88</v>
      </c>
      <c r="Q35" s="9">
        <v>0.72</v>
      </c>
      <c r="R35" s="9">
        <v>0.85</v>
      </c>
      <c r="S35" s="9">
        <v>0.85</v>
      </c>
      <c r="T35" s="9">
        <v>0.84499999999999997</v>
      </c>
      <c r="U35" s="9">
        <v>0.83</v>
      </c>
      <c r="V35" s="9">
        <v>0.05</v>
      </c>
      <c r="W35" s="9">
        <v>0.03</v>
      </c>
      <c r="X35" s="9">
        <v>0.04</v>
      </c>
      <c r="Y35" s="9">
        <v>0.04</v>
      </c>
      <c r="Z35" s="9">
        <v>0.39</v>
      </c>
      <c r="AA35" s="9">
        <v>0.85</v>
      </c>
      <c r="AB35" s="9">
        <v>1.61</v>
      </c>
      <c r="AC35" s="9">
        <v>1.87</v>
      </c>
      <c r="AD35" s="9">
        <v>0</v>
      </c>
      <c r="AE35" s="9">
        <v>0</v>
      </c>
      <c r="AF35" s="9">
        <v>0</v>
      </c>
      <c r="AG35" s="9">
        <v>0</v>
      </c>
      <c r="AH35" s="9">
        <v>0</v>
      </c>
      <c r="AI35" s="9">
        <v>0</v>
      </c>
      <c r="AJ35" s="9">
        <v>0</v>
      </c>
      <c r="AK35" s="9">
        <v>0</v>
      </c>
      <c r="AL35" s="9">
        <v>0</v>
      </c>
      <c r="AM35" s="9">
        <v>0</v>
      </c>
      <c r="AN35" s="9">
        <v>0</v>
      </c>
      <c r="AO35" s="9">
        <v>0</v>
      </c>
      <c r="AP35" s="9">
        <v>0</v>
      </c>
      <c r="AQ35" s="9">
        <v>0</v>
      </c>
      <c r="AR35" s="9">
        <v>0</v>
      </c>
      <c r="AS35" s="9">
        <v>0</v>
      </c>
      <c r="AT35" s="9">
        <v>0</v>
      </c>
      <c r="AU35" s="9">
        <v>0</v>
      </c>
      <c r="AV35" s="9">
        <v>0</v>
      </c>
      <c r="AW35" s="9">
        <v>0</v>
      </c>
      <c r="AX35" s="9">
        <v>0</v>
      </c>
      <c r="AY35" s="9">
        <v>0</v>
      </c>
      <c r="AZ35" s="9">
        <v>0</v>
      </c>
      <c r="BA35" s="9">
        <v>0</v>
      </c>
      <c r="BB35" s="9">
        <v>0</v>
      </c>
      <c r="BC35" s="9">
        <v>0</v>
      </c>
      <c r="BD35" s="9">
        <v>0</v>
      </c>
      <c r="BE35" s="9">
        <v>0</v>
      </c>
      <c r="BF35" s="9">
        <v>0</v>
      </c>
      <c r="BG35" s="9">
        <v>0</v>
      </c>
      <c r="BH35" s="9">
        <v>0</v>
      </c>
      <c r="BI35" s="9">
        <v>0</v>
      </c>
      <c r="BJ35" s="9">
        <v>0</v>
      </c>
      <c r="BK35" s="9">
        <v>0</v>
      </c>
      <c r="BL35" s="9">
        <v>0</v>
      </c>
      <c r="BN35" s="59"/>
      <c r="BO35" s="59"/>
      <c r="BP35" s="59"/>
      <c r="BQ35" s="59"/>
      <c r="BR35" s="50"/>
      <c r="BS35" s="59"/>
      <c r="BT35" s="59"/>
      <c r="BU35" s="59"/>
      <c r="BV35" s="59"/>
      <c r="BW35" s="59"/>
      <c r="BX35" s="59"/>
      <c r="BY35" s="59"/>
      <c r="BZ35" s="59"/>
      <c r="CA35" s="60"/>
      <c r="CB35" s="59"/>
      <c r="CC35" s="59"/>
      <c r="CD35" s="50"/>
    </row>
    <row r="36" spans="2:102" x14ac:dyDescent="0.25">
      <c r="B36" s="14"/>
      <c r="D36" t="s">
        <v>63</v>
      </c>
      <c r="E36" s="50" t="s">
        <v>74</v>
      </c>
      <c r="I36" s="9">
        <v>0.12765000000000001</v>
      </c>
      <c r="J36" s="9">
        <v>0.47099999999999997</v>
      </c>
      <c r="K36" s="9">
        <v>0.68</v>
      </c>
      <c r="L36" s="9">
        <v>0.45</v>
      </c>
      <c r="M36" s="9">
        <v>0.37</v>
      </c>
      <c r="N36" s="9">
        <v>0.28999999999999998</v>
      </c>
      <c r="O36" s="9">
        <v>0.59299999999999997</v>
      </c>
      <c r="P36" s="9">
        <v>0.51</v>
      </c>
      <c r="Q36" s="9">
        <v>0.56000000000000005</v>
      </c>
      <c r="R36" s="9">
        <v>0.39</v>
      </c>
      <c r="S36" s="9">
        <v>0.44</v>
      </c>
      <c r="T36" s="9">
        <v>0.45300000000000001</v>
      </c>
      <c r="U36" s="9">
        <v>0.76</v>
      </c>
      <c r="V36" s="9">
        <v>0.8</v>
      </c>
      <c r="W36" s="9">
        <v>0.7</v>
      </c>
      <c r="X36" s="9">
        <v>0.35</v>
      </c>
      <c r="Y36" s="9">
        <v>0.37</v>
      </c>
      <c r="Z36" s="9">
        <v>0.39</v>
      </c>
      <c r="AA36" s="9">
        <v>0.38</v>
      </c>
      <c r="AB36" s="9">
        <v>0.41</v>
      </c>
      <c r="AC36" s="9">
        <v>0.38</v>
      </c>
      <c r="AD36" s="9">
        <v>0.24</v>
      </c>
      <c r="AE36" s="9">
        <v>1</v>
      </c>
      <c r="AF36" s="9">
        <v>0.73</v>
      </c>
      <c r="AG36" s="9">
        <v>0.8</v>
      </c>
      <c r="AH36" s="9">
        <v>0.46</v>
      </c>
      <c r="AI36" s="9">
        <v>0.43</v>
      </c>
      <c r="AJ36" s="9">
        <v>0.55000000000000004</v>
      </c>
      <c r="AK36" s="9">
        <v>0.45</v>
      </c>
      <c r="AL36" s="9">
        <v>0.61</v>
      </c>
      <c r="AM36" s="9">
        <v>0.68</v>
      </c>
      <c r="AN36" s="9">
        <v>0.8</v>
      </c>
      <c r="AO36" s="9">
        <v>0.36</v>
      </c>
      <c r="AP36" s="9">
        <v>0.48</v>
      </c>
      <c r="AQ36" s="9">
        <v>0.49</v>
      </c>
      <c r="AR36" s="9">
        <v>0.99</v>
      </c>
      <c r="AS36" s="9">
        <v>1.01</v>
      </c>
      <c r="AT36" s="9">
        <v>0.92</v>
      </c>
      <c r="AU36" s="9">
        <v>0.92</v>
      </c>
      <c r="AV36" s="9">
        <v>0.82</v>
      </c>
      <c r="AW36" s="9">
        <v>0.68</v>
      </c>
      <c r="AX36" s="9">
        <v>0.55000000000000004</v>
      </c>
      <c r="AY36" s="9">
        <v>0.56000000000000005</v>
      </c>
      <c r="AZ36" s="9">
        <v>0.54</v>
      </c>
      <c r="BA36" s="9">
        <v>0.9</v>
      </c>
      <c r="BB36" s="9">
        <v>0.97</v>
      </c>
      <c r="BC36" s="9">
        <v>1.57</v>
      </c>
      <c r="BD36" s="9">
        <v>0.13</v>
      </c>
      <c r="BE36" s="9">
        <v>0.54</v>
      </c>
      <c r="BF36" s="9">
        <v>0.45</v>
      </c>
      <c r="BG36" s="9">
        <v>0.64</v>
      </c>
      <c r="BH36" s="9">
        <v>0.71</v>
      </c>
      <c r="BI36" s="9">
        <v>0.78</v>
      </c>
      <c r="BJ36" s="9">
        <v>0.74</v>
      </c>
      <c r="BK36" s="9">
        <v>0.74</v>
      </c>
      <c r="BL36" s="9">
        <v>1.07</v>
      </c>
      <c r="BN36" s="59"/>
      <c r="BO36" s="59">
        <v>14.819850000000001</v>
      </c>
      <c r="BP36" s="59">
        <v>15.274369999999999</v>
      </c>
      <c r="BQ36" s="59">
        <v>15.4</v>
      </c>
      <c r="BR36" s="50">
        <v>15.26</v>
      </c>
      <c r="BS36" s="59">
        <v>15.48</v>
      </c>
      <c r="BT36" s="59">
        <v>15.8</v>
      </c>
      <c r="BU36" s="59">
        <v>15.7</v>
      </c>
      <c r="BV36" s="59">
        <v>15.88</v>
      </c>
      <c r="BW36" s="59">
        <v>16.05</v>
      </c>
      <c r="BX36" s="59">
        <v>16.239999999999998</v>
      </c>
      <c r="BY36" s="59">
        <v>16.579999999999998</v>
      </c>
      <c r="BZ36" s="59">
        <v>17.7</v>
      </c>
      <c r="CA36" s="60">
        <v>17.8</v>
      </c>
      <c r="CB36" s="59">
        <v>17.100000000000001</v>
      </c>
      <c r="CC36" s="59">
        <v>17.399999999999999</v>
      </c>
      <c r="CD36" s="50">
        <v>17.5</v>
      </c>
      <c r="CE36" s="59">
        <v>17.7</v>
      </c>
      <c r="CF36" s="59">
        <v>17.899999999999999</v>
      </c>
      <c r="CG36" s="59">
        <v>17.899999999999999</v>
      </c>
      <c r="CH36" s="59">
        <v>18.3</v>
      </c>
      <c r="CI36" s="59">
        <v>18.3</v>
      </c>
      <c r="CJ36" s="59">
        <v>18.7</v>
      </c>
      <c r="CK36" s="59">
        <v>18.7</v>
      </c>
      <c r="CL36" s="59">
        <v>19.3</v>
      </c>
      <c r="CM36" s="59">
        <v>19.3</v>
      </c>
      <c r="CN36" s="50">
        <v>19.5</v>
      </c>
      <c r="CO36" s="50">
        <v>19.5</v>
      </c>
      <c r="CP36" s="50">
        <v>19.600000000000001</v>
      </c>
      <c r="CQ36" s="50">
        <v>19.7</v>
      </c>
      <c r="CR36" s="50">
        <v>19.8</v>
      </c>
      <c r="CS36" s="50">
        <v>19.8</v>
      </c>
      <c r="CT36" s="50"/>
      <c r="CU36" s="50"/>
      <c r="CV36" s="50"/>
      <c r="CW36" s="50"/>
      <c r="CX36" s="50"/>
    </row>
    <row r="37" spans="2:102" x14ac:dyDescent="0.25">
      <c r="B37" s="14"/>
      <c r="D37" t="s">
        <v>63</v>
      </c>
      <c r="E37" s="50" t="s">
        <v>75</v>
      </c>
      <c r="I37" s="9"/>
      <c r="J37" s="9"/>
      <c r="K37" s="9"/>
      <c r="L37" s="9"/>
      <c r="M37" s="9">
        <v>0</v>
      </c>
      <c r="N37" s="9">
        <v>0.14000000000000001</v>
      </c>
      <c r="O37" s="9">
        <v>0.32100000000000001</v>
      </c>
      <c r="P37" s="9">
        <v>0.33</v>
      </c>
      <c r="Q37" s="9">
        <v>0.44</v>
      </c>
      <c r="R37" s="9">
        <v>0.56000000000000005</v>
      </c>
      <c r="S37" s="9">
        <v>0.56000000000000005</v>
      </c>
      <c r="T37" s="9">
        <v>0.60799999999999998</v>
      </c>
      <c r="U37" s="9">
        <v>0.61</v>
      </c>
      <c r="V37" s="9">
        <v>0.56999999999999995</v>
      </c>
      <c r="W37" s="9">
        <v>0.67</v>
      </c>
      <c r="X37" s="9">
        <v>0.69</v>
      </c>
      <c r="Y37" s="9">
        <v>0.47</v>
      </c>
      <c r="Z37" s="9">
        <v>0.54</v>
      </c>
      <c r="AA37" s="9">
        <v>0.68</v>
      </c>
      <c r="AB37" s="9">
        <v>0.69</v>
      </c>
      <c r="AC37" s="9">
        <v>0.78</v>
      </c>
      <c r="AD37" s="9">
        <v>0.82</v>
      </c>
      <c r="AE37" s="9">
        <v>0.83</v>
      </c>
      <c r="AF37" s="9">
        <v>0.84</v>
      </c>
      <c r="AG37" s="9">
        <v>0.86</v>
      </c>
      <c r="AH37" s="9">
        <v>0.46</v>
      </c>
      <c r="AI37" s="9">
        <v>0.46</v>
      </c>
      <c r="AJ37" s="9">
        <v>0.38</v>
      </c>
      <c r="AK37" s="9">
        <v>0.31</v>
      </c>
      <c r="AL37" s="9">
        <v>0.45</v>
      </c>
      <c r="AM37" s="9">
        <v>0.56999999999999995</v>
      </c>
      <c r="AN37" s="9">
        <v>0.69</v>
      </c>
      <c r="AO37" s="9">
        <v>0.73</v>
      </c>
      <c r="AP37" s="9">
        <v>0</v>
      </c>
      <c r="AQ37" s="9">
        <v>0</v>
      </c>
      <c r="AR37" s="9">
        <v>0</v>
      </c>
      <c r="AS37" s="9">
        <v>0</v>
      </c>
      <c r="AT37" s="9">
        <v>0</v>
      </c>
      <c r="AU37" s="9">
        <v>0</v>
      </c>
      <c r="AV37" s="9">
        <v>0</v>
      </c>
      <c r="AW37" s="9">
        <v>0</v>
      </c>
      <c r="AX37" s="9">
        <v>0</v>
      </c>
      <c r="AY37" s="9">
        <v>0</v>
      </c>
      <c r="AZ37" s="9">
        <v>0</v>
      </c>
      <c r="BA37" s="9">
        <v>0</v>
      </c>
      <c r="BB37" s="9">
        <v>0</v>
      </c>
      <c r="BC37" s="9">
        <v>0</v>
      </c>
      <c r="BD37" s="9">
        <v>0</v>
      </c>
      <c r="BE37" s="9">
        <v>0</v>
      </c>
      <c r="BF37" s="9">
        <v>0</v>
      </c>
      <c r="BG37" s="9">
        <v>0</v>
      </c>
      <c r="BH37" s="9">
        <v>0</v>
      </c>
      <c r="BI37" s="9">
        <v>0</v>
      </c>
      <c r="BJ37" s="9">
        <v>0</v>
      </c>
      <c r="BK37" s="9">
        <v>0</v>
      </c>
      <c r="BL37" s="9">
        <v>0</v>
      </c>
      <c r="BN37" s="59"/>
      <c r="BO37" s="59"/>
      <c r="BP37" s="59"/>
      <c r="BQ37" s="59"/>
      <c r="BR37" s="59"/>
      <c r="BS37" s="59"/>
      <c r="BT37" s="59">
        <v>15.66</v>
      </c>
      <c r="BU37" s="59">
        <v>15.49</v>
      </c>
      <c r="BV37" s="59">
        <v>15.49</v>
      </c>
      <c r="BW37" s="59">
        <v>15.49</v>
      </c>
      <c r="BX37" s="59">
        <v>15.49</v>
      </c>
      <c r="BY37" s="59">
        <v>15.66</v>
      </c>
      <c r="BZ37" s="59">
        <v>16.399999999999999</v>
      </c>
      <c r="CA37" s="60">
        <v>17.8</v>
      </c>
      <c r="CB37" s="59">
        <v>16.899999999999999</v>
      </c>
      <c r="CC37" s="59">
        <v>16.8</v>
      </c>
      <c r="CD37" s="50">
        <v>17.399999999999999</v>
      </c>
      <c r="CE37" s="59">
        <v>17.399999999999999</v>
      </c>
      <c r="CF37" s="59">
        <v>17.399999999999999</v>
      </c>
      <c r="CG37" s="59">
        <v>17.399999999999999</v>
      </c>
      <c r="CH37" s="59">
        <v>17.399999999999999</v>
      </c>
      <c r="CI37" s="59">
        <v>17.399999999999999</v>
      </c>
      <c r="CJ37" s="59">
        <v>17.399999999999999</v>
      </c>
      <c r="CK37" s="59">
        <v>17.399999999999999</v>
      </c>
      <c r="CL37" s="59">
        <v>19.2</v>
      </c>
      <c r="CM37" s="59">
        <v>19.2</v>
      </c>
      <c r="CN37" s="50">
        <v>19.399999999999999</v>
      </c>
      <c r="CO37" s="50">
        <v>19.5</v>
      </c>
      <c r="CP37" s="50">
        <v>19.5</v>
      </c>
      <c r="CQ37" s="50">
        <v>19.5</v>
      </c>
      <c r="CR37" s="50">
        <v>19.5</v>
      </c>
      <c r="CS37" s="50">
        <v>19.600000000000001</v>
      </c>
      <c r="CT37" s="50"/>
      <c r="CU37" s="50"/>
      <c r="CV37" s="50"/>
      <c r="CW37" s="50"/>
      <c r="CX37" s="50"/>
    </row>
    <row r="38" spans="2:102" x14ac:dyDescent="0.25">
      <c r="B38" s="14"/>
      <c r="D38" t="s">
        <v>63</v>
      </c>
      <c r="E38" s="50" t="s">
        <v>76</v>
      </c>
      <c r="I38" s="9">
        <v>8.0149999999999999E-2</v>
      </c>
      <c r="J38" s="9">
        <v>0.45800000000000002</v>
      </c>
      <c r="K38" s="9">
        <v>0.45</v>
      </c>
      <c r="L38" s="9">
        <v>0.35</v>
      </c>
      <c r="M38" s="9">
        <v>0.35</v>
      </c>
      <c r="N38" s="9">
        <v>0.36</v>
      </c>
      <c r="O38" s="9">
        <v>0.39300000000000002</v>
      </c>
      <c r="P38" s="9">
        <v>0.4</v>
      </c>
      <c r="Q38" s="9">
        <v>0.38</v>
      </c>
      <c r="R38" s="9">
        <v>0.41</v>
      </c>
      <c r="S38" s="9">
        <v>0.4</v>
      </c>
      <c r="T38" s="9">
        <v>0.52100000000000002</v>
      </c>
      <c r="U38" s="9">
        <v>0.7</v>
      </c>
      <c r="V38" s="9">
        <v>0.55000000000000004</v>
      </c>
      <c r="W38" s="9">
        <v>0.39</v>
      </c>
      <c r="X38" s="9">
        <v>0.31</v>
      </c>
      <c r="Y38" s="9">
        <v>0.4</v>
      </c>
      <c r="Z38" s="9">
        <v>0.39</v>
      </c>
      <c r="AA38" s="9">
        <v>0.43</v>
      </c>
      <c r="AB38" s="9">
        <v>0.43</v>
      </c>
      <c r="AC38" s="9">
        <v>0.42</v>
      </c>
      <c r="AD38" s="9">
        <v>0.53</v>
      </c>
      <c r="AE38" s="9">
        <v>0.5</v>
      </c>
      <c r="AF38" s="9">
        <v>0.54</v>
      </c>
      <c r="AG38" s="9">
        <v>0.62</v>
      </c>
      <c r="AH38" s="9">
        <v>0.49</v>
      </c>
      <c r="AI38" s="9">
        <v>0.4</v>
      </c>
      <c r="AJ38" s="9">
        <v>0.64</v>
      </c>
      <c r="AK38" s="9">
        <v>0.37</v>
      </c>
      <c r="AL38" s="9">
        <v>0.56999999999999995</v>
      </c>
      <c r="AM38" s="9">
        <v>1.05</v>
      </c>
      <c r="AN38" s="9">
        <v>0.43</v>
      </c>
      <c r="AO38" s="9">
        <v>0.96</v>
      </c>
      <c r="AP38" s="9">
        <v>0.92</v>
      </c>
      <c r="AQ38" s="9">
        <v>0.57999999999999996</v>
      </c>
      <c r="AR38" s="9">
        <v>0.89</v>
      </c>
      <c r="AS38" s="9">
        <v>0.89</v>
      </c>
      <c r="AT38" s="9">
        <v>7.0000000000000007E-2</v>
      </c>
      <c r="AU38" s="9">
        <v>7.0000000000000007E-2</v>
      </c>
      <c r="AV38" s="9">
        <v>0.2</v>
      </c>
      <c r="AW38" s="9">
        <v>0.43</v>
      </c>
      <c r="AX38" s="9">
        <v>0.7</v>
      </c>
      <c r="AY38" s="9">
        <v>0.52</v>
      </c>
      <c r="AZ38" s="9">
        <v>0.55000000000000004</v>
      </c>
      <c r="BA38" s="9">
        <v>0.57999999999999996</v>
      </c>
      <c r="BB38" s="9">
        <v>0.59</v>
      </c>
      <c r="BC38" s="9">
        <v>0.65</v>
      </c>
      <c r="BD38" s="9">
        <v>0.15</v>
      </c>
      <c r="BE38" s="9">
        <v>0.42</v>
      </c>
      <c r="BF38" s="9">
        <v>0.87</v>
      </c>
      <c r="BG38" s="9">
        <v>1.39</v>
      </c>
      <c r="BH38" s="9">
        <v>1.42</v>
      </c>
      <c r="BI38" s="9">
        <v>1.54</v>
      </c>
      <c r="BJ38" s="9">
        <v>1.46</v>
      </c>
      <c r="BK38" s="9">
        <v>1.36</v>
      </c>
      <c r="BL38" s="9">
        <v>1.38</v>
      </c>
      <c r="BN38" s="59"/>
      <c r="BO38" s="59">
        <v>14.835610000000001</v>
      </c>
      <c r="BP38" s="59">
        <v>15.307029999999999</v>
      </c>
      <c r="BQ38" s="59">
        <v>15.4</v>
      </c>
      <c r="BR38" s="59">
        <v>15.32</v>
      </c>
      <c r="BS38" s="59">
        <v>15.45</v>
      </c>
      <c r="BT38" s="59">
        <v>15.78</v>
      </c>
      <c r="BU38" s="59">
        <v>15.73</v>
      </c>
      <c r="BV38" s="59">
        <v>15.92</v>
      </c>
      <c r="BW38" s="59">
        <v>16.07</v>
      </c>
      <c r="BX38" s="59">
        <v>16.239999999999998</v>
      </c>
      <c r="BY38" s="59">
        <v>16.760000000000002</v>
      </c>
      <c r="BZ38" s="59">
        <v>17.600000000000001</v>
      </c>
      <c r="CA38" s="60">
        <v>17.899999999999999</v>
      </c>
      <c r="CB38" s="59">
        <v>17.100000000000001</v>
      </c>
      <c r="CC38" s="59">
        <v>17.399999999999999</v>
      </c>
      <c r="CD38" s="50">
        <v>17.5</v>
      </c>
      <c r="CE38" s="59">
        <v>17.7</v>
      </c>
      <c r="CF38" s="59">
        <v>17.899999999999999</v>
      </c>
      <c r="CG38" s="59">
        <v>17.899999999999999</v>
      </c>
      <c r="CH38" s="59">
        <v>17.899999999999999</v>
      </c>
      <c r="CI38" s="59">
        <v>17.899999999999999</v>
      </c>
      <c r="CJ38" s="59">
        <v>18.7</v>
      </c>
      <c r="CK38" s="59">
        <v>18.7</v>
      </c>
      <c r="CL38" s="59">
        <v>19.2</v>
      </c>
      <c r="CM38" s="59">
        <v>19.2</v>
      </c>
      <c r="CN38" s="50">
        <v>19.600000000000001</v>
      </c>
      <c r="CO38" s="50">
        <v>19.600000000000001</v>
      </c>
      <c r="CP38" s="50">
        <v>19.600000000000001</v>
      </c>
      <c r="CQ38" s="50">
        <v>19.600000000000001</v>
      </c>
      <c r="CR38" s="50">
        <v>19.600000000000001</v>
      </c>
      <c r="CS38" s="50">
        <v>19.600000000000001</v>
      </c>
      <c r="CT38" s="50"/>
      <c r="CU38" s="50"/>
      <c r="CV38" s="50"/>
      <c r="CW38" s="50"/>
      <c r="CX38" s="50"/>
    </row>
    <row r="39" spans="2:102" x14ac:dyDescent="0.25">
      <c r="B39" s="14"/>
      <c r="D39" t="s">
        <v>63</v>
      </c>
      <c r="E39" s="50" t="s">
        <v>316</v>
      </c>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v>0</v>
      </c>
      <c r="AM39" s="9">
        <v>0.16</v>
      </c>
      <c r="AN39" s="9">
        <v>0.18</v>
      </c>
      <c r="AO39" s="9">
        <v>0.61</v>
      </c>
      <c r="AP39" s="9">
        <v>1.03</v>
      </c>
      <c r="AQ39" s="9">
        <v>0.71</v>
      </c>
      <c r="AR39" s="9">
        <v>0.78</v>
      </c>
      <c r="AS39" s="9">
        <v>1.03</v>
      </c>
      <c r="AT39" s="9">
        <v>1.31</v>
      </c>
      <c r="AU39" s="9">
        <v>1.31</v>
      </c>
      <c r="AV39" s="9">
        <v>0.35</v>
      </c>
      <c r="AW39" s="9">
        <v>0.74</v>
      </c>
      <c r="AX39" s="9">
        <v>0.83</v>
      </c>
      <c r="AY39" s="9">
        <v>0.89</v>
      </c>
      <c r="AZ39" s="9">
        <v>0.93</v>
      </c>
      <c r="BA39" s="9">
        <v>0.94</v>
      </c>
      <c r="BB39" s="9">
        <v>1.17</v>
      </c>
      <c r="BC39" s="9">
        <v>1.22</v>
      </c>
      <c r="BD39" s="9">
        <v>0</v>
      </c>
      <c r="BE39" s="9">
        <v>0</v>
      </c>
      <c r="BF39" s="9">
        <v>0</v>
      </c>
      <c r="BG39" s="9">
        <v>0</v>
      </c>
      <c r="BH39" s="9">
        <v>0</v>
      </c>
      <c r="BI39" s="9">
        <v>0</v>
      </c>
      <c r="BJ39" s="9">
        <v>0</v>
      </c>
      <c r="BK39" s="9">
        <v>0</v>
      </c>
      <c r="BL39" s="9">
        <v>0</v>
      </c>
      <c r="BN39" s="59"/>
      <c r="BO39" s="59"/>
      <c r="BP39" s="59"/>
      <c r="BQ39" s="59"/>
      <c r="BR39" s="59"/>
      <c r="BS39" s="59"/>
      <c r="BT39" s="59"/>
      <c r="BU39" s="59"/>
      <c r="BV39" s="59"/>
      <c r="BW39" s="59"/>
      <c r="BX39" s="59"/>
      <c r="BY39" s="59"/>
      <c r="BZ39" s="59"/>
      <c r="CA39" s="60"/>
      <c r="CB39" s="59"/>
      <c r="CC39" s="59"/>
      <c r="CD39" s="50"/>
      <c r="CE39" s="59"/>
      <c r="CF39" s="59"/>
      <c r="CG39" s="59"/>
      <c r="CH39" s="59"/>
      <c r="CI39" s="59"/>
      <c r="CJ39" s="59"/>
      <c r="CK39" s="59"/>
      <c r="CL39" s="59"/>
      <c r="CM39" s="59"/>
      <c r="CN39" s="50"/>
      <c r="CO39" s="50"/>
      <c r="CP39" s="50"/>
      <c r="CQ39" s="50"/>
      <c r="CR39" s="50"/>
      <c r="CS39" s="50"/>
      <c r="CT39" s="50"/>
      <c r="CU39" s="50"/>
      <c r="CV39" s="50"/>
      <c r="CW39" s="50"/>
      <c r="CX39" s="50"/>
    </row>
    <row r="40" spans="2:102" x14ac:dyDescent="0.25">
      <c r="B40" s="14"/>
      <c r="D40" t="s">
        <v>63</v>
      </c>
      <c r="E40" s="50" t="s">
        <v>356</v>
      </c>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v>0.7</v>
      </c>
      <c r="AX40" s="9">
        <v>0.83</v>
      </c>
      <c r="AY40" s="9">
        <v>0.56000000000000005</v>
      </c>
      <c r="AZ40" s="9">
        <v>0.66</v>
      </c>
      <c r="BA40" s="9">
        <v>0.73</v>
      </c>
      <c r="BB40" s="9">
        <v>0.76</v>
      </c>
      <c r="BC40" s="9">
        <v>0.9</v>
      </c>
      <c r="BD40" s="9">
        <v>1.43</v>
      </c>
      <c r="BE40" s="9">
        <v>1</v>
      </c>
      <c r="BF40" s="9">
        <v>1.43</v>
      </c>
      <c r="BG40" s="9">
        <v>1.61</v>
      </c>
      <c r="BH40" s="9">
        <v>1.66</v>
      </c>
      <c r="BI40" s="9">
        <v>1.72</v>
      </c>
      <c r="BJ40" s="9">
        <v>1.63</v>
      </c>
      <c r="BK40" s="9">
        <v>1.52</v>
      </c>
      <c r="BL40" s="9">
        <v>1.55</v>
      </c>
      <c r="BN40" s="59"/>
      <c r="BO40" s="59"/>
      <c r="BP40" s="59"/>
      <c r="BQ40" s="59"/>
      <c r="BR40" s="59"/>
      <c r="BS40" s="59"/>
      <c r="BT40" s="59"/>
      <c r="BU40" s="59"/>
      <c r="BV40" s="59"/>
      <c r="BW40" s="59"/>
      <c r="BX40" s="59"/>
      <c r="BY40" s="59"/>
      <c r="BZ40" s="59"/>
      <c r="CA40" s="60"/>
      <c r="CB40" s="59"/>
      <c r="CC40" s="59"/>
      <c r="CD40" s="50"/>
      <c r="CE40" s="59"/>
      <c r="CF40" s="59"/>
      <c r="CG40" s="59"/>
      <c r="CH40" s="59"/>
      <c r="CI40" s="59"/>
      <c r="CJ40" s="59"/>
      <c r="CK40" s="59"/>
      <c r="CL40" s="59"/>
      <c r="CM40" s="59"/>
      <c r="CN40" s="50"/>
      <c r="CO40" s="50"/>
      <c r="CP40" s="50"/>
      <c r="CQ40" s="50"/>
      <c r="CR40" s="50"/>
      <c r="CS40" s="50"/>
      <c r="CT40" s="50"/>
      <c r="CU40" s="50"/>
      <c r="CV40" s="50"/>
      <c r="CW40" s="50"/>
      <c r="CX40" s="50"/>
    </row>
    <row r="41" spans="2:102" x14ac:dyDescent="0.25">
      <c r="B41" s="14"/>
      <c r="D41" t="s">
        <v>63</v>
      </c>
      <c r="E41" s="50" t="s">
        <v>77</v>
      </c>
      <c r="I41" s="9">
        <v>3.62</v>
      </c>
      <c r="J41" s="9">
        <v>3.79</v>
      </c>
      <c r="K41" s="9">
        <v>3.89</v>
      </c>
      <c r="L41" s="9">
        <v>3.93</v>
      </c>
      <c r="M41" s="9">
        <v>3.98</v>
      </c>
      <c r="N41" s="9">
        <v>3.99</v>
      </c>
      <c r="O41" s="9">
        <v>4.1399999999999997</v>
      </c>
      <c r="P41" s="9">
        <v>2.67</v>
      </c>
      <c r="Q41" s="9">
        <v>2.54</v>
      </c>
      <c r="R41" s="9">
        <v>2.58</v>
      </c>
      <c r="S41" s="9">
        <v>2.39</v>
      </c>
      <c r="T41" s="9">
        <v>3.08</v>
      </c>
      <c r="U41" s="9">
        <v>4.24</v>
      </c>
      <c r="V41" s="9">
        <v>3.61</v>
      </c>
      <c r="W41" s="9">
        <v>2.86</v>
      </c>
      <c r="X41" s="9">
        <v>2.93</v>
      </c>
      <c r="Y41" s="9">
        <v>3.02</v>
      </c>
      <c r="Z41" s="9">
        <v>3.04</v>
      </c>
      <c r="AA41" s="9">
        <v>3.09</v>
      </c>
      <c r="AB41" s="9">
        <v>3.03</v>
      </c>
      <c r="AC41" s="9">
        <v>3.03</v>
      </c>
      <c r="AD41" s="9">
        <v>2.95</v>
      </c>
      <c r="AE41" s="9">
        <v>2.91</v>
      </c>
      <c r="AF41" s="9">
        <v>2.91</v>
      </c>
      <c r="AG41" s="9">
        <v>2.91</v>
      </c>
      <c r="AH41" s="9">
        <v>2.93</v>
      </c>
      <c r="AI41" s="9">
        <v>2.91</v>
      </c>
      <c r="AJ41" s="9">
        <v>2.93</v>
      </c>
      <c r="AK41" s="9">
        <v>3.03</v>
      </c>
      <c r="AL41" s="9">
        <v>2.48</v>
      </c>
      <c r="AM41" s="9">
        <v>2.52</v>
      </c>
      <c r="AN41" s="9">
        <v>2.5299999999999998</v>
      </c>
      <c r="AO41" s="9">
        <v>2.2200000000000002</v>
      </c>
      <c r="AP41" s="9">
        <v>2.16</v>
      </c>
      <c r="AQ41" s="9">
        <v>2.21</v>
      </c>
      <c r="AR41" s="9">
        <v>2.23</v>
      </c>
      <c r="AS41" s="9">
        <v>2.1800000000000002</v>
      </c>
      <c r="AT41" s="9">
        <v>2.19</v>
      </c>
      <c r="AU41" s="9">
        <v>2.19</v>
      </c>
      <c r="AV41" s="9">
        <v>2.15</v>
      </c>
      <c r="AW41" s="9">
        <v>2.16</v>
      </c>
      <c r="AX41" s="9">
        <v>2.16</v>
      </c>
      <c r="AY41" s="9">
        <v>2.17</v>
      </c>
      <c r="AZ41" s="9">
        <v>2.16</v>
      </c>
      <c r="BA41" s="9">
        <v>2.14</v>
      </c>
      <c r="BB41" s="9">
        <v>2.15</v>
      </c>
      <c r="BC41" s="9">
        <v>2.11</v>
      </c>
      <c r="BD41" s="9">
        <v>2.1</v>
      </c>
      <c r="BE41" s="9">
        <v>2.1</v>
      </c>
      <c r="BF41" s="9">
        <v>2.08</v>
      </c>
      <c r="BG41" s="9">
        <v>2.0499999999999998</v>
      </c>
      <c r="BH41" s="9">
        <v>2.04</v>
      </c>
      <c r="BI41" s="9">
        <v>2.0299999999999998</v>
      </c>
      <c r="BJ41" s="9">
        <v>1.69</v>
      </c>
      <c r="BK41" s="9">
        <v>1.71</v>
      </c>
      <c r="BL41" s="9">
        <v>1.71</v>
      </c>
      <c r="BN41" s="59"/>
      <c r="BO41" s="59">
        <v>8.1</v>
      </c>
      <c r="BP41" s="59">
        <v>7.8</v>
      </c>
      <c r="BQ41" s="59">
        <v>7.8</v>
      </c>
      <c r="BR41" s="59">
        <v>7.8</v>
      </c>
      <c r="BS41" s="59">
        <v>7.8</v>
      </c>
      <c r="BT41" s="59">
        <v>8.4</v>
      </c>
      <c r="BU41" s="59">
        <v>8.4</v>
      </c>
      <c r="BV41" s="59">
        <v>8.4</v>
      </c>
      <c r="BW41" s="59">
        <v>8.14</v>
      </c>
      <c r="BX41" s="59">
        <v>8.14</v>
      </c>
      <c r="BY41" s="59">
        <v>9.99</v>
      </c>
      <c r="BZ41" s="59">
        <v>10.1</v>
      </c>
      <c r="CA41" s="60">
        <v>10.1</v>
      </c>
      <c r="CB41" s="59">
        <v>7.9</v>
      </c>
      <c r="CC41" s="59">
        <v>7.9</v>
      </c>
      <c r="CD41" s="50">
        <v>7.9</v>
      </c>
      <c r="CE41" s="59">
        <v>12.2</v>
      </c>
      <c r="CF41" s="59">
        <v>12.2</v>
      </c>
      <c r="CG41" s="59">
        <v>12.2</v>
      </c>
      <c r="CH41" s="59">
        <v>12.2</v>
      </c>
      <c r="CI41" s="59">
        <v>12.2</v>
      </c>
      <c r="CJ41" s="59">
        <v>7.9</v>
      </c>
      <c r="CK41" s="59">
        <v>7.9</v>
      </c>
      <c r="CL41" s="59">
        <v>7.9</v>
      </c>
      <c r="CM41" s="59">
        <v>7.9</v>
      </c>
      <c r="CN41" s="50">
        <v>7.9</v>
      </c>
      <c r="CO41" s="50">
        <v>7.9</v>
      </c>
      <c r="CP41" s="50">
        <v>7.9</v>
      </c>
      <c r="CQ41" s="50">
        <v>7.9</v>
      </c>
      <c r="CR41" s="50">
        <v>7.9</v>
      </c>
      <c r="CS41" s="50">
        <v>7.9</v>
      </c>
      <c r="CT41" s="50"/>
      <c r="CU41" s="50"/>
      <c r="CV41" s="50"/>
      <c r="CW41" s="50"/>
      <c r="CX41" s="50"/>
    </row>
    <row r="42" spans="2:102" x14ac:dyDescent="0.25">
      <c r="B42" s="14"/>
      <c r="D42" t="s">
        <v>66</v>
      </c>
      <c r="E42" s="50" t="s">
        <v>78</v>
      </c>
      <c r="I42" s="9">
        <v>0.30237000000000003</v>
      </c>
      <c r="J42" s="9">
        <v>0.27400000000000002</v>
      </c>
      <c r="K42" s="9">
        <v>0.28999999999999998</v>
      </c>
      <c r="L42" s="9">
        <v>0.28999999999999998</v>
      </c>
      <c r="M42" s="9">
        <v>0.28000000000000003</v>
      </c>
      <c r="N42" s="9">
        <v>0.3</v>
      </c>
      <c r="O42" s="9">
        <v>0.29199999999999998</v>
      </c>
      <c r="P42" s="9">
        <v>0.27</v>
      </c>
      <c r="Q42" s="9">
        <v>0.26</v>
      </c>
      <c r="R42" s="9">
        <v>0.26</v>
      </c>
      <c r="S42" s="9">
        <v>0.26</v>
      </c>
      <c r="T42" s="9">
        <v>0.30599999999999999</v>
      </c>
      <c r="U42" s="9">
        <v>0.32</v>
      </c>
      <c r="V42" s="9">
        <v>0.28999999999999998</v>
      </c>
      <c r="W42" s="9">
        <v>0.26</v>
      </c>
      <c r="X42" s="9">
        <v>0.27</v>
      </c>
      <c r="Y42" s="9">
        <v>0.28999999999999998</v>
      </c>
      <c r="Z42" s="9">
        <v>0.28999999999999998</v>
      </c>
      <c r="AA42" s="9">
        <v>0.3</v>
      </c>
      <c r="AB42" s="9">
        <v>0.3</v>
      </c>
      <c r="AC42" s="9">
        <v>0.3</v>
      </c>
      <c r="AD42" s="9">
        <v>0.3</v>
      </c>
      <c r="AE42" s="9">
        <v>0.3</v>
      </c>
      <c r="AF42" s="9">
        <v>0.3</v>
      </c>
      <c r="AG42" s="9">
        <v>0.3</v>
      </c>
      <c r="AH42" s="9">
        <v>0.3</v>
      </c>
      <c r="AI42" s="9">
        <v>0.31</v>
      </c>
      <c r="AJ42" s="9">
        <v>0.3</v>
      </c>
      <c r="AK42" s="9">
        <v>0.32</v>
      </c>
      <c r="AL42" s="9">
        <v>0.33</v>
      </c>
      <c r="AM42" s="9">
        <v>0.3</v>
      </c>
      <c r="AN42" s="9">
        <v>0.32</v>
      </c>
      <c r="AO42" s="9">
        <v>0.3</v>
      </c>
      <c r="AP42" s="9">
        <v>0.3</v>
      </c>
      <c r="AQ42" s="9">
        <v>0.31</v>
      </c>
      <c r="AR42" s="9">
        <v>0.32</v>
      </c>
      <c r="AS42" s="9">
        <v>0.34</v>
      </c>
      <c r="AT42" s="9">
        <v>0.33</v>
      </c>
      <c r="AU42" s="9">
        <v>0.33</v>
      </c>
      <c r="AV42" s="9">
        <v>0.32</v>
      </c>
      <c r="AW42" s="9">
        <v>0.31</v>
      </c>
      <c r="AX42" s="9">
        <v>0.31</v>
      </c>
      <c r="AY42" s="9">
        <v>0.31</v>
      </c>
      <c r="AZ42" s="9">
        <v>0.31</v>
      </c>
      <c r="BA42" s="9">
        <v>0.32</v>
      </c>
      <c r="BB42" s="9">
        <v>0.31</v>
      </c>
      <c r="BC42" s="9">
        <v>0.31</v>
      </c>
      <c r="BD42" s="9">
        <v>0.28999999999999998</v>
      </c>
      <c r="BE42" s="9">
        <v>0.28000000000000003</v>
      </c>
      <c r="BF42" s="9">
        <v>0.28999999999999998</v>
      </c>
      <c r="BG42" s="9">
        <v>0.32</v>
      </c>
      <c r="BH42" s="9">
        <v>0.38</v>
      </c>
      <c r="BI42" s="9">
        <v>0.39</v>
      </c>
      <c r="BJ42" s="9">
        <v>0.35</v>
      </c>
      <c r="BK42" s="9">
        <v>0.32</v>
      </c>
      <c r="BL42" s="9">
        <v>0.31</v>
      </c>
      <c r="BN42" s="59"/>
      <c r="BO42" s="59">
        <v>4.7</v>
      </c>
      <c r="BP42" s="59">
        <v>4.7</v>
      </c>
      <c r="BQ42" s="59">
        <v>4.7</v>
      </c>
      <c r="BR42" s="59">
        <v>4.7</v>
      </c>
      <c r="BS42" s="59">
        <v>4.87</v>
      </c>
      <c r="BT42" s="59">
        <v>0.31</v>
      </c>
      <c r="BU42" s="59">
        <v>0.3</v>
      </c>
      <c r="BV42" s="59">
        <v>0.3</v>
      </c>
      <c r="BW42" s="59">
        <v>0.3</v>
      </c>
      <c r="BX42" s="59">
        <v>0.3</v>
      </c>
      <c r="BY42" s="59">
        <v>0.3</v>
      </c>
      <c r="BZ42" s="59">
        <v>0.5</v>
      </c>
      <c r="CA42" s="60">
        <v>0.3</v>
      </c>
      <c r="CB42" s="59">
        <v>0.5</v>
      </c>
      <c r="CC42" s="59">
        <v>0.3</v>
      </c>
      <c r="CD42" s="50">
        <v>0.2</v>
      </c>
      <c r="CE42" s="59">
        <v>0.2</v>
      </c>
      <c r="CF42" s="59">
        <v>0.2</v>
      </c>
      <c r="CG42" s="59">
        <v>0.2</v>
      </c>
      <c r="CH42" s="59">
        <v>0.2</v>
      </c>
      <c r="CI42" s="59">
        <v>0.2</v>
      </c>
      <c r="CJ42" s="59">
        <v>0.2</v>
      </c>
      <c r="CK42" s="59">
        <v>0.2</v>
      </c>
      <c r="CL42" s="59">
        <v>0.2</v>
      </c>
      <c r="CM42" s="59">
        <v>0.2</v>
      </c>
      <c r="CN42" s="50">
        <v>0.2</v>
      </c>
      <c r="CO42" s="50">
        <v>0.2</v>
      </c>
      <c r="CP42" s="50">
        <v>0.2</v>
      </c>
      <c r="CQ42" s="50">
        <v>0.2</v>
      </c>
      <c r="CR42" s="50">
        <v>0.2</v>
      </c>
      <c r="CS42" s="50">
        <v>0.2</v>
      </c>
      <c r="CT42" s="50"/>
      <c r="CU42" s="50"/>
      <c r="CV42" s="50"/>
      <c r="CW42" s="50"/>
      <c r="CX42" s="50"/>
    </row>
    <row r="43" spans="2:102" x14ac:dyDescent="0.25">
      <c r="B43" s="14"/>
      <c r="D43" t="s">
        <v>66</v>
      </c>
      <c r="E43" s="50" t="s">
        <v>79</v>
      </c>
      <c r="I43" s="9">
        <v>1.93</v>
      </c>
      <c r="J43" s="9">
        <v>2.04</v>
      </c>
      <c r="K43" s="9">
        <v>2.2200000000000002</v>
      </c>
      <c r="L43" s="9">
        <v>2.25</v>
      </c>
      <c r="M43" s="9">
        <v>2.34</v>
      </c>
      <c r="N43" s="9">
        <v>2.35</v>
      </c>
      <c r="O43" s="9">
        <v>1.96</v>
      </c>
      <c r="P43" s="9">
        <v>1.33</v>
      </c>
      <c r="Q43" s="9">
        <v>1.31</v>
      </c>
      <c r="R43" s="9">
        <v>1.28</v>
      </c>
      <c r="S43" s="9">
        <v>1.31</v>
      </c>
      <c r="T43" s="9">
        <v>1.33</v>
      </c>
      <c r="U43" s="9">
        <v>2.4</v>
      </c>
      <c r="V43" s="9">
        <v>1.92</v>
      </c>
      <c r="W43" s="9">
        <v>1.69</v>
      </c>
      <c r="X43" s="9">
        <v>1.73</v>
      </c>
      <c r="Y43" s="9">
        <v>1.81</v>
      </c>
      <c r="Z43" s="9">
        <v>1.34</v>
      </c>
      <c r="AA43" s="9">
        <v>1.36</v>
      </c>
      <c r="AB43" s="9">
        <v>1.37</v>
      </c>
      <c r="AC43" s="9">
        <v>0.95</v>
      </c>
      <c r="AD43" s="9">
        <v>2.0299999999999998</v>
      </c>
      <c r="AE43" s="9">
        <v>2.0299999999999998</v>
      </c>
      <c r="AF43" s="9">
        <v>2.0299999999999998</v>
      </c>
      <c r="AG43" s="9">
        <v>2.0299999999999998</v>
      </c>
      <c r="AH43" s="9">
        <v>2.06</v>
      </c>
      <c r="AI43" s="9">
        <v>2.06</v>
      </c>
      <c r="AJ43" s="9">
        <v>2.0699999999999998</v>
      </c>
      <c r="AK43" s="9">
        <v>2</v>
      </c>
      <c r="AL43" s="9">
        <v>1.65</v>
      </c>
      <c r="AM43" s="9">
        <v>1.6</v>
      </c>
      <c r="AN43" s="9">
        <v>1.6</v>
      </c>
      <c r="AO43" s="9">
        <v>1.69</v>
      </c>
      <c r="AP43" s="9">
        <v>1.61</v>
      </c>
      <c r="AQ43" s="9">
        <v>1.72</v>
      </c>
      <c r="AR43" s="9">
        <v>1.78</v>
      </c>
      <c r="AS43" s="9">
        <v>1.83</v>
      </c>
      <c r="AT43" s="9">
        <v>1.86</v>
      </c>
      <c r="AU43" s="9">
        <v>1.86</v>
      </c>
      <c r="AV43" s="9">
        <v>1.82</v>
      </c>
      <c r="AW43" s="9">
        <v>1.87</v>
      </c>
      <c r="AX43" s="9">
        <v>1.9</v>
      </c>
      <c r="AY43" s="9">
        <v>1.91</v>
      </c>
      <c r="AZ43" s="9">
        <v>1.91</v>
      </c>
      <c r="BA43" s="9">
        <v>1.92</v>
      </c>
      <c r="BB43" s="9">
        <v>1.94</v>
      </c>
      <c r="BC43" s="9">
        <v>1.95</v>
      </c>
      <c r="BD43" s="9">
        <v>1.98</v>
      </c>
      <c r="BE43" s="9">
        <v>2</v>
      </c>
      <c r="BF43" s="9">
        <v>2</v>
      </c>
      <c r="BG43" s="9">
        <v>2</v>
      </c>
      <c r="BH43" s="9">
        <v>2</v>
      </c>
      <c r="BI43" s="9">
        <v>2.02</v>
      </c>
      <c r="BJ43" s="9">
        <v>1.73</v>
      </c>
      <c r="BK43" s="9">
        <v>1.65</v>
      </c>
      <c r="BL43" s="9">
        <v>1.64</v>
      </c>
      <c r="BN43" s="59"/>
      <c r="BO43" s="59">
        <v>4.7</v>
      </c>
      <c r="BP43" s="59">
        <v>4.7</v>
      </c>
      <c r="BQ43" s="59">
        <v>4.7</v>
      </c>
      <c r="BR43" s="59">
        <v>4.7</v>
      </c>
      <c r="BS43" s="59">
        <v>4.9000000000000004</v>
      </c>
      <c r="BT43" s="59">
        <v>1.6</v>
      </c>
      <c r="BU43" s="59">
        <v>1.6</v>
      </c>
      <c r="BV43" s="59">
        <v>1.6</v>
      </c>
      <c r="BW43" s="59">
        <v>1.6</v>
      </c>
      <c r="BX43" s="59">
        <v>1.6</v>
      </c>
      <c r="BY43" s="59">
        <v>1.73</v>
      </c>
      <c r="BZ43" s="59">
        <v>1.8</v>
      </c>
      <c r="CA43" s="60">
        <v>1.9</v>
      </c>
      <c r="CB43" s="59">
        <v>1.9</v>
      </c>
      <c r="CC43" s="59">
        <v>1.8</v>
      </c>
      <c r="CD43" s="50">
        <v>1.9</v>
      </c>
      <c r="CE43" s="59">
        <v>1.9</v>
      </c>
      <c r="CF43" s="59">
        <v>1.9</v>
      </c>
      <c r="CG43" s="59">
        <v>1.9</v>
      </c>
      <c r="CH43" s="59">
        <v>2</v>
      </c>
      <c r="CI43" s="59">
        <v>2</v>
      </c>
      <c r="CJ43" s="59">
        <v>2</v>
      </c>
      <c r="CK43" s="59">
        <v>2</v>
      </c>
      <c r="CL43" s="59">
        <v>2.1</v>
      </c>
      <c r="CM43" s="59">
        <v>2.1</v>
      </c>
      <c r="CN43" s="50">
        <v>2.1</v>
      </c>
      <c r="CO43" s="50">
        <v>2.1</v>
      </c>
      <c r="CP43" s="50">
        <v>2.1</v>
      </c>
      <c r="CQ43" s="50">
        <v>2.1</v>
      </c>
      <c r="CR43" s="50">
        <v>2.1</v>
      </c>
      <c r="CS43" s="50">
        <v>2.1</v>
      </c>
      <c r="CT43" s="50"/>
      <c r="CU43" s="50"/>
      <c r="CV43" s="50"/>
      <c r="CW43" s="50"/>
      <c r="CX43" s="50"/>
    </row>
    <row r="44" spans="2:102" x14ac:dyDescent="0.25">
      <c r="B44" s="14"/>
      <c r="D44" t="s">
        <v>66</v>
      </c>
      <c r="E44" s="50" t="s">
        <v>380</v>
      </c>
      <c r="I44" s="9"/>
      <c r="J44" s="9">
        <v>0.71599999999999997</v>
      </c>
      <c r="K44" s="9">
        <v>0.75</v>
      </c>
      <c r="L44" s="9">
        <v>0.77</v>
      </c>
      <c r="M44" s="9">
        <v>0.79</v>
      </c>
      <c r="N44" s="9">
        <v>0.74</v>
      </c>
      <c r="O44" s="9">
        <v>0.76500000000000001</v>
      </c>
      <c r="P44" s="9">
        <v>0.63</v>
      </c>
      <c r="Q44" s="9">
        <v>0.65</v>
      </c>
      <c r="R44" s="9">
        <v>0.67</v>
      </c>
      <c r="S44" s="9">
        <v>0.69</v>
      </c>
      <c r="T44" s="9">
        <v>0.70699999999999996</v>
      </c>
      <c r="U44" s="9">
        <v>0.71</v>
      </c>
      <c r="V44" s="9">
        <v>0.74</v>
      </c>
      <c r="W44" s="9">
        <v>0.73</v>
      </c>
      <c r="X44" s="9">
        <v>0.75</v>
      </c>
      <c r="Y44" s="9">
        <v>0.78</v>
      </c>
      <c r="Z44" s="9">
        <v>0.78</v>
      </c>
      <c r="AA44" s="9">
        <v>0.8</v>
      </c>
      <c r="AB44" s="9">
        <v>0.8</v>
      </c>
      <c r="AC44" s="9">
        <v>0.82</v>
      </c>
      <c r="AD44" s="9">
        <v>0.81</v>
      </c>
      <c r="AE44" s="9">
        <v>0.82</v>
      </c>
      <c r="AF44" s="9">
        <v>0.82</v>
      </c>
      <c r="AG44" s="9">
        <v>0.83</v>
      </c>
      <c r="AH44" s="9">
        <v>0.84</v>
      </c>
      <c r="AI44" s="9">
        <v>0.85</v>
      </c>
      <c r="AJ44" s="9">
        <v>0.86</v>
      </c>
      <c r="AK44" s="9">
        <v>0.87</v>
      </c>
      <c r="AL44" s="9">
        <v>0.88</v>
      </c>
      <c r="AM44" s="9">
        <v>0.86</v>
      </c>
      <c r="AN44" s="9">
        <v>0.86</v>
      </c>
      <c r="AO44" s="9">
        <v>0.88</v>
      </c>
      <c r="AP44" s="9">
        <v>0.86</v>
      </c>
      <c r="AQ44" s="9">
        <v>0.87</v>
      </c>
      <c r="AR44" s="9">
        <v>0.88</v>
      </c>
      <c r="AS44" s="9">
        <v>0.88</v>
      </c>
      <c r="AT44" s="9">
        <v>0.89</v>
      </c>
      <c r="AU44" s="9">
        <v>0.89</v>
      </c>
      <c r="AV44" s="9">
        <v>0.85</v>
      </c>
      <c r="AW44" s="9">
        <v>0.85</v>
      </c>
      <c r="AX44" s="9">
        <v>0.86</v>
      </c>
      <c r="AY44" s="9">
        <v>0.86</v>
      </c>
      <c r="AZ44" s="9">
        <v>0.86</v>
      </c>
      <c r="BA44" s="9">
        <v>0.86</v>
      </c>
      <c r="BB44" s="9">
        <v>0.86</v>
      </c>
      <c r="BC44" s="9">
        <v>0.87</v>
      </c>
      <c r="BD44" s="9">
        <v>0.87</v>
      </c>
      <c r="BE44" s="9">
        <v>0.88</v>
      </c>
      <c r="BF44" s="9">
        <v>0.88</v>
      </c>
      <c r="BG44" s="9">
        <v>0.87</v>
      </c>
      <c r="BH44" s="9">
        <v>0.87</v>
      </c>
      <c r="BI44" s="9">
        <v>0.87</v>
      </c>
      <c r="BJ44" s="9">
        <v>0.74</v>
      </c>
      <c r="BK44" s="9">
        <v>0.69</v>
      </c>
      <c r="BL44" s="9">
        <v>0.68</v>
      </c>
      <c r="BN44" s="59"/>
      <c r="BO44" s="59">
        <v>7.4</v>
      </c>
      <c r="BP44" s="59">
        <v>7.4</v>
      </c>
      <c r="BQ44" s="59"/>
      <c r="BR44" s="59"/>
      <c r="BS44" s="59"/>
      <c r="BT44" s="59"/>
      <c r="BU44" s="59"/>
      <c r="BV44" s="59">
        <v>7.3</v>
      </c>
      <c r="BW44" s="59">
        <v>7.3</v>
      </c>
      <c r="BX44" s="59">
        <v>7.3</v>
      </c>
      <c r="BY44" s="59">
        <v>7.3</v>
      </c>
      <c r="BZ44" s="59"/>
      <c r="CA44" s="60"/>
      <c r="CB44" s="59"/>
      <c r="CC44" s="59"/>
      <c r="CD44" s="50"/>
    </row>
    <row r="45" spans="2:102" x14ac:dyDescent="0.25">
      <c r="B45" s="14"/>
      <c r="D45" t="s">
        <v>66</v>
      </c>
      <c r="E45" s="50" t="s">
        <v>80</v>
      </c>
      <c r="I45" s="9">
        <v>0.52773000000000003</v>
      </c>
      <c r="J45" s="9">
        <v>0.52400000000000002</v>
      </c>
      <c r="K45" s="9">
        <v>0.54100000000000004</v>
      </c>
      <c r="L45" s="9">
        <v>0.55000000000000004</v>
      </c>
      <c r="M45" s="9">
        <v>0.56999999999999995</v>
      </c>
      <c r="N45" s="9">
        <v>0.74</v>
      </c>
      <c r="O45" s="9">
        <v>0.79900000000000004</v>
      </c>
      <c r="P45" s="9">
        <v>0.71</v>
      </c>
      <c r="Q45" s="9">
        <v>0.7</v>
      </c>
      <c r="R45" s="9">
        <v>0.71</v>
      </c>
      <c r="S45" s="9">
        <v>0.7</v>
      </c>
      <c r="T45" s="9">
        <v>0.78200000000000003</v>
      </c>
      <c r="U45" s="9">
        <v>0.81</v>
      </c>
      <c r="V45" s="9">
        <v>0.82</v>
      </c>
      <c r="W45" s="9">
        <v>0.7</v>
      </c>
      <c r="X45" s="9">
        <v>0.72</v>
      </c>
      <c r="Y45" s="9">
        <v>0.76</v>
      </c>
      <c r="Z45" s="9">
        <v>1.1299999999999999</v>
      </c>
      <c r="AA45" s="9">
        <v>1.29</v>
      </c>
      <c r="AB45" s="9">
        <v>1.37</v>
      </c>
      <c r="AC45" s="9">
        <v>1.4</v>
      </c>
      <c r="AD45" s="9">
        <v>1.44</v>
      </c>
      <c r="AE45" s="9">
        <v>1.46</v>
      </c>
      <c r="AF45" s="9">
        <v>1.43</v>
      </c>
      <c r="AG45" s="9">
        <v>1.51</v>
      </c>
      <c r="AH45" s="9">
        <v>1.54</v>
      </c>
      <c r="AI45" s="9">
        <v>1.58</v>
      </c>
      <c r="AJ45" s="9">
        <v>1.63</v>
      </c>
      <c r="AK45" s="9">
        <v>1.68</v>
      </c>
      <c r="AL45" s="9">
        <v>1.78</v>
      </c>
      <c r="AM45" s="9">
        <v>1.73</v>
      </c>
      <c r="AN45" s="9">
        <v>1.7</v>
      </c>
      <c r="AO45" s="9">
        <v>1.69</v>
      </c>
      <c r="AP45" s="9">
        <v>1.65</v>
      </c>
      <c r="AQ45" s="9">
        <v>1.66</v>
      </c>
      <c r="AR45" s="9">
        <v>1.65</v>
      </c>
      <c r="AS45" s="9">
        <v>1.65</v>
      </c>
      <c r="AT45" s="9">
        <v>1.66</v>
      </c>
      <c r="AU45" s="9">
        <v>1.66</v>
      </c>
      <c r="AV45" s="9">
        <v>1.57</v>
      </c>
      <c r="AW45" s="9">
        <v>1.53</v>
      </c>
      <c r="AX45" s="9">
        <v>1.52</v>
      </c>
      <c r="AY45" s="9">
        <v>1.53</v>
      </c>
      <c r="AZ45" s="9">
        <v>1.51</v>
      </c>
      <c r="BA45" s="9">
        <v>1.46</v>
      </c>
      <c r="BB45" s="9">
        <v>1.48</v>
      </c>
      <c r="BC45" s="9">
        <v>1.52</v>
      </c>
      <c r="BD45" s="9">
        <v>1.55</v>
      </c>
      <c r="BE45" s="9">
        <v>1.55</v>
      </c>
      <c r="BF45" s="9">
        <v>1.51</v>
      </c>
      <c r="BG45" s="9">
        <v>1.52</v>
      </c>
      <c r="BH45" s="9">
        <v>1.48</v>
      </c>
      <c r="BI45" s="9">
        <v>1.5</v>
      </c>
      <c r="BJ45" s="9">
        <v>1.24</v>
      </c>
      <c r="BK45" s="9">
        <v>1.1299999999999999</v>
      </c>
      <c r="BL45" s="9">
        <v>1.1200000000000001</v>
      </c>
      <c r="BN45" s="59"/>
      <c r="BO45" s="59">
        <v>5.7</v>
      </c>
      <c r="BP45" s="59">
        <v>5.7</v>
      </c>
      <c r="BQ45" s="59"/>
      <c r="BR45" s="59"/>
      <c r="BS45" s="59"/>
      <c r="BT45" s="59"/>
      <c r="BU45" s="59"/>
      <c r="BV45" s="59">
        <v>5.7</v>
      </c>
      <c r="BW45" s="59">
        <v>5.7</v>
      </c>
      <c r="BX45" s="59">
        <v>5.7</v>
      </c>
      <c r="BY45" s="59">
        <v>5.7</v>
      </c>
      <c r="BZ45" s="59"/>
      <c r="CA45" s="60"/>
      <c r="CB45" s="59"/>
      <c r="CC45" s="59"/>
      <c r="CD45" s="50"/>
    </row>
    <row r="46" spans="2:102" x14ac:dyDescent="0.25">
      <c r="B46" s="14"/>
      <c r="D46" t="s">
        <v>39</v>
      </c>
      <c r="E46" t="s">
        <v>81</v>
      </c>
      <c r="I46" s="9">
        <v>8.56</v>
      </c>
      <c r="J46" s="9">
        <v>8.43</v>
      </c>
      <c r="K46" s="9">
        <v>15.09</v>
      </c>
      <c r="L46" s="9">
        <v>15.36</v>
      </c>
      <c r="M46" s="9">
        <v>15.3</v>
      </c>
      <c r="N46" s="9">
        <v>14.5</v>
      </c>
      <c r="O46" s="9">
        <v>15.69</v>
      </c>
      <c r="P46" s="9">
        <v>3.6</v>
      </c>
      <c r="Q46" s="9">
        <v>4.32</v>
      </c>
      <c r="R46" s="9">
        <v>5.55</v>
      </c>
      <c r="S46" s="9">
        <v>6.81</v>
      </c>
      <c r="T46" s="9">
        <v>19.649999999999999</v>
      </c>
      <c r="U46" s="9">
        <v>17.940000000000001</v>
      </c>
      <c r="V46" s="9">
        <v>24.06</v>
      </c>
      <c r="W46" s="9">
        <v>23.97</v>
      </c>
      <c r="X46" s="9">
        <v>23.87</v>
      </c>
      <c r="Y46" s="9">
        <v>24.95</v>
      </c>
      <c r="Z46" s="9">
        <v>25.1</v>
      </c>
      <c r="AA46" s="9">
        <v>25.52</v>
      </c>
      <c r="AB46" s="9">
        <v>25.6</v>
      </c>
      <c r="AC46" s="9">
        <v>26.51</v>
      </c>
      <c r="AD46" s="9">
        <v>26.69</v>
      </c>
      <c r="AE46" s="9">
        <v>26.93</v>
      </c>
      <c r="AF46" s="9">
        <v>26.35</v>
      </c>
      <c r="AG46" s="9">
        <v>26.79</v>
      </c>
      <c r="AH46" s="9">
        <v>27.63</v>
      </c>
      <c r="AI46" s="9">
        <v>32.270000000000003</v>
      </c>
      <c r="AJ46" s="9">
        <v>32.79</v>
      </c>
      <c r="AK46" s="9">
        <v>33.24</v>
      </c>
      <c r="AL46" s="9">
        <v>24.13</v>
      </c>
      <c r="AM46" s="9">
        <v>23.68</v>
      </c>
      <c r="AN46" s="9">
        <v>23.84</v>
      </c>
      <c r="AO46" s="9">
        <v>23.56</v>
      </c>
      <c r="AP46" s="9">
        <v>23.8</v>
      </c>
      <c r="AQ46" s="9">
        <v>24.43</v>
      </c>
      <c r="AR46" s="9">
        <v>25.72</v>
      </c>
      <c r="AS46" s="9">
        <v>25.38</v>
      </c>
      <c r="AT46" s="9">
        <v>25.62</v>
      </c>
      <c r="AU46" s="9">
        <v>25.62</v>
      </c>
      <c r="AV46" s="9">
        <v>19.59</v>
      </c>
      <c r="AW46" s="9">
        <v>19.760000000000002</v>
      </c>
      <c r="AX46" s="9">
        <v>19.93</v>
      </c>
      <c r="AY46" s="9">
        <v>19.98</v>
      </c>
      <c r="AZ46" s="9">
        <v>20.16</v>
      </c>
      <c r="BA46" s="9">
        <v>20.260000000000002</v>
      </c>
      <c r="BB46" s="9">
        <v>20.350000000000001</v>
      </c>
      <c r="BC46" s="9">
        <v>20.87</v>
      </c>
      <c r="BD46" s="9">
        <v>21.21</v>
      </c>
      <c r="BE46" s="9">
        <v>21.46</v>
      </c>
      <c r="BF46" s="9">
        <v>21.66</v>
      </c>
      <c r="BG46" s="9">
        <v>21.7</v>
      </c>
      <c r="BH46" s="9">
        <v>21.84</v>
      </c>
      <c r="BI46" s="9">
        <v>18.71</v>
      </c>
      <c r="BJ46" s="9">
        <v>0</v>
      </c>
      <c r="BK46" s="9">
        <v>0</v>
      </c>
      <c r="BL46" s="9">
        <v>0</v>
      </c>
      <c r="BN46" s="1"/>
      <c r="BO46" s="1"/>
      <c r="BP46" s="1"/>
      <c r="BQ46" s="1"/>
      <c r="BR46" s="1"/>
      <c r="BS46" s="1"/>
      <c r="BT46" s="1"/>
      <c r="BU46" s="1"/>
      <c r="BV46" s="1"/>
      <c r="BW46" s="1"/>
      <c r="BX46" s="1"/>
      <c r="BY46" s="1"/>
      <c r="BZ46" s="1"/>
      <c r="CA46" s="15"/>
      <c r="CB46" s="1"/>
      <c r="CC46" s="1"/>
    </row>
    <row r="47" spans="2:102" x14ac:dyDescent="0.25">
      <c r="B47" s="14"/>
      <c r="E47" t="s">
        <v>317</v>
      </c>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v>0</v>
      </c>
      <c r="AM47" s="9">
        <v>0</v>
      </c>
      <c r="AN47" s="9">
        <v>0</v>
      </c>
      <c r="AO47" s="9">
        <v>0</v>
      </c>
      <c r="AP47" s="9">
        <v>0</v>
      </c>
      <c r="AQ47" s="9">
        <v>0</v>
      </c>
      <c r="AR47" s="9">
        <v>0</v>
      </c>
      <c r="AS47" s="9">
        <v>0</v>
      </c>
      <c r="AT47" s="9">
        <v>0</v>
      </c>
      <c r="AU47" s="9">
        <v>0</v>
      </c>
      <c r="AV47" s="9">
        <v>0</v>
      </c>
      <c r="AW47" s="9">
        <v>0</v>
      </c>
      <c r="AX47" s="9">
        <v>0</v>
      </c>
      <c r="AY47" s="9">
        <v>0</v>
      </c>
      <c r="AZ47" s="9">
        <v>0</v>
      </c>
      <c r="BA47" s="9">
        <v>0</v>
      </c>
      <c r="BB47" s="9">
        <v>0</v>
      </c>
      <c r="BC47" s="9">
        <v>0.02</v>
      </c>
      <c r="BD47" s="9">
        <v>0</v>
      </c>
      <c r="BE47" s="9">
        <v>0.04</v>
      </c>
      <c r="BF47" s="9">
        <v>0.05</v>
      </c>
      <c r="BG47" s="9">
        <v>0.4</v>
      </c>
      <c r="BH47" s="9">
        <v>0.4</v>
      </c>
      <c r="BI47" s="9">
        <v>0.41</v>
      </c>
      <c r="BJ47" s="9">
        <v>0.04</v>
      </c>
      <c r="BK47" s="9">
        <v>0.03</v>
      </c>
      <c r="BL47" s="9">
        <v>0.03</v>
      </c>
      <c r="BN47" s="1"/>
      <c r="BO47" s="1"/>
      <c r="BP47" s="1"/>
      <c r="BQ47" s="1"/>
      <c r="BR47" s="1"/>
      <c r="BS47" s="1"/>
      <c r="BT47" s="1"/>
      <c r="BU47" s="1"/>
      <c r="BV47" s="1"/>
      <c r="BW47" s="1"/>
      <c r="BX47" s="1"/>
      <c r="BY47" s="1"/>
      <c r="BZ47" s="1"/>
      <c r="CA47" s="15"/>
      <c r="CB47" s="1"/>
      <c r="CC47" s="1"/>
    </row>
    <row r="48" spans="2:102" x14ac:dyDescent="0.25">
      <c r="B48" s="14"/>
      <c r="E48" t="s">
        <v>42</v>
      </c>
      <c r="I48" s="9">
        <v>1E-3</v>
      </c>
      <c r="J48" s="9">
        <v>4.9000000000000002E-2</v>
      </c>
      <c r="K48" s="9">
        <v>1.2E-2</v>
      </c>
      <c r="L48" s="9">
        <v>0.04</v>
      </c>
      <c r="M48" s="9">
        <v>7.0000000000000007E-2</v>
      </c>
      <c r="N48" s="9">
        <v>0.08</v>
      </c>
      <c r="O48" s="9">
        <v>8.1000000000000003E-2</v>
      </c>
      <c r="P48" s="9">
        <v>0.06</v>
      </c>
      <c r="Q48" s="9">
        <v>0.06</v>
      </c>
      <c r="R48" s="9">
        <v>0.2</v>
      </c>
      <c r="S48" s="9">
        <v>0.21</v>
      </c>
      <c r="T48" s="9">
        <v>0.20100000000000001</v>
      </c>
      <c r="U48" s="9">
        <v>0.19</v>
      </c>
      <c r="V48" s="9">
        <v>0.24</v>
      </c>
      <c r="W48" s="9">
        <v>0.24</v>
      </c>
      <c r="X48" s="9">
        <v>0.24</v>
      </c>
      <c r="Y48" s="9">
        <v>0.34</v>
      </c>
      <c r="Z48" s="9">
        <v>0.57999999999999996</v>
      </c>
      <c r="AA48" s="9">
        <v>0.6</v>
      </c>
      <c r="AB48" s="9">
        <v>0.61</v>
      </c>
      <c r="AC48" s="9">
        <v>0.51</v>
      </c>
      <c r="AD48" s="9">
        <v>0.55000000000000004</v>
      </c>
      <c r="AE48" s="9">
        <v>0.55000000000000004</v>
      </c>
      <c r="AF48" s="9">
        <v>0.66</v>
      </c>
      <c r="AG48" s="9">
        <v>0.67</v>
      </c>
      <c r="AH48" s="9">
        <v>0.68</v>
      </c>
      <c r="AI48" s="9">
        <v>0.69</v>
      </c>
      <c r="AJ48" s="9">
        <v>0.7</v>
      </c>
      <c r="AK48" s="9">
        <v>0.72</v>
      </c>
      <c r="AL48" s="9">
        <v>0.83</v>
      </c>
      <c r="AM48" s="9">
        <v>0.6</v>
      </c>
      <c r="AN48" s="9">
        <v>0.71</v>
      </c>
      <c r="AO48" s="9">
        <v>0.72</v>
      </c>
      <c r="AP48" s="9">
        <v>0.79</v>
      </c>
      <c r="AQ48" s="9">
        <v>0.82</v>
      </c>
      <c r="AR48" s="9">
        <v>0.77</v>
      </c>
      <c r="AS48" s="9">
        <v>2.77</v>
      </c>
      <c r="AT48" s="9">
        <v>0.84</v>
      </c>
      <c r="AU48" s="9">
        <v>0.84</v>
      </c>
      <c r="AV48" s="9">
        <v>0.6</v>
      </c>
      <c r="AW48" s="9">
        <v>0.67</v>
      </c>
      <c r="AX48" s="9">
        <v>0.48</v>
      </c>
      <c r="AY48" s="9">
        <v>0.49</v>
      </c>
      <c r="AZ48" s="9">
        <v>0.49</v>
      </c>
      <c r="BA48" s="9">
        <v>0.49</v>
      </c>
      <c r="BB48" s="9">
        <v>0.47</v>
      </c>
      <c r="BC48" s="9">
        <v>0.77</v>
      </c>
      <c r="BD48" s="9">
        <v>0.56000000000000005</v>
      </c>
      <c r="BE48" s="9">
        <v>0.62</v>
      </c>
      <c r="BF48" s="9">
        <v>0.39</v>
      </c>
      <c r="BG48" s="9">
        <v>0.66</v>
      </c>
      <c r="BH48" s="9">
        <v>0.49</v>
      </c>
      <c r="BI48" s="9">
        <v>0.49</v>
      </c>
      <c r="BJ48" s="9">
        <v>0.55000000000000004</v>
      </c>
      <c r="BK48" s="9">
        <v>0.52</v>
      </c>
      <c r="BL48" s="9">
        <v>0.52</v>
      </c>
      <c r="BN48" s="1"/>
      <c r="BO48" s="1"/>
      <c r="BP48" s="1"/>
      <c r="BQ48" s="1"/>
      <c r="BR48" s="1"/>
      <c r="BS48" s="1"/>
      <c r="BT48" s="1"/>
      <c r="BU48" s="1"/>
      <c r="BV48" s="1"/>
      <c r="BW48" s="1"/>
      <c r="BX48" s="1"/>
      <c r="BY48" s="1"/>
      <c r="BZ48" s="1"/>
      <c r="CA48" s="15"/>
      <c r="CB48" s="1"/>
      <c r="CC48" s="1"/>
    </row>
    <row r="49" spans="2:82" x14ac:dyDescent="0.25">
      <c r="B49" s="14"/>
      <c r="E49" t="s">
        <v>309</v>
      </c>
      <c r="I49" s="9">
        <v>22.45</v>
      </c>
      <c r="J49" s="9">
        <v>22.36</v>
      </c>
      <c r="K49" s="9">
        <v>22.79</v>
      </c>
      <c r="L49" s="9">
        <v>22.97</v>
      </c>
      <c r="M49" s="9">
        <v>22.62</v>
      </c>
      <c r="N49" s="9">
        <v>16.190000000000001</v>
      </c>
      <c r="O49" s="9">
        <v>16.22</v>
      </c>
      <c r="P49" s="9">
        <v>13.83</v>
      </c>
      <c r="Q49" s="9">
        <v>11.1</v>
      </c>
      <c r="R49" s="9">
        <v>9.06</v>
      </c>
      <c r="S49" s="9">
        <v>8.18</v>
      </c>
      <c r="T49" s="9">
        <v>8.11</v>
      </c>
      <c r="U49" s="9">
        <v>7.71</v>
      </c>
      <c r="V49" s="9">
        <v>0.63</v>
      </c>
      <c r="W49" s="9">
        <v>0.61</v>
      </c>
      <c r="X49" s="9">
        <v>0.61</v>
      </c>
      <c r="Y49" s="9">
        <v>0.63</v>
      </c>
      <c r="Z49" s="9">
        <v>0.62</v>
      </c>
      <c r="AA49" s="9">
        <v>0.63</v>
      </c>
      <c r="AB49" s="9">
        <v>0.63</v>
      </c>
      <c r="AC49" s="9">
        <v>0.67</v>
      </c>
      <c r="AD49" s="9">
        <v>0.5</v>
      </c>
      <c r="AE49" s="9">
        <v>0.47</v>
      </c>
      <c r="AF49" s="9">
        <v>0.47</v>
      </c>
      <c r="AG49" s="9">
        <v>0.47</v>
      </c>
      <c r="AH49" s="9">
        <v>0.47</v>
      </c>
      <c r="AI49" s="9">
        <v>0.47</v>
      </c>
      <c r="AJ49" s="9">
        <v>0.47</v>
      </c>
      <c r="AK49" s="9">
        <v>0.47</v>
      </c>
      <c r="AL49" s="9">
        <v>0.03</v>
      </c>
      <c r="AM49" s="9">
        <v>0.01</v>
      </c>
      <c r="AN49" s="9">
        <v>0.01</v>
      </c>
      <c r="AO49" s="9">
        <v>0.01</v>
      </c>
      <c r="AP49" s="9">
        <v>0.01</v>
      </c>
      <c r="AQ49" s="9">
        <v>0.01</v>
      </c>
      <c r="AR49" s="9">
        <v>0.01</v>
      </c>
      <c r="AS49" s="9">
        <v>0.01</v>
      </c>
      <c r="AT49" s="9">
        <v>0.02</v>
      </c>
      <c r="AU49" s="9">
        <v>0.02</v>
      </c>
      <c r="AV49" s="9">
        <v>0.02</v>
      </c>
      <c r="AW49" s="9">
        <v>0.02</v>
      </c>
      <c r="AX49" s="9">
        <v>0.02</v>
      </c>
      <c r="AY49" s="9">
        <v>0.03</v>
      </c>
      <c r="AZ49" s="9">
        <v>0.03</v>
      </c>
      <c r="BA49" s="9">
        <v>0.03</v>
      </c>
      <c r="BB49" s="9">
        <v>0.03</v>
      </c>
      <c r="BC49" s="9">
        <v>0.03</v>
      </c>
      <c r="BD49" s="9">
        <v>0.03</v>
      </c>
      <c r="BE49" s="9">
        <v>0.03</v>
      </c>
      <c r="BF49" s="9">
        <v>0.03</v>
      </c>
      <c r="BG49" s="9">
        <v>0.03</v>
      </c>
      <c r="BH49" s="9">
        <v>0.03</v>
      </c>
      <c r="BI49" s="9">
        <v>0.03</v>
      </c>
      <c r="BJ49" s="9">
        <v>0.56000000000000005</v>
      </c>
      <c r="BK49" s="9">
        <v>0.13</v>
      </c>
      <c r="BL49" s="9">
        <v>0.13</v>
      </c>
      <c r="BN49" s="1"/>
      <c r="BO49" s="1"/>
      <c r="BP49" s="1"/>
      <c r="BQ49" s="1"/>
      <c r="BR49" s="1"/>
      <c r="BS49" s="1"/>
      <c r="BT49" s="1"/>
      <c r="BU49" s="1"/>
      <c r="BV49" s="1"/>
      <c r="BW49" s="1"/>
      <c r="BX49" s="1"/>
      <c r="BY49" s="1"/>
      <c r="BZ49" s="1"/>
      <c r="CA49" s="15"/>
      <c r="CB49" s="1"/>
      <c r="CC49" s="1"/>
    </row>
    <row r="50" spans="2:82" x14ac:dyDescent="0.25">
      <c r="B50" s="14"/>
      <c r="D50" t="s">
        <v>62</v>
      </c>
      <c r="E50" t="s">
        <v>82</v>
      </c>
      <c r="I50" s="9">
        <v>0.6875</v>
      </c>
      <c r="J50" s="9">
        <v>0.73499999999999999</v>
      </c>
      <c r="K50" s="9">
        <v>0.75</v>
      </c>
      <c r="L50" s="9">
        <v>0.79</v>
      </c>
      <c r="M50" s="9">
        <v>0.83</v>
      </c>
      <c r="N50" s="9">
        <v>0.85</v>
      </c>
      <c r="O50" s="9">
        <v>0.87</v>
      </c>
      <c r="P50" s="9">
        <v>0.7</v>
      </c>
      <c r="Q50" s="9">
        <v>0.71</v>
      </c>
      <c r="R50" s="9">
        <v>0.74</v>
      </c>
      <c r="S50" s="9">
        <v>0.76</v>
      </c>
      <c r="T50" s="9">
        <v>0.78400000000000003</v>
      </c>
      <c r="U50" s="9">
        <v>0.83</v>
      </c>
      <c r="V50" s="9">
        <v>0.9</v>
      </c>
      <c r="W50" s="9">
        <v>0.91</v>
      </c>
      <c r="X50" s="9">
        <v>0.92</v>
      </c>
      <c r="Y50" s="9">
        <v>0.94</v>
      </c>
      <c r="Z50" s="9">
        <v>0.94</v>
      </c>
      <c r="AA50" s="9">
        <v>0.96</v>
      </c>
      <c r="AB50" s="9">
        <v>0.96</v>
      </c>
      <c r="AC50" s="9">
        <v>0.96</v>
      </c>
      <c r="AD50" s="9">
        <v>0.98</v>
      </c>
      <c r="AE50" s="9">
        <v>0.98</v>
      </c>
      <c r="AF50" s="9">
        <v>0.98</v>
      </c>
      <c r="AG50" s="9">
        <v>0.36</v>
      </c>
      <c r="AH50" s="9">
        <v>0.36</v>
      </c>
      <c r="AI50" s="9">
        <v>0</v>
      </c>
      <c r="AJ50" s="9">
        <v>0</v>
      </c>
      <c r="AK50" s="9">
        <v>0</v>
      </c>
      <c r="AL50" s="9">
        <v>0</v>
      </c>
      <c r="AM50" s="9">
        <v>0</v>
      </c>
      <c r="AN50" s="9">
        <v>0</v>
      </c>
      <c r="AO50" s="9">
        <v>0</v>
      </c>
      <c r="AP50" s="9">
        <v>0</v>
      </c>
      <c r="AQ50" s="9">
        <v>0</v>
      </c>
      <c r="AR50" s="9">
        <v>0</v>
      </c>
      <c r="AS50" s="9">
        <v>0</v>
      </c>
      <c r="AT50" s="9">
        <v>0</v>
      </c>
      <c r="AU50" s="9">
        <v>0</v>
      </c>
      <c r="AV50" s="9">
        <v>0</v>
      </c>
      <c r="AW50" s="9">
        <v>0</v>
      </c>
      <c r="AX50" s="9">
        <v>0</v>
      </c>
      <c r="AY50" s="9">
        <v>0</v>
      </c>
      <c r="AZ50" s="9">
        <v>0</v>
      </c>
      <c r="BA50" s="9">
        <v>0</v>
      </c>
      <c r="BB50" s="9">
        <v>0</v>
      </c>
      <c r="BC50" s="9">
        <v>0</v>
      </c>
      <c r="BD50" s="9">
        <v>0</v>
      </c>
      <c r="BE50" s="9">
        <v>0</v>
      </c>
      <c r="BF50" s="9">
        <v>0</v>
      </c>
      <c r="BG50" s="9">
        <v>0</v>
      </c>
      <c r="BH50" s="9">
        <v>0</v>
      </c>
      <c r="BI50" s="9">
        <v>0</v>
      </c>
      <c r="BJ50" s="9">
        <v>0</v>
      </c>
      <c r="BK50" s="9">
        <v>0</v>
      </c>
      <c r="BL50" s="9">
        <v>0</v>
      </c>
      <c r="BN50" s="1"/>
      <c r="BO50" s="1"/>
      <c r="BP50" s="1"/>
      <c r="BQ50" s="1"/>
      <c r="BR50" s="1"/>
      <c r="BS50" s="1"/>
      <c r="BT50" s="1"/>
      <c r="BU50" s="1"/>
      <c r="BV50" s="1"/>
      <c r="BW50" s="1"/>
      <c r="BX50" s="1"/>
      <c r="BY50" s="1"/>
      <c r="BZ50" s="1"/>
      <c r="CA50" s="15"/>
      <c r="CB50" s="1"/>
      <c r="CC50" s="1"/>
    </row>
    <row r="51" spans="2:82" ht="5.25" customHeight="1" x14ac:dyDescent="0.25">
      <c r="B51" s="33"/>
      <c r="C51" s="34"/>
      <c r="D51" s="34"/>
      <c r="E51" s="34"/>
      <c r="F51" s="34"/>
      <c r="G51" s="34"/>
      <c r="H51" s="34"/>
      <c r="I51" s="47"/>
      <c r="J51" s="47"/>
      <c r="K51" s="47"/>
      <c r="L51" s="47"/>
      <c r="M51" s="47"/>
      <c r="N51" s="47"/>
      <c r="O51" s="47"/>
      <c r="P51" s="47"/>
      <c r="Q51" s="47"/>
      <c r="R51" s="47"/>
      <c r="S51" s="47"/>
      <c r="T51" s="47"/>
      <c r="U51" s="47"/>
      <c r="V51" s="47"/>
      <c r="W51" s="47"/>
      <c r="X51" s="47"/>
      <c r="Y51" s="47"/>
      <c r="Z51" s="47"/>
      <c r="AA51" s="47"/>
      <c r="AB51" s="47"/>
      <c r="AC51" s="47"/>
      <c r="AD51" s="47"/>
      <c r="AE51" s="47"/>
      <c r="AF51" s="47"/>
      <c r="AG51" s="34"/>
      <c r="AH51" s="34"/>
      <c r="AI51" s="34"/>
      <c r="AJ51" s="34"/>
      <c r="AK51" s="34"/>
      <c r="AL51" s="34"/>
      <c r="AM51" s="34"/>
      <c r="AN51" s="34"/>
      <c r="AO51" s="34"/>
      <c r="AP51" s="34"/>
      <c r="AQ51" s="34"/>
      <c r="AR51" s="34"/>
      <c r="AS51" s="34"/>
      <c r="AT51" s="34"/>
      <c r="AU51" s="34"/>
      <c r="AV51" s="34"/>
      <c r="AW51" s="34"/>
      <c r="AX51" s="34"/>
      <c r="AY51" s="34"/>
      <c r="AZ51" s="34"/>
      <c r="BA51" s="34"/>
      <c r="BB51" s="34"/>
      <c r="BC51" s="34"/>
      <c r="BD51" s="34"/>
      <c r="BE51" s="34"/>
      <c r="BF51" s="34"/>
      <c r="BG51" s="34"/>
      <c r="BH51" s="34"/>
      <c r="BI51" s="34"/>
      <c r="BJ51" s="34"/>
      <c r="BK51" s="34"/>
      <c r="BL51" s="34"/>
      <c r="BM51" s="34"/>
      <c r="BN51" s="35"/>
      <c r="BO51" s="35"/>
      <c r="BP51" s="35"/>
      <c r="BQ51" s="35"/>
      <c r="BR51" s="35"/>
      <c r="BS51" s="35"/>
      <c r="BT51" s="35"/>
      <c r="BU51" s="35"/>
      <c r="BV51" s="35"/>
      <c r="BW51" s="35"/>
      <c r="BX51" s="35"/>
      <c r="BY51" s="35"/>
      <c r="BZ51" s="35"/>
      <c r="CA51" s="36"/>
      <c r="CB51" s="35"/>
      <c r="CC51" s="35"/>
      <c r="CD51" s="35"/>
    </row>
    <row r="52" spans="2:82" x14ac:dyDescent="0.25">
      <c r="B52" s="14"/>
      <c r="E52" t="s">
        <v>53</v>
      </c>
      <c r="G52" s="46"/>
      <c r="I52" s="9">
        <v>14.68</v>
      </c>
      <c r="J52" s="9">
        <v>13.92</v>
      </c>
      <c r="K52" s="9">
        <v>15.44</v>
      </c>
      <c r="L52" s="9">
        <v>15.72</v>
      </c>
      <c r="M52" s="9">
        <v>16.03</v>
      </c>
      <c r="N52" s="9">
        <v>15.84</v>
      </c>
      <c r="O52" s="9">
        <v>16.190000000000001</v>
      </c>
      <c r="P52" s="9">
        <v>16.97</v>
      </c>
      <c r="Q52" s="9">
        <v>20.76</v>
      </c>
      <c r="R52" s="9">
        <v>22.44</v>
      </c>
      <c r="S52" s="9">
        <v>24.1</v>
      </c>
      <c r="T52" s="9">
        <v>25.87</v>
      </c>
      <c r="U52" s="9">
        <v>27.28</v>
      </c>
      <c r="V52" s="9">
        <v>20.36</v>
      </c>
      <c r="W52" s="9">
        <v>18.78</v>
      </c>
      <c r="X52" s="9">
        <v>19.260000000000002</v>
      </c>
      <c r="Y52" s="9">
        <v>19.39</v>
      </c>
      <c r="Z52" s="9">
        <v>20.27</v>
      </c>
      <c r="AA52" s="9">
        <v>20.260000000000002</v>
      </c>
      <c r="AB52" s="9">
        <v>20.149999999999999</v>
      </c>
      <c r="AC52" s="9">
        <v>20.84</v>
      </c>
      <c r="AD52" s="9">
        <v>20</v>
      </c>
      <c r="AE52" s="9">
        <v>20.420000000000002</v>
      </c>
      <c r="AF52" s="9">
        <v>20.48</v>
      </c>
      <c r="AG52" s="9">
        <v>21.03</v>
      </c>
      <c r="AH52" s="9">
        <v>21.43</v>
      </c>
      <c r="AI52" s="9">
        <v>16.25</v>
      </c>
      <c r="AJ52" s="9">
        <v>16.329999999999998</v>
      </c>
      <c r="AK52" s="9">
        <v>16.309999999999999</v>
      </c>
      <c r="AL52" s="9">
        <v>23</v>
      </c>
      <c r="AM52" s="9">
        <v>22.17</v>
      </c>
      <c r="AN52" s="9">
        <v>22</v>
      </c>
      <c r="AO52" s="9">
        <v>22.93</v>
      </c>
      <c r="AP52" s="9">
        <v>23.49</v>
      </c>
      <c r="AQ52" s="9">
        <v>24.04</v>
      </c>
      <c r="AR52" s="9">
        <v>24.94</v>
      </c>
      <c r="AS52" s="9">
        <v>24.86</v>
      </c>
      <c r="AT52" s="9">
        <v>26.52</v>
      </c>
      <c r="AU52" s="9">
        <v>26.52</v>
      </c>
      <c r="AV52" s="9">
        <v>25.28</v>
      </c>
      <c r="AW52" s="9">
        <v>26.05</v>
      </c>
      <c r="AX52" s="9">
        <v>23.7</v>
      </c>
      <c r="AY52" s="9">
        <v>23.15</v>
      </c>
      <c r="AZ52" s="9">
        <v>23.17</v>
      </c>
      <c r="BA52" s="9">
        <v>25.31</v>
      </c>
      <c r="BB52" s="9">
        <v>25.91</v>
      </c>
      <c r="BC52" s="9">
        <v>26.51</v>
      </c>
      <c r="BD52" s="9">
        <v>28.03</v>
      </c>
      <c r="BE52" s="9">
        <v>27.84</v>
      </c>
      <c r="BF52" s="9">
        <v>28</v>
      </c>
      <c r="BG52" s="9">
        <v>28.53</v>
      </c>
      <c r="BH52" s="9">
        <v>27.41</v>
      </c>
      <c r="BI52" s="9">
        <v>31.79</v>
      </c>
      <c r="BJ52" s="9">
        <v>25.36</v>
      </c>
      <c r="BK52" s="9">
        <v>23.73</v>
      </c>
      <c r="BL52" s="9">
        <v>24.06</v>
      </c>
      <c r="BN52" s="1"/>
      <c r="BO52" s="1"/>
      <c r="BP52" s="1"/>
      <c r="BQ52" s="1"/>
      <c r="BR52" s="1"/>
      <c r="BS52" s="1"/>
      <c r="BT52" s="1"/>
      <c r="BU52" s="1"/>
      <c r="BV52" s="1"/>
      <c r="BW52" s="1"/>
      <c r="BX52" s="1"/>
      <c r="BY52" s="1"/>
      <c r="BZ52" s="1"/>
      <c r="CA52" s="15"/>
      <c r="CB52" s="1"/>
      <c r="CC52" s="1"/>
    </row>
    <row r="53" spans="2:82" x14ac:dyDescent="0.25">
      <c r="B53" s="14"/>
      <c r="E53" t="s">
        <v>54</v>
      </c>
      <c r="G53" s="46"/>
      <c r="I53" s="9">
        <v>2.2000000000000002</v>
      </c>
      <c r="J53" s="9">
        <v>1.54</v>
      </c>
      <c r="K53" s="9">
        <v>2.2400000000000002</v>
      </c>
      <c r="L53" s="9">
        <v>1.69</v>
      </c>
      <c r="M53" s="9">
        <v>2.15</v>
      </c>
      <c r="N53" s="9">
        <v>1.7</v>
      </c>
      <c r="O53" s="9">
        <v>1.67</v>
      </c>
      <c r="P53" s="9">
        <v>2.0099999999999998</v>
      </c>
      <c r="Q53" s="9">
        <v>1.1000000000000001</v>
      </c>
      <c r="R53" s="9">
        <v>1.28</v>
      </c>
      <c r="S53" s="9">
        <v>1.4</v>
      </c>
      <c r="T53" s="9">
        <v>2.4500000000000002</v>
      </c>
      <c r="U53" s="9">
        <v>1.22</v>
      </c>
      <c r="V53" s="9">
        <v>1.82</v>
      </c>
      <c r="W53" s="9">
        <v>1.33</v>
      </c>
      <c r="X53" s="9">
        <v>1.25</v>
      </c>
      <c r="Y53" s="9">
        <v>0.94</v>
      </c>
      <c r="Z53" s="9">
        <v>0.86</v>
      </c>
      <c r="AA53" s="9">
        <v>0.93</v>
      </c>
      <c r="AB53" s="9">
        <v>0.87</v>
      </c>
      <c r="AC53" s="9">
        <v>0.84</v>
      </c>
      <c r="AD53" s="9">
        <v>0.93</v>
      </c>
      <c r="AE53" s="9">
        <v>0.97</v>
      </c>
      <c r="AF53" s="9">
        <v>0.97</v>
      </c>
      <c r="AG53" s="9">
        <v>1.01</v>
      </c>
      <c r="AH53" s="9">
        <v>1.1000000000000001</v>
      </c>
      <c r="AI53" s="9">
        <v>1.47</v>
      </c>
      <c r="AJ53" s="9">
        <v>1.52</v>
      </c>
      <c r="AK53" s="9">
        <v>1.83</v>
      </c>
      <c r="AL53" s="9">
        <v>1.32</v>
      </c>
      <c r="AM53" s="9">
        <v>0.95</v>
      </c>
      <c r="AN53" s="9">
        <v>1.26</v>
      </c>
      <c r="AO53" s="9">
        <v>1.47</v>
      </c>
      <c r="AP53" s="9">
        <v>1.54</v>
      </c>
      <c r="AQ53" s="9">
        <v>1.22</v>
      </c>
      <c r="AR53" s="9">
        <v>1.06</v>
      </c>
      <c r="AS53" s="9">
        <v>1.92</v>
      </c>
      <c r="AT53" s="9">
        <v>2.66</v>
      </c>
      <c r="AU53" s="9">
        <v>2.66</v>
      </c>
      <c r="AV53" s="9">
        <v>2.76</v>
      </c>
      <c r="AW53" s="9">
        <v>3.02</v>
      </c>
      <c r="AX53" s="9">
        <v>4.13</v>
      </c>
      <c r="AY53" s="9">
        <v>4.07</v>
      </c>
      <c r="AZ53" s="9">
        <v>4.33</v>
      </c>
      <c r="BA53" s="9">
        <v>2.86</v>
      </c>
      <c r="BB53" s="9">
        <v>4.0599999999999996</v>
      </c>
      <c r="BC53" s="9">
        <v>4.58</v>
      </c>
      <c r="BD53" s="9">
        <v>1.45</v>
      </c>
      <c r="BE53" s="9">
        <v>2.25</v>
      </c>
      <c r="BF53" s="9">
        <v>2.2000000000000002</v>
      </c>
      <c r="BG53" s="9">
        <v>2.09</v>
      </c>
      <c r="BH53" s="9">
        <v>2.0299999999999998</v>
      </c>
      <c r="BI53" s="9">
        <v>2.2200000000000002</v>
      </c>
      <c r="BJ53" s="9">
        <v>2.2200000000000002</v>
      </c>
      <c r="BK53" s="9">
        <v>2.44</v>
      </c>
      <c r="BL53" s="9">
        <v>2.2799999999999998</v>
      </c>
      <c r="BN53" s="1"/>
      <c r="BO53" s="1"/>
      <c r="BP53" s="1"/>
      <c r="BQ53" s="1"/>
      <c r="BR53" s="1"/>
      <c r="BS53" s="1"/>
      <c r="BT53" s="1"/>
      <c r="BU53" s="1"/>
      <c r="BV53" s="1"/>
      <c r="BW53" s="1"/>
      <c r="BX53" s="1"/>
      <c r="BY53" s="1"/>
      <c r="BZ53" s="1"/>
      <c r="CA53" s="15"/>
      <c r="CB53" s="1"/>
      <c r="CC53" s="1"/>
    </row>
    <row r="54" spans="2:82" x14ac:dyDescent="0.25">
      <c r="B54" s="14"/>
      <c r="E54" s="16" t="s">
        <v>55</v>
      </c>
      <c r="F54" s="16"/>
      <c r="G54" s="48"/>
      <c r="H54" s="16"/>
      <c r="I54" s="65">
        <f t="shared" ref="I54:U54" si="50">SUM(I28:I53)</f>
        <v>58.989800000000002</v>
      </c>
      <c r="J54" s="65">
        <f t="shared" si="50"/>
        <v>60.271999999999998</v>
      </c>
      <c r="K54" s="65">
        <f t="shared" si="50"/>
        <v>70.170999999999992</v>
      </c>
      <c r="L54" s="65">
        <f t="shared" si="50"/>
        <v>70.75</v>
      </c>
      <c r="M54" s="65">
        <f t="shared" si="50"/>
        <v>70.510000000000005</v>
      </c>
      <c r="N54" s="65">
        <f t="shared" si="50"/>
        <v>65.17</v>
      </c>
      <c r="O54" s="65">
        <f t="shared" si="50"/>
        <v>67.840999999999994</v>
      </c>
      <c r="P54" s="65">
        <f t="shared" si="50"/>
        <v>48.300000000000004</v>
      </c>
      <c r="Q54" s="65">
        <f t="shared" si="50"/>
        <v>49.360000000000007</v>
      </c>
      <c r="R54" s="65">
        <f t="shared" si="50"/>
        <v>51.64</v>
      </c>
      <c r="S54" s="65">
        <f t="shared" si="50"/>
        <v>53.9</v>
      </c>
      <c r="T54" s="17">
        <f t="shared" si="50"/>
        <v>70.418000000000006</v>
      </c>
      <c r="U54" s="17">
        <f t="shared" si="50"/>
        <v>73.169999999999987</v>
      </c>
      <c r="V54" s="17">
        <f t="shared" ref="V54:AB54" si="51">SUM(V28:V53)</f>
        <v>62.730000000000004</v>
      </c>
      <c r="W54" s="17">
        <f t="shared" si="51"/>
        <v>59.569999999999993</v>
      </c>
      <c r="X54" s="17">
        <f t="shared" si="51"/>
        <v>58.190000000000012</v>
      </c>
      <c r="Y54" s="17">
        <f t="shared" si="51"/>
        <v>59.78</v>
      </c>
      <c r="Z54" s="17">
        <f t="shared" si="51"/>
        <v>60.509999999999991</v>
      </c>
      <c r="AA54" s="17">
        <f t="shared" si="51"/>
        <v>62.160000000000004</v>
      </c>
      <c r="AB54" s="17">
        <f t="shared" si="51"/>
        <v>63.650000000000006</v>
      </c>
      <c r="AC54" s="17">
        <f t="shared" ref="AC54" si="52">SUM(AC28:AC53)</f>
        <v>65.100000000000009</v>
      </c>
      <c r="AD54" s="17">
        <f t="shared" ref="AD54:AJ54" si="53">SUM(AD28:AD53)</f>
        <v>63.559999999999995</v>
      </c>
      <c r="AE54" s="17">
        <f t="shared" si="53"/>
        <v>65.53</v>
      </c>
      <c r="AF54" s="17">
        <f t="shared" si="53"/>
        <v>64.179999999999993</v>
      </c>
      <c r="AG54" s="17">
        <f t="shared" si="53"/>
        <v>65.34</v>
      </c>
      <c r="AH54" s="17">
        <f t="shared" si="53"/>
        <v>66.169999999999987</v>
      </c>
      <c r="AI54" s="17">
        <f t="shared" si="53"/>
        <v>65.06</v>
      </c>
      <c r="AJ54" s="17">
        <f t="shared" si="53"/>
        <v>66.11</v>
      </c>
      <c r="AK54" s="17">
        <f t="shared" ref="AK54" si="54">SUM(AK28:AK53)</f>
        <v>64.44</v>
      </c>
      <c r="AL54" s="17">
        <f t="shared" ref="AL54:AQ54" si="55">SUM(AL28:AL53)</f>
        <v>60.68</v>
      </c>
      <c r="AM54" s="17">
        <f t="shared" si="55"/>
        <v>59.31</v>
      </c>
      <c r="AN54" s="17">
        <f t="shared" si="55"/>
        <v>59.62</v>
      </c>
      <c r="AO54" s="17">
        <f t="shared" si="55"/>
        <v>62.339999999999996</v>
      </c>
      <c r="AP54" s="17">
        <f t="shared" si="55"/>
        <v>62.519999999999989</v>
      </c>
      <c r="AQ54" s="17">
        <f t="shared" si="55"/>
        <v>62.82</v>
      </c>
      <c r="AR54" s="17">
        <f>SUM(AR28:AR53)</f>
        <v>66.06</v>
      </c>
      <c r="AS54" s="17">
        <f>SUM(AS28:AS53)</f>
        <v>69.100000000000009</v>
      </c>
      <c r="AT54" s="17">
        <f>SUM(AT28:AT53)</f>
        <v>68.94</v>
      </c>
      <c r="AU54" s="17">
        <f t="shared" ref="AU54:AV54" si="56">SUM(AU28:AU53)</f>
        <v>68.94</v>
      </c>
      <c r="AV54" s="17">
        <f t="shared" si="56"/>
        <v>59.4</v>
      </c>
      <c r="AW54" s="17">
        <f t="shared" ref="AW54:AX54" si="57">SUM(AW28:AW53)</f>
        <v>62.620000000000012</v>
      </c>
      <c r="AX54" s="17">
        <f t="shared" si="57"/>
        <v>63.18</v>
      </c>
      <c r="AY54" s="17">
        <f t="shared" ref="AY54:AZ54" si="58">SUM(AY28:AY53)</f>
        <v>62.54</v>
      </c>
      <c r="AZ54" s="17">
        <f t="shared" si="58"/>
        <v>63.38</v>
      </c>
      <c r="BA54" s="17">
        <f t="shared" ref="BA54:BB54" si="59">SUM(BA28:BA53)</f>
        <v>64.600000000000009</v>
      </c>
      <c r="BB54" s="17">
        <f t="shared" si="59"/>
        <v>63.45</v>
      </c>
      <c r="BC54" s="17">
        <f t="shared" ref="BC54" si="60">SUM(BC28:BC53)</f>
        <v>65.53</v>
      </c>
      <c r="BD54" s="17">
        <f t="shared" ref="BD54:BJ54" si="61">SUM(BD28:BD53)</f>
        <v>62.540000000000006</v>
      </c>
      <c r="BE54" s="17">
        <f t="shared" si="61"/>
        <v>63.620000000000005</v>
      </c>
      <c r="BF54" s="17">
        <f t="shared" si="61"/>
        <v>64.84</v>
      </c>
      <c r="BG54" s="17">
        <f t="shared" si="61"/>
        <v>66.59</v>
      </c>
      <c r="BH54" s="17">
        <f t="shared" si="61"/>
        <v>65.88</v>
      </c>
      <c r="BI54" s="17">
        <f t="shared" si="61"/>
        <v>67.489999999999995</v>
      </c>
      <c r="BJ54" s="17">
        <f t="shared" si="61"/>
        <v>40.909999999999997</v>
      </c>
      <c r="BK54" s="17">
        <f>SUM(BK28:BK53)</f>
        <v>40.929999999999993</v>
      </c>
      <c r="BL54" s="17">
        <f>SUM(BL28:BL53)</f>
        <v>41.93</v>
      </c>
      <c r="BM54" s="16"/>
      <c r="BN54" s="17"/>
      <c r="BO54" s="17"/>
      <c r="BP54" s="17"/>
      <c r="BQ54" s="17"/>
      <c r="BR54" s="17"/>
      <c r="BS54" s="17"/>
      <c r="BT54" s="17"/>
      <c r="BU54" s="17"/>
      <c r="BV54" s="17"/>
      <c r="BW54" s="17"/>
      <c r="BX54" s="17"/>
      <c r="BY54" s="17"/>
      <c r="BZ54" s="17">
        <f>BN54*D1</f>
        <v>0</v>
      </c>
      <c r="CA54" s="18"/>
      <c r="CB54" s="17"/>
      <c r="CC54" s="17"/>
      <c r="CD54" s="17"/>
    </row>
    <row r="55" spans="2:82" x14ac:dyDescent="0.25">
      <c r="B55" s="19"/>
      <c r="C55" s="16"/>
      <c r="D55" s="16"/>
      <c r="E55" s="49" t="s">
        <v>57</v>
      </c>
      <c r="F55" s="16"/>
      <c r="G55" s="16">
        <v>79.11</v>
      </c>
      <c r="H55" s="16"/>
      <c r="I55" s="65">
        <f>G55-I54</f>
        <v>20.120199999999997</v>
      </c>
      <c r="J55" s="65">
        <f>$G$55-J54</f>
        <v>18.838000000000001</v>
      </c>
      <c r="K55" s="65">
        <f>$G$55-K54</f>
        <v>8.9390000000000072</v>
      </c>
      <c r="L55" s="65">
        <f t="shared" ref="L55:O55" si="62">$G$55-L54</f>
        <v>8.36</v>
      </c>
      <c r="M55" s="65">
        <f t="shared" si="62"/>
        <v>8.5999999999999943</v>
      </c>
      <c r="N55" s="65">
        <f t="shared" si="62"/>
        <v>13.939999999999998</v>
      </c>
      <c r="O55" s="65">
        <f t="shared" si="62"/>
        <v>11.269000000000005</v>
      </c>
      <c r="P55" s="65">
        <f t="shared" ref="P55" si="63">$G$55-P54</f>
        <v>30.809999999999995</v>
      </c>
      <c r="Q55" s="65">
        <f t="shared" ref="Q55:V55" si="64">$G$55-Q54</f>
        <v>29.749999999999993</v>
      </c>
      <c r="R55" s="65">
        <f t="shared" si="64"/>
        <v>27.47</v>
      </c>
      <c r="S55" s="65">
        <f t="shared" si="64"/>
        <v>25.21</v>
      </c>
      <c r="T55" s="17">
        <f t="shared" si="64"/>
        <v>8.6919999999999931</v>
      </c>
      <c r="U55" s="17">
        <f t="shared" si="64"/>
        <v>5.9400000000000119</v>
      </c>
      <c r="V55" s="17">
        <f t="shared" si="64"/>
        <v>16.379999999999995</v>
      </c>
      <c r="W55" s="17">
        <f t="shared" ref="W55" si="65">$G$55-W54</f>
        <v>19.540000000000006</v>
      </c>
      <c r="X55" s="17">
        <f t="shared" ref="X55:AC55" si="66">$G$55-X54</f>
        <v>20.919999999999987</v>
      </c>
      <c r="Y55" s="17">
        <f t="shared" si="66"/>
        <v>19.329999999999998</v>
      </c>
      <c r="Z55" s="17">
        <f t="shared" si="66"/>
        <v>18.600000000000009</v>
      </c>
      <c r="AA55" s="17">
        <f t="shared" si="66"/>
        <v>16.949999999999996</v>
      </c>
      <c r="AB55" s="17">
        <f t="shared" si="66"/>
        <v>15.459999999999994</v>
      </c>
      <c r="AC55" s="17">
        <f t="shared" si="66"/>
        <v>14.009999999999991</v>
      </c>
      <c r="AD55" s="17">
        <f t="shared" ref="AD55:AJ55" si="67">$G$55-AD54</f>
        <v>15.550000000000004</v>
      </c>
      <c r="AE55" s="17">
        <f t="shared" si="67"/>
        <v>13.579999999999998</v>
      </c>
      <c r="AF55" s="17">
        <f t="shared" si="67"/>
        <v>14.930000000000007</v>
      </c>
      <c r="AG55" s="17">
        <f t="shared" si="67"/>
        <v>13.769999999999996</v>
      </c>
      <c r="AH55" s="17">
        <f t="shared" si="67"/>
        <v>12.940000000000012</v>
      </c>
      <c r="AI55" s="17">
        <f t="shared" si="67"/>
        <v>14.049999999999997</v>
      </c>
      <c r="AJ55" s="17">
        <f t="shared" si="67"/>
        <v>13</v>
      </c>
      <c r="AK55" s="17">
        <f t="shared" ref="AK55" si="68">$G$55-AK54</f>
        <v>14.670000000000002</v>
      </c>
      <c r="AL55" s="17">
        <f t="shared" ref="AL55:AQ55" si="69">$G$55-AL54</f>
        <v>18.43</v>
      </c>
      <c r="AM55" s="17">
        <f t="shared" si="69"/>
        <v>19.799999999999997</v>
      </c>
      <c r="AN55" s="17">
        <f t="shared" si="69"/>
        <v>19.490000000000002</v>
      </c>
      <c r="AO55" s="17">
        <f t="shared" si="69"/>
        <v>16.770000000000003</v>
      </c>
      <c r="AP55" s="17">
        <f t="shared" si="69"/>
        <v>16.590000000000011</v>
      </c>
      <c r="AQ55" s="17">
        <f t="shared" si="69"/>
        <v>16.29</v>
      </c>
      <c r="AR55" s="17">
        <f>$G$55-AR54</f>
        <v>13.049999999999997</v>
      </c>
      <c r="AS55" s="17">
        <f>$G$55-AS54</f>
        <v>10.009999999999991</v>
      </c>
      <c r="AT55" s="17">
        <f>$G$55-AT54</f>
        <v>10.170000000000002</v>
      </c>
      <c r="AU55" s="17">
        <f t="shared" ref="AU55:AV55" si="70">$G$55-AU54</f>
        <v>10.170000000000002</v>
      </c>
      <c r="AV55" s="17">
        <f t="shared" si="70"/>
        <v>19.71</v>
      </c>
      <c r="AW55" s="17">
        <f t="shared" ref="AW55:AX55" si="71">$G$55-AW54</f>
        <v>16.489999999999988</v>
      </c>
      <c r="AX55" s="17">
        <f t="shared" si="71"/>
        <v>15.93</v>
      </c>
      <c r="AY55" s="17">
        <f t="shared" ref="AY55:AZ55" si="72">$G$55-AY54</f>
        <v>16.57</v>
      </c>
      <c r="AZ55" s="17">
        <f t="shared" si="72"/>
        <v>15.729999999999997</v>
      </c>
      <c r="BA55" s="17">
        <f t="shared" ref="BA55:BB55" si="73">$G$55-BA54</f>
        <v>14.509999999999991</v>
      </c>
      <c r="BB55" s="17">
        <f t="shared" si="73"/>
        <v>15.659999999999997</v>
      </c>
      <c r="BC55" s="17">
        <f t="shared" ref="BC55" si="74">$G$55-BC54</f>
        <v>13.579999999999998</v>
      </c>
      <c r="BD55" s="17">
        <f t="shared" ref="BD55:BJ55" si="75">$G$55-BD54</f>
        <v>16.569999999999993</v>
      </c>
      <c r="BE55" s="17">
        <f t="shared" si="75"/>
        <v>15.489999999999995</v>
      </c>
      <c r="BF55" s="17">
        <f t="shared" si="75"/>
        <v>14.269999999999996</v>
      </c>
      <c r="BG55" s="17">
        <f t="shared" si="75"/>
        <v>12.519999999999996</v>
      </c>
      <c r="BH55" s="17">
        <f t="shared" si="75"/>
        <v>13.230000000000004</v>
      </c>
      <c r="BI55" s="17">
        <f t="shared" si="75"/>
        <v>11.620000000000005</v>
      </c>
      <c r="BJ55" s="17">
        <f t="shared" si="75"/>
        <v>38.200000000000003</v>
      </c>
      <c r="BK55" s="17">
        <f>$G$55-BK54</f>
        <v>38.180000000000007</v>
      </c>
      <c r="BL55" s="17">
        <f>$G$55-BL54</f>
        <v>37.18</v>
      </c>
      <c r="BM55" s="16"/>
      <c r="BN55" s="17"/>
      <c r="BO55" s="17"/>
      <c r="BP55" s="17"/>
      <c r="BQ55" s="17"/>
      <c r="BR55" s="17"/>
      <c r="BS55" s="17"/>
      <c r="BT55" s="17"/>
      <c r="BU55" s="17"/>
      <c r="BV55" s="17"/>
      <c r="BW55" s="17"/>
      <c r="BX55" s="17"/>
      <c r="BY55" s="17"/>
      <c r="BZ55" s="17"/>
      <c r="CA55" s="18"/>
      <c r="CB55" s="17"/>
      <c r="CC55" s="17"/>
      <c r="CD55" s="17"/>
    </row>
    <row r="56" spans="2:82" ht="15.75" thickBot="1" x14ac:dyDescent="0.3">
      <c r="B56" s="20"/>
      <c r="C56" s="21"/>
      <c r="D56" s="21"/>
      <c r="E56" s="22" t="s">
        <v>59</v>
      </c>
      <c r="F56" s="22"/>
      <c r="G56" s="22"/>
      <c r="H56" s="22"/>
      <c r="I56" s="81">
        <f>I54/$G$55</f>
        <v>0.745668057135634</v>
      </c>
      <c r="J56" s="81">
        <f>J54/$G$55</f>
        <v>0.76187586904310456</v>
      </c>
      <c r="K56" s="23">
        <f>K54/$G$55</f>
        <v>0.8870054354695992</v>
      </c>
      <c r="L56" s="23">
        <f t="shared" ref="L56:O56" si="76">L54/$G$55</f>
        <v>0.89432435848818104</v>
      </c>
      <c r="M56" s="23">
        <f t="shared" si="76"/>
        <v>0.8912906080141576</v>
      </c>
      <c r="N56" s="23">
        <f t="shared" si="76"/>
        <v>0.82378965996713438</v>
      </c>
      <c r="O56" s="23">
        <f t="shared" si="76"/>
        <v>0.85755277461762092</v>
      </c>
      <c r="P56" s="23">
        <f t="shared" ref="P56" si="77">P54/$G$55</f>
        <v>0.61054228289723178</v>
      </c>
      <c r="Q56" s="23">
        <f t="shared" ref="Q56:V56" si="78">Q54/$G$55</f>
        <v>0.62394134749083563</v>
      </c>
      <c r="R56" s="23">
        <f t="shared" si="78"/>
        <v>0.65276197699405891</v>
      </c>
      <c r="S56" s="23">
        <f t="shared" si="78"/>
        <v>0.68132979395778026</v>
      </c>
      <c r="T56" s="70">
        <f t="shared" si="78"/>
        <v>0.89012767033244855</v>
      </c>
      <c r="U56" s="70">
        <f t="shared" si="78"/>
        <v>0.92491467576791797</v>
      </c>
      <c r="V56" s="72">
        <f t="shared" si="78"/>
        <v>0.7929465301478954</v>
      </c>
      <c r="W56" s="72">
        <f t="shared" ref="W56" si="79">W54/$G$55</f>
        <v>0.75300214890658568</v>
      </c>
      <c r="X56" s="72">
        <f t="shared" ref="X56:AC56" si="80">X54/$G$55</f>
        <v>0.73555808368095077</v>
      </c>
      <c r="Y56" s="72">
        <f t="shared" si="80"/>
        <v>0.75565668057135638</v>
      </c>
      <c r="Z56" s="72">
        <f t="shared" si="80"/>
        <v>0.7648843382631777</v>
      </c>
      <c r="AA56" s="72">
        <f t="shared" si="80"/>
        <v>0.78574137277208955</v>
      </c>
      <c r="AB56" s="72">
        <f t="shared" si="80"/>
        <v>0.80457590696498549</v>
      </c>
      <c r="AC56" s="70">
        <f t="shared" si="80"/>
        <v>0.82290481607887767</v>
      </c>
      <c r="AD56" s="70">
        <f t="shared" ref="AD56:AI56" si="81">AD54/$G$55</f>
        <v>0.80343825053722662</v>
      </c>
      <c r="AE56" s="70">
        <f t="shared" si="81"/>
        <v>0.82834028567816964</v>
      </c>
      <c r="AF56" s="70">
        <f t="shared" si="81"/>
        <v>0.81127543926178725</v>
      </c>
      <c r="AG56" s="70">
        <f t="shared" si="81"/>
        <v>0.8259385665529011</v>
      </c>
      <c r="AH56" s="70">
        <f t="shared" si="81"/>
        <v>0.8364302869422322</v>
      </c>
      <c r="AI56" s="70">
        <f t="shared" si="81"/>
        <v>0.82239919099987357</v>
      </c>
      <c r="AJ56" s="70">
        <f t="shared" ref="AJ56:AK56" si="82">AJ54/$G$55</f>
        <v>0.8356718493237264</v>
      </c>
      <c r="AK56" s="70">
        <f t="shared" si="82"/>
        <v>0.81456200227531284</v>
      </c>
      <c r="AL56" s="72">
        <f t="shared" ref="AL56:AQ56" si="83">AL54/$G$55</f>
        <v>0.76703324484894453</v>
      </c>
      <c r="AM56" s="72">
        <f t="shared" si="83"/>
        <v>0.74971558589306031</v>
      </c>
      <c r="AN56" s="72">
        <f t="shared" si="83"/>
        <v>0.75363418025534068</v>
      </c>
      <c r="AO56" s="72">
        <f t="shared" si="83"/>
        <v>0.78801668562760707</v>
      </c>
      <c r="AP56" s="72">
        <f t="shared" si="83"/>
        <v>0.79029199848312459</v>
      </c>
      <c r="AQ56" s="72">
        <f t="shared" si="83"/>
        <v>0.79408418657565416</v>
      </c>
      <c r="AR56" s="70">
        <f>AR54/$G$55</f>
        <v>0.83503981797497162</v>
      </c>
      <c r="AS56" s="70">
        <f>AS54/$G$55</f>
        <v>0.87346732397926952</v>
      </c>
      <c r="AT56" s="70">
        <f>AT54/$G$55</f>
        <v>0.87144482366325371</v>
      </c>
      <c r="AU56" s="70">
        <f t="shared" ref="AU56:AV56" si="84">AU54/$G$55</f>
        <v>0.87144482366325371</v>
      </c>
      <c r="AV56" s="72">
        <f t="shared" si="84"/>
        <v>0.75085324232081907</v>
      </c>
      <c r="AW56" s="72">
        <f t="shared" ref="AW56:AX56" si="85">AW54/$G$55</f>
        <v>0.79155606118063471</v>
      </c>
      <c r="AX56" s="72">
        <f t="shared" si="85"/>
        <v>0.79863481228668942</v>
      </c>
      <c r="AY56" s="72">
        <f t="shared" ref="AY56:AZ56" si="86">AY54/$G$55</f>
        <v>0.79054481102262675</v>
      </c>
      <c r="AZ56" s="72">
        <f t="shared" si="86"/>
        <v>0.8011629376817091</v>
      </c>
      <c r="BA56" s="72">
        <f t="shared" ref="BA56:BB56" si="87">BA54/$G$55</f>
        <v>0.81658450259132864</v>
      </c>
      <c r="BB56" s="72">
        <f t="shared" si="87"/>
        <v>0.80204778156996592</v>
      </c>
      <c r="BC56" s="72">
        <f t="shared" ref="BC56" si="88">BC54/$G$55</f>
        <v>0.82834028567816964</v>
      </c>
      <c r="BD56" s="72">
        <f t="shared" ref="BD56:BI56" si="89">BD54/$G$55</f>
        <v>0.79054481102262686</v>
      </c>
      <c r="BE56" s="72">
        <f t="shared" si="89"/>
        <v>0.80419668815573264</v>
      </c>
      <c r="BF56" s="72">
        <f t="shared" si="89"/>
        <v>0.81961825306535208</v>
      </c>
      <c r="BG56" s="72">
        <f t="shared" si="89"/>
        <v>0.84173935027177349</v>
      </c>
      <c r="BH56" s="72">
        <f t="shared" si="89"/>
        <v>0.83276450511945388</v>
      </c>
      <c r="BI56" s="72">
        <f t="shared" si="89"/>
        <v>0.85311591454936164</v>
      </c>
      <c r="BJ56" s="72">
        <f t="shared" ref="BJ56" si="90">BJ54/$G$55</f>
        <v>0.51712804955125768</v>
      </c>
      <c r="BK56" s="72">
        <f>BK54/$G$55</f>
        <v>0.51738086209075962</v>
      </c>
      <c r="BL56" s="72">
        <f>BL54/$G$55</f>
        <v>0.53002148906585766</v>
      </c>
      <c r="BM56" s="22"/>
      <c r="BN56" s="24"/>
      <c r="BO56" s="24"/>
      <c r="BP56" s="24"/>
      <c r="BQ56" s="24"/>
      <c r="BR56" s="24"/>
      <c r="BS56" s="24"/>
      <c r="BT56" s="24"/>
      <c r="BU56" s="24"/>
      <c r="BV56" s="24"/>
      <c r="BW56" s="24"/>
      <c r="BX56" s="24"/>
      <c r="BY56" s="24"/>
      <c r="BZ56" s="24"/>
      <c r="CA56" s="25"/>
      <c r="CB56" s="17"/>
      <c r="CC56" s="17"/>
      <c r="CD56" s="17"/>
    </row>
    <row r="57" spans="2:82" ht="15.75" thickBot="1" x14ac:dyDescent="0.3">
      <c r="I57" s="12"/>
      <c r="J57" s="12"/>
      <c r="K57" s="1"/>
      <c r="L57" s="1"/>
      <c r="M57" s="1"/>
      <c r="N57" s="1"/>
      <c r="O57" s="1"/>
      <c r="P57" s="1"/>
      <c r="Q57" s="1"/>
      <c r="R57" s="1"/>
      <c r="S57" s="1"/>
      <c r="T57" s="1"/>
      <c r="U57" s="1"/>
      <c r="V57" s="1"/>
      <c r="W57" s="1"/>
      <c r="X57" s="1"/>
      <c r="Y57" s="1"/>
      <c r="Z57" s="1"/>
      <c r="AA57" s="1"/>
      <c r="AB57" s="1"/>
      <c r="AC57" s="1"/>
      <c r="AD57" s="1"/>
      <c r="AE57" s="1"/>
      <c r="AF57" s="1"/>
      <c r="BN57" s="1"/>
      <c r="BO57" s="1"/>
      <c r="BP57" s="1"/>
      <c r="BQ57" s="1"/>
      <c r="BR57" s="1"/>
      <c r="BS57" s="1"/>
      <c r="BT57" s="1"/>
      <c r="BU57" s="1"/>
      <c r="BV57" s="1"/>
      <c r="BW57" s="1"/>
      <c r="BX57" s="1"/>
      <c r="BY57" s="1"/>
      <c r="BZ57" s="1"/>
      <c r="CA57" s="1"/>
      <c r="CB57" s="1"/>
      <c r="CC57" s="1"/>
    </row>
    <row r="58" spans="2:82" x14ac:dyDescent="0.25">
      <c r="B58" s="43" t="s">
        <v>83</v>
      </c>
      <c r="C58" s="10" t="s">
        <v>38</v>
      </c>
      <c r="D58" s="10" t="s">
        <v>84</v>
      </c>
      <c r="E58" s="10" t="s">
        <v>318</v>
      </c>
      <c r="F58" s="10"/>
      <c r="G58" s="26"/>
      <c r="H58" s="10"/>
      <c r="I58" s="10"/>
      <c r="J58" s="10"/>
      <c r="K58" s="10"/>
      <c r="L58" s="10"/>
      <c r="M58" s="10"/>
      <c r="N58" s="10"/>
      <c r="O58" s="10"/>
      <c r="P58" s="10"/>
      <c r="Q58" s="10"/>
      <c r="R58" s="10"/>
      <c r="S58" s="10"/>
      <c r="T58" s="10"/>
      <c r="U58" s="10"/>
      <c r="V58" s="10"/>
      <c r="W58" s="10"/>
      <c r="X58" s="10"/>
      <c r="Y58" s="10"/>
      <c r="Z58" s="10"/>
      <c r="AA58" s="10"/>
      <c r="AB58" s="10"/>
      <c r="AC58" s="10"/>
      <c r="AD58" s="10"/>
      <c r="AE58" s="10"/>
      <c r="AF58" s="10"/>
      <c r="AG58" s="10"/>
      <c r="AH58" s="10"/>
      <c r="AI58" s="10"/>
      <c r="AJ58" s="10"/>
      <c r="AK58" s="10"/>
      <c r="AL58" s="10">
        <v>15.1</v>
      </c>
      <c r="AM58" s="10">
        <v>15.44</v>
      </c>
      <c r="AN58" s="10">
        <v>15.45</v>
      </c>
      <c r="AO58" s="10">
        <v>15.49</v>
      </c>
      <c r="AP58" s="10">
        <v>15.61</v>
      </c>
      <c r="AQ58" s="10">
        <v>15.66</v>
      </c>
      <c r="AR58" s="10">
        <v>15.79</v>
      </c>
      <c r="AS58" s="10">
        <v>15.95</v>
      </c>
      <c r="AT58" s="10">
        <v>15.93</v>
      </c>
      <c r="AU58" s="10">
        <v>15.93</v>
      </c>
      <c r="AV58" s="10">
        <v>15.91</v>
      </c>
      <c r="AW58" s="10">
        <v>15.92</v>
      </c>
      <c r="AX58" s="10">
        <v>15.96</v>
      </c>
      <c r="AY58" s="10">
        <v>15.98</v>
      </c>
      <c r="AZ58" s="10">
        <v>16.010000000000002</v>
      </c>
      <c r="BA58" s="10">
        <v>16.079999999999998</v>
      </c>
      <c r="BB58" s="10">
        <v>16.12</v>
      </c>
      <c r="BC58" s="10">
        <v>16.13</v>
      </c>
      <c r="BD58" s="10">
        <v>16.16</v>
      </c>
      <c r="BE58" s="10">
        <v>16.14</v>
      </c>
      <c r="BF58" s="10">
        <v>16.16</v>
      </c>
      <c r="BG58" s="10">
        <v>16.170000000000002</v>
      </c>
      <c r="BH58" s="10">
        <v>15.83</v>
      </c>
      <c r="BI58" s="10">
        <v>15.83</v>
      </c>
      <c r="BJ58" s="44">
        <v>0</v>
      </c>
      <c r="BK58" s="44">
        <v>0</v>
      </c>
      <c r="BL58" s="44">
        <v>0</v>
      </c>
      <c r="BM58" s="10"/>
      <c r="BN58" s="12"/>
      <c r="BO58" s="12"/>
      <c r="BP58" s="12"/>
      <c r="BQ58" s="12"/>
      <c r="BR58" s="12"/>
      <c r="BS58" s="12"/>
      <c r="BT58" s="12"/>
      <c r="BU58" s="12"/>
      <c r="BV58" s="12"/>
      <c r="BW58" s="12"/>
      <c r="BX58" s="12"/>
      <c r="BY58" s="12"/>
      <c r="BZ58" s="12"/>
      <c r="CA58" s="13"/>
      <c r="CB58" s="1"/>
      <c r="CC58" s="1"/>
    </row>
    <row r="59" spans="2:82" x14ac:dyDescent="0.25">
      <c r="B59" s="42" t="s">
        <v>86</v>
      </c>
      <c r="E59" t="s">
        <v>85</v>
      </c>
      <c r="G59" s="46"/>
      <c r="I59" s="9">
        <v>0.27332000000000001</v>
      </c>
      <c r="J59" s="9">
        <v>0.29099999999999998</v>
      </c>
      <c r="K59" s="9">
        <v>0.28999999999999998</v>
      </c>
      <c r="L59" s="9">
        <v>0</v>
      </c>
      <c r="M59" s="9">
        <v>0</v>
      </c>
      <c r="N59" s="9">
        <v>0</v>
      </c>
      <c r="O59" s="9">
        <v>0</v>
      </c>
      <c r="P59" s="9">
        <v>0</v>
      </c>
      <c r="Q59" s="9">
        <v>0</v>
      </c>
      <c r="R59" s="9">
        <v>0</v>
      </c>
      <c r="S59" s="9">
        <v>0</v>
      </c>
      <c r="T59" s="9">
        <v>0</v>
      </c>
      <c r="U59" s="9">
        <v>0</v>
      </c>
      <c r="V59" s="9">
        <v>0</v>
      </c>
      <c r="W59" s="9">
        <v>0</v>
      </c>
      <c r="X59" s="9">
        <v>0</v>
      </c>
      <c r="Y59" s="9">
        <v>0</v>
      </c>
      <c r="Z59" s="9">
        <v>0</v>
      </c>
      <c r="AA59" s="9">
        <v>0</v>
      </c>
      <c r="AB59" s="9">
        <v>0</v>
      </c>
      <c r="AC59" s="9">
        <v>0</v>
      </c>
      <c r="AD59" s="9">
        <v>0.1</v>
      </c>
      <c r="AE59" s="9">
        <v>0.01</v>
      </c>
      <c r="AF59" s="9">
        <v>7.77</v>
      </c>
      <c r="AG59">
        <f>8.09</f>
        <v>8.09</v>
      </c>
      <c r="AH59" s="8">
        <v>0</v>
      </c>
      <c r="AI59" s="8">
        <v>0</v>
      </c>
      <c r="AJ59">
        <v>0</v>
      </c>
      <c r="AK59">
        <v>0.01</v>
      </c>
      <c r="AL59">
        <v>0.01</v>
      </c>
      <c r="AM59">
        <v>0.01</v>
      </c>
      <c r="AN59">
        <v>0.01</v>
      </c>
      <c r="AO59">
        <v>0.01</v>
      </c>
      <c r="AP59">
        <v>0.01</v>
      </c>
      <c r="AQ59">
        <v>0.01</v>
      </c>
      <c r="AR59">
        <v>0.02</v>
      </c>
      <c r="AS59">
        <v>0.02</v>
      </c>
      <c r="AT59">
        <v>0.02</v>
      </c>
      <c r="AU59">
        <v>0.02</v>
      </c>
      <c r="AV59">
        <v>0.02</v>
      </c>
      <c r="AW59">
        <v>0.02</v>
      </c>
      <c r="AX59">
        <v>0.21</v>
      </c>
      <c r="AY59">
        <v>0.21</v>
      </c>
      <c r="AZ59">
        <v>0.21</v>
      </c>
      <c r="BA59">
        <v>0.21</v>
      </c>
      <c r="BB59">
        <v>0.2</v>
      </c>
      <c r="BC59">
        <v>0.24</v>
      </c>
      <c r="BD59">
        <v>0.25</v>
      </c>
      <c r="BE59">
        <v>0.24</v>
      </c>
      <c r="BF59">
        <v>0.24</v>
      </c>
      <c r="BG59">
        <v>0.24</v>
      </c>
      <c r="BH59">
        <v>0.24</v>
      </c>
      <c r="BI59">
        <v>0.25</v>
      </c>
      <c r="BJ59" s="8">
        <v>0.2</v>
      </c>
      <c r="BK59" s="8">
        <v>0.2</v>
      </c>
      <c r="BL59" s="8">
        <v>0.21</v>
      </c>
      <c r="BN59" s="1"/>
      <c r="BO59" s="1"/>
      <c r="BP59" s="1"/>
      <c r="BQ59" s="1"/>
      <c r="BR59" s="1"/>
      <c r="BS59" s="1"/>
      <c r="BT59" s="1"/>
      <c r="BU59" s="1"/>
      <c r="BV59" s="1"/>
      <c r="BW59" s="1"/>
      <c r="BX59" s="1"/>
      <c r="BY59" s="1"/>
      <c r="BZ59" s="1"/>
      <c r="CA59" s="15"/>
      <c r="CB59" s="1"/>
      <c r="CC59" s="1"/>
    </row>
    <row r="60" spans="2:82" x14ac:dyDescent="0.25">
      <c r="B60" s="42" t="s">
        <v>87</v>
      </c>
      <c r="E60" t="s">
        <v>42</v>
      </c>
      <c r="G60" s="46"/>
      <c r="I60" s="9">
        <v>1.1399999999999999</v>
      </c>
      <c r="J60" s="9">
        <v>1.01</v>
      </c>
      <c r="K60" s="9">
        <v>0.73</v>
      </c>
      <c r="L60" s="9">
        <v>0</v>
      </c>
      <c r="M60" s="9">
        <v>0</v>
      </c>
      <c r="N60" s="9">
        <v>0</v>
      </c>
      <c r="O60" s="9">
        <v>0</v>
      </c>
      <c r="P60" s="9">
        <v>0</v>
      </c>
      <c r="Q60" s="9">
        <v>0</v>
      </c>
      <c r="R60" s="9">
        <v>0</v>
      </c>
      <c r="S60" s="9">
        <v>0</v>
      </c>
      <c r="T60" s="9">
        <v>0</v>
      </c>
      <c r="U60" s="9">
        <v>0</v>
      </c>
      <c r="V60" s="9">
        <v>0</v>
      </c>
      <c r="W60" s="9">
        <v>0</v>
      </c>
      <c r="X60" s="9">
        <v>0</v>
      </c>
      <c r="Y60" s="9">
        <v>0</v>
      </c>
      <c r="Z60" s="9">
        <v>0</v>
      </c>
      <c r="AA60" s="9">
        <v>0</v>
      </c>
      <c r="AB60" s="9">
        <v>0</v>
      </c>
      <c r="AC60" s="9">
        <v>0</v>
      </c>
      <c r="AD60" s="9">
        <v>0</v>
      </c>
      <c r="AE60" s="9">
        <v>0</v>
      </c>
      <c r="AF60" s="9">
        <v>0</v>
      </c>
      <c r="AG60" s="9">
        <v>0</v>
      </c>
      <c r="AH60" s="9">
        <v>0</v>
      </c>
      <c r="AI60" s="9">
        <v>0</v>
      </c>
      <c r="AJ60" s="9">
        <v>0</v>
      </c>
      <c r="AK60" s="9">
        <v>0</v>
      </c>
      <c r="AL60" s="9">
        <v>0</v>
      </c>
      <c r="AM60" s="9">
        <v>0</v>
      </c>
      <c r="AN60" s="9">
        <v>0</v>
      </c>
      <c r="AO60" s="9">
        <v>0</v>
      </c>
      <c r="AP60" s="9">
        <v>0</v>
      </c>
      <c r="AQ60" s="9">
        <v>0</v>
      </c>
      <c r="AR60" s="9">
        <v>0</v>
      </c>
      <c r="AS60" s="9">
        <v>0</v>
      </c>
      <c r="AT60" s="9">
        <v>0</v>
      </c>
      <c r="AU60" s="9">
        <v>0</v>
      </c>
      <c r="AV60" s="9">
        <v>0</v>
      </c>
      <c r="AW60" s="9">
        <v>0</v>
      </c>
      <c r="AX60" s="9">
        <v>0</v>
      </c>
      <c r="AY60" s="9">
        <v>0</v>
      </c>
      <c r="AZ60" s="9">
        <v>0</v>
      </c>
      <c r="BA60" s="9">
        <v>0</v>
      </c>
      <c r="BB60" s="9">
        <v>0</v>
      </c>
      <c r="BC60" s="9">
        <v>0</v>
      </c>
      <c r="BD60" s="9">
        <v>0</v>
      </c>
      <c r="BE60" s="9">
        <v>0</v>
      </c>
      <c r="BF60" s="9">
        <v>0</v>
      </c>
      <c r="BG60" s="9">
        <v>0</v>
      </c>
      <c r="BH60" s="9">
        <v>0</v>
      </c>
      <c r="BI60" s="9">
        <v>0</v>
      </c>
      <c r="BJ60" s="9">
        <v>0</v>
      </c>
      <c r="BK60" s="9">
        <v>0</v>
      </c>
      <c r="BL60" s="9">
        <v>0</v>
      </c>
      <c r="BN60" s="1"/>
      <c r="BO60" s="1"/>
      <c r="BP60" s="1"/>
      <c r="BQ60" s="1"/>
      <c r="BR60" s="1"/>
      <c r="BS60" s="1"/>
      <c r="BT60" s="1"/>
      <c r="BU60" s="1"/>
      <c r="BV60" s="1"/>
      <c r="BW60" s="1"/>
      <c r="BX60" s="1"/>
      <c r="BY60" s="1"/>
      <c r="BZ60" s="1"/>
      <c r="CA60" s="15"/>
      <c r="CB60" s="1"/>
      <c r="CC60" s="1"/>
    </row>
    <row r="61" spans="2:82" x14ac:dyDescent="0.25">
      <c r="B61" s="30"/>
      <c r="E61" t="s">
        <v>43</v>
      </c>
      <c r="G61" s="46"/>
      <c r="I61" s="9">
        <v>2.6</v>
      </c>
      <c r="J61" s="9">
        <v>2.5099999999999998</v>
      </c>
      <c r="K61" s="9">
        <v>2.76</v>
      </c>
      <c r="L61" s="9">
        <v>0</v>
      </c>
      <c r="M61" s="9">
        <v>7.53</v>
      </c>
      <c r="N61" s="9">
        <v>14.92</v>
      </c>
      <c r="O61" s="9">
        <v>14.3</v>
      </c>
      <c r="P61" s="9">
        <v>14.12</v>
      </c>
      <c r="Q61" s="9">
        <v>14.07</v>
      </c>
      <c r="R61" s="9">
        <v>14.13</v>
      </c>
      <c r="S61" s="9">
        <v>14.05</v>
      </c>
      <c r="T61" s="9">
        <v>14.13</v>
      </c>
      <c r="U61" s="9">
        <v>15.7</v>
      </c>
      <c r="V61" s="9">
        <v>25.03</v>
      </c>
      <c r="W61" s="9">
        <v>25.64</v>
      </c>
      <c r="X61" s="9">
        <v>26.07</v>
      </c>
      <c r="Y61" s="9">
        <v>15.33</v>
      </c>
      <c r="Z61" s="9">
        <v>14.37</v>
      </c>
      <c r="AA61" s="9">
        <v>14.44</v>
      </c>
      <c r="AB61" s="9">
        <v>13.67</v>
      </c>
      <c r="AC61" s="9">
        <v>13.8</v>
      </c>
      <c r="AD61" s="9">
        <v>14.09</v>
      </c>
      <c r="AE61" s="9">
        <v>14.84</v>
      </c>
      <c r="AF61" s="9">
        <v>14.29</v>
      </c>
      <c r="AG61" s="9">
        <v>14.4</v>
      </c>
      <c r="AH61" s="9">
        <v>13.63</v>
      </c>
      <c r="AI61" s="9">
        <v>13.73</v>
      </c>
      <c r="AJ61" s="9">
        <v>13.75</v>
      </c>
      <c r="AK61" s="9">
        <v>13.78</v>
      </c>
      <c r="AL61" s="9">
        <v>2.59</v>
      </c>
      <c r="AM61" s="9">
        <v>3.58</v>
      </c>
      <c r="AN61" s="9">
        <v>3.89</v>
      </c>
      <c r="AO61" s="9">
        <v>3.88</v>
      </c>
      <c r="AP61" s="9">
        <v>3.11</v>
      </c>
      <c r="AQ61" s="9">
        <v>4.16</v>
      </c>
      <c r="AR61" s="9">
        <v>4.29</v>
      </c>
      <c r="AS61" s="9">
        <v>3.97</v>
      </c>
      <c r="AT61" s="9">
        <v>3.09</v>
      </c>
      <c r="AU61" s="9">
        <v>3.09</v>
      </c>
      <c r="AV61" s="9">
        <v>3.77</v>
      </c>
      <c r="AW61" s="9">
        <v>4.6100000000000003</v>
      </c>
      <c r="AX61" s="9">
        <v>4.0199999999999996</v>
      </c>
      <c r="AY61" s="9">
        <v>4.34</v>
      </c>
      <c r="AZ61" s="9">
        <v>4.0599999999999996</v>
      </c>
      <c r="BA61" s="9">
        <v>4.08</v>
      </c>
      <c r="BB61" s="9">
        <v>4.0599999999999996</v>
      </c>
      <c r="BC61" s="9">
        <v>4.3</v>
      </c>
      <c r="BD61" s="9">
        <v>4.29</v>
      </c>
      <c r="BE61" s="9">
        <v>3.56</v>
      </c>
      <c r="BF61" s="9">
        <v>3.5</v>
      </c>
      <c r="BG61" s="9">
        <v>3.55</v>
      </c>
      <c r="BH61" s="9">
        <v>3.53</v>
      </c>
      <c r="BI61" s="9">
        <v>3.36</v>
      </c>
      <c r="BJ61" s="9">
        <v>3.43</v>
      </c>
      <c r="BK61" s="9">
        <v>3.4</v>
      </c>
      <c r="BL61" s="9">
        <v>3.61</v>
      </c>
      <c r="BN61" s="1"/>
      <c r="BO61" s="1"/>
      <c r="BP61" s="1"/>
      <c r="BQ61" s="1"/>
      <c r="BR61" s="1"/>
      <c r="BS61" s="1"/>
      <c r="BT61" s="1"/>
      <c r="BU61" s="1"/>
      <c r="BV61" s="1"/>
      <c r="BW61" s="1"/>
      <c r="BX61" s="1"/>
      <c r="BY61" s="1"/>
      <c r="BZ61" s="1"/>
      <c r="CA61" s="15"/>
      <c r="CB61" s="1"/>
      <c r="CC61" s="1"/>
    </row>
    <row r="62" spans="2:82" x14ac:dyDescent="0.25">
      <c r="B62" s="14"/>
      <c r="D62" t="s">
        <v>88</v>
      </c>
      <c r="E62" s="50" t="s">
        <v>89</v>
      </c>
      <c r="G62" s="46"/>
      <c r="I62" s="9">
        <v>0.22689999999999999</v>
      </c>
      <c r="J62" s="9">
        <v>0.22900000000000001</v>
      </c>
      <c r="K62" s="9">
        <v>0.23</v>
      </c>
      <c r="L62" s="9">
        <v>0</v>
      </c>
      <c r="M62" s="9">
        <v>0</v>
      </c>
      <c r="N62" s="9">
        <v>0</v>
      </c>
      <c r="O62" s="9">
        <v>0</v>
      </c>
      <c r="P62" s="9">
        <v>0</v>
      </c>
      <c r="Q62" s="9">
        <v>0</v>
      </c>
      <c r="R62" s="9">
        <v>0</v>
      </c>
      <c r="S62" s="9">
        <v>0</v>
      </c>
      <c r="T62" s="9">
        <v>0</v>
      </c>
      <c r="U62" s="9">
        <v>0</v>
      </c>
      <c r="V62" s="9">
        <v>0</v>
      </c>
      <c r="W62" s="9">
        <v>0</v>
      </c>
      <c r="X62" s="9">
        <v>0</v>
      </c>
      <c r="Y62" s="9">
        <v>0</v>
      </c>
      <c r="Z62" s="9">
        <v>0</v>
      </c>
      <c r="AA62" s="9">
        <v>0</v>
      </c>
      <c r="AB62" s="9">
        <v>0</v>
      </c>
      <c r="AC62" s="9">
        <v>0</v>
      </c>
      <c r="AD62" s="9">
        <v>0</v>
      </c>
      <c r="AE62" s="9">
        <v>0</v>
      </c>
      <c r="AF62" s="9">
        <v>0</v>
      </c>
      <c r="AG62" s="9">
        <v>0</v>
      </c>
      <c r="AH62" s="9">
        <v>0</v>
      </c>
      <c r="AI62" s="9">
        <v>0</v>
      </c>
      <c r="AJ62" s="9">
        <v>0</v>
      </c>
      <c r="AK62" s="9">
        <v>0</v>
      </c>
      <c r="AL62" s="9">
        <v>0</v>
      </c>
      <c r="AM62" s="9">
        <v>0</v>
      </c>
      <c r="AN62" s="9">
        <v>0</v>
      </c>
      <c r="AO62" s="9">
        <v>0</v>
      </c>
      <c r="AP62" s="9">
        <v>0</v>
      </c>
      <c r="AQ62" s="9">
        <v>0</v>
      </c>
      <c r="AR62" s="9">
        <v>0</v>
      </c>
      <c r="AS62" s="9">
        <v>0</v>
      </c>
      <c r="AT62" s="9">
        <v>0</v>
      </c>
      <c r="AU62" s="9">
        <v>0</v>
      </c>
      <c r="AV62" s="9">
        <v>0</v>
      </c>
      <c r="AW62" s="9">
        <v>0</v>
      </c>
      <c r="AX62" s="9">
        <v>0</v>
      </c>
      <c r="AY62" s="9">
        <v>0</v>
      </c>
      <c r="AZ62" s="9">
        <v>0</v>
      </c>
      <c r="BA62" s="9">
        <v>0</v>
      </c>
      <c r="BB62" s="9">
        <v>0</v>
      </c>
      <c r="BC62" s="9">
        <v>0</v>
      </c>
      <c r="BD62" s="9">
        <v>0</v>
      </c>
      <c r="BE62" s="9">
        <v>0</v>
      </c>
      <c r="BF62" s="9">
        <v>0</v>
      </c>
      <c r="BG62" s="9">
        <v>0</v>
      </c>
      <c r="BH62" s="9">
        <v>0</v>
      </c>
      <c r="BI62" s="9">
        <v>0</v>
      </c>
      <c r="BJ62" s="9">
        <v>0</v>
      </c>
      <c r="BK62" s="9">
        <v>0</v>
      </c>
      <c r="BL62" s="9">
        <v>0</v>
      </c>
      <c r="BN62" s="1"/>
      <c r="BO62" s="1"/>
      <c r="BP62" s="1"/>
      <c r="BQ62" s="1"/>
      <c r="BR62" s="1"/>
      <c r="BS62" s="1"/>
      <c r="BT62" s="1"/>
      <c r="BU62" s="1"/>
      <c r="BV62" s="1"/>
      <c r="BW62" s="1"/>
      <c r="BX62" s="1"/>
      <c r="BY62" s="1"/>
      <c r="BZ62" s="1"/>
      <c r="CA62" s="15"/>
      <c r="CB62" s="1"/>
      <c r="CC62" s="1"/>
    </row>
    <row r="63" spans="2:82" x14ac:dyDescent="0.25">
      <c r="B63" s="30"/>
      <c r="E63" s="50" t="s">
        <v>90</v>
      </c>
      <c r="G63" s="46"/>
      <c r="I63" s="9">
        <v>0.23863000000000001</v>
      </c>
      <c r="J63" s="9">
        <v>0.245</v>
      </c>
      <c r="K63" s="9">
        <v>0.19</v>
      </c>
      <c r="L63" s="9">
        <v>0</v>
      </c>
      <c r="M63" s="9">
        <v>0</v>
      </c>
      <c r="N63" s="9">
        <v>0</v>
      </c>
      <c r="O63" s="9">
        <v>0</v>
      </c>
      <c r="P63" s="9">
        <v>0</v>
      </c>
      <c r="Q63" s="9">
        <v>0</v>
      </c>
      <c r="R63" s="9">
        <v>0</v>
      </c>
      <c r="S63" s="9">
        <v>0</v>
      </c>
      <c r="T63" s="9">
        <v>0</v>
      </c>
      <c r="U63" s="9">
        <v>0</v>
      </c>
      <c r="V63" s="9">
        <v>0</v>
      </c>
      <c r="W63" s="9">
        <v>0</v>
      </c>
      <c r="X63" s="9">
        <v>0</v>
      </c>
      <c r="Y63" s="9">
        <v>0</v>
      </c>
      <c r="Z63" s="9">
        <v>0</v>
      </c>
      <c r="AA63" s="9">
        <v>0</v>
      </c>
      <c r="AB63" s="9">
        <v>0</v>
      </c>
      <c r="AC63" s="9">
        <v>0</v>
      </c>
      <c r="AD63" s="9">
        <v>0</v>
      </c>
      <c r="AE63" s="9">
        <v>0</v>
      </c>
      <c r="AF63" s="9">
        <v>0</v>
      </c>
      <c r="AG63" s="9">
        <v>0</v>
      </c>
      <c r="AH63" s="9">
        <v>0</v>
      </c>
      <c r="AI63" s="9">
        <v>0</v>
      </c>
      <c r="AJ63" s="9">
        <v>0</v>
      </c>
      <c r="AK63" s="9">
        <v>0</v>
      </c>
      <c r="AL63" s="9">
        <v>0</v>
      </c>
      <c r="AM63" s="9">
        <v>0</v>
      </c>
      <c r="AN63" s="9">
        <v>0</v>
      </c>
      <c r="AO63" s="9">
        <v>0</v>
      </c>
      <c r="AP63" s="9">
        <v>0</v>
      </c>
      <c r="AQ63" s="9">
        <v>0</v>
      </c>
      <c r="AR63" s="9">
        <v>0</v>
      </c>
      <c r="AS63" s="9">
        <v>0</v>
      </c>
      <c r="AT63" s="9">
        <v>0</v>
      </c>
      <c r="AU63" s="9">
        <v>0</v>
      </c>
      <c r="AV63" s="9">
        <v>0</v>
      </c>
      <c r="AW63" s="9">
        <v>0</v>
      </c>
      <c r="AX63" s="9">
        <v>0</v>
      </c>
      <c r="AY63" s="9">
        <v>0</v>
      </c>
      <c r="AZ63" s="9">
        <v>0</v>
      </c>
      <c r="BA63" s="9">
        <v>0</v>
      </c>
      <c r="BB63" s="9">
        <v>0</v>
      </c>
      <c r="BC63" s="9">
        <v>0</v>
      </c>
      <c r="BD63" s="9">
        <v>0</v>
      </c>
      <c r="BE63" s="9">
        <v>0</v>
      </c>
      <c r="BF63" s="9">
        <v>0</v>
      </c>
      <c r="BG63" s="9">
        <v>0</v>
      </c>
      <c r="BH63" s="9">
        <v>0</v>
      </c>
      <c r="BI63" s="9">
        <v>0</v>
      </c>
      <c r="BJ63" s="9">
        <v>0</v>
      </c>
      <c r="BK63" s="9">
        <v>0</v>
      </c>
      <c r="BL63" s="9">
        <v>0</v>
      </c>
      <c r="BN63" s="1"/>
      <c r="BO63" s="1"/>
      <c r="BP63" s="1"/>
      <c r="BQ63" s="1"/>
      <c r="BR63" s="1"/>
      <c r="BS63" s="1"/>
      <c r="BT63" s="1"/>
      <c r="BU63" s="1"/>
      <c r="BV63" s="1"/>
      <c r="BW63" s="1"/>
      <c r="BX63" s="1"/>
      <c r="BY63" s="1"/>
      <c r="BZ63" s="1"/>
      <c r="CA63" s="15"/>
      <c r="CB63" s="1"/>
      <c r="CC63" s="1"/>
    </row>
    <row r="64" spans="2:82" x14ac:dyDescent="0.25">
      <c r="B64" s="14"/>
      <c r="E64" s="50" t="s">
        <v>91</v>
      </c>
      <c r="G64" s="46"/>
      <c r="I64" s="9">
        <v>6.98</v>
      </c>
      <c r="J64" s="9">
        <v>7.05</v>
      </c>
      <c r="K64" s="9">
        <v>7.05</v>
      </c>
      <c r="L64" s="9">
        <v>0</v>
      </c>
      <c r="M64" s="9">
        <v>0</v>
      </c>
      <c r="N64" s="9">
        <v>0</v>
      </c>
      <c r="O64" s="9">
        <v>0</v>
      </c>
      <c r="P64" s="9">
        <v>0</v>
      </c>
      <c r="Q64" s="9">
        <v>0</v>
      </c>
      <c r="R64" s="9">
        <v>0</v>
      </c>
      <c r="S64" s="9">
        <v>0</v>
      </c>
      <c r="T64" s="9">
        <v>0</v>
      </c>
      <c r="U64" s="9">
        <v>0</v>
      </c>
      <c r="V64" s="9">
        <v>0</v>
      </c>
      <c r="W64" s="9">
        <v>0</v>
      </c>
      <c r="X64" s="9">
        <v>0</v>
      </c>
      <c r="Y64" s="9">
        <v>0</v>
      </c>
      <c r="Z64" s="9">
        <v>0</v>
      </c>
      <c r="AA64" s="9">
        <v>0</v>
      </c>
      <c r="AB64" s="9">
        <v>0</v>
      </c>
      <c r="AC64" s="9">
        <v>0</v>
      </c>
      <c r="AD64" s="9">
        <v>0</v>
      </c>
      <c r="AE64" s="9">
        <v>0</v>
      </c>
      <c r="AF64" s="9">
        <v>0</v>
      </c>
      <c r="AG64" s="9">
        <v>0</v>
      </c>
      <c r="AH64" s="9">
        <v>0</v>
      </c>
      <c r="AI64" s="9">
        <v>0</v>
      </c>
      <c r="AJ64" s="9">
        <v>0</v>
      </c>
      <c r="AK64" s="9">
        <v>0</v>
      </c>
      <c r="AL64" s="9">
        <v>0</v>
      </c>
      <c r="AM64" s="9">
        <v>0</v>
      </c>
      <c r="AN64" s="9">
        <v>0</v>
      </c>
      <c r="AO64" s="9">
        <v>0</v>
      </c>
      <c r="AP64" s="9">
        <v>0</v>
      </c>
      <c r="AQ64" s="9">
        <v>0</v>
      </c>
      <c r="AR64" s="9">
        <v>0</v>
      </c>
      <c r="AS64" s="9">
        <v>0</v>
      </c>
      <c r="AT64" s="9">
        <v>0</v>
      </c>
      <c r="AU64" s="9">
        <v>0</v>
      </c>
      <c r="AV64" s="9">
        <v>0</v>
      </c>
      <c r="AW64" s="9">
        <v>0</v>
      </c>
      <c r="AX64" s="9">
        <v>0</v>
      </c>
      <c r="AY64" s="9">
        <v>0</v>
      </c>
      <c r="AZ64" s="9">
        <v>0</v>
      </c>
      <c r="BA64" s="9">
        <v>0</v>
      </c>
      <c r="BB64" s="9">
        <v>0</v>
      </c>
      <c r="BC64" s="9">
        <v>0</v>
      </c>
      <c r="BD64" s="9">
        <v>0</v>
      </c>
      <c r="BE64" s="9">
        <v>0</v>
      </c>
      <c r="BF64" s="9">
        <v>0</v>
      </c>
      <c r="BG64" s="9">
        <v>0</v>
      </c>
      <c r="BH64" s="9">
        <v>0</v>
      </c>
      <c r="BI64" s="9">
        <v>0</v>
      </c>
      <c r="BJ64" s="9">
        <v>0</v>
      </c>
      <c r="BK64" s="9">
        <v>0</v>
      </c>
      <c r="BL64" s="9">
        <v>0</v>
      </c>
      <c r="BN64" s="1"/>
      <c r="BO64" s="1"/>
      <c r="BP64" s="1"/>
      <c r="BQ64" s="1"/>
      <c r="BR64" s="1"/>
      <c r="BS64" s="1"/>
      <c r="BT64" s="1"/>
      <c r="BU64" s="1"/>
      <c r="BV64" s="1"/>
      <c r="BW64" s="1"/>
      <c r="BX64" s="1"/>
      <c r="BY64" s="1"/>
      <c r="BZ64" s="1"/>
      <c r="CA64" s="15"/>
      <c r="CB64" s="1"/>
      <c r="CC64" s="1"/>
    </row>
    <row r="65" spans="2:82" ht="5.25" customHeight="1" x14ac:dyDescent="0.25">
      <c r="B65" s="33"/>
      <c r="C65" s="34"/>
      <c r="D65" s="34"/>
      <c r="E65" s="34"/>
      <c r="F65" s="34"/>
      <c r="G65" s="34"/>
      <c r="H65" s="34"/>
      <c r="I65" s="47"/>
      <c r="J65" s="47"/>
      <c r="K65" s="47"/>
      <c r="L65" s="47"/>
      <c r="M65" s="47"/>
      <c r="N65" s="47"/>
      <c r="O65" s="47"/>
      <c r="P65" s="47"/>
      <c r="Q65" s="47"/>
      <c r="R65" s="47"/>
      <c r="S65" s="47"/>
      <c r="T65" s="47"/>
      <c r="U65" s="47"/>
      <c r="V65" s="47"/>
      <c r="W65" s="47"/>
      <c r="X65" s="47"/>
      <c r="Y65" s="47"/>
      <c r="Z65" s="47"/>
      <c r="AA65" s="47"/>
      <c r="AB65" s="47"/>
      <c r="AC65" s="47"/>
      <c r="AD65" s="47"/>
      <c r="AE65" s="47"/>
      <c r="AF65" s="47"/>
      <c r="AG65" s="34"/>
      <c r="AH65" s="34"/>
      <c r="AI65" s="34"/>
      <c r="AJ65" s="34"/>
      <c r="AK65" s="34"/>
      <c r="AL65" s="34"/>
      <c r="AM65" s="34"/>
      <c r="AN65" s="34"/>
      <c r="AO65" s="34"/>
      <c r="AP65" s="34"/>
      <c r="AQ65" s="34"/>
      <c r="AR65" s="34"/>
      <c r="AS65" s="34"/>
      <c r="AT65" s="34"/>
      <c r="AU65" s="34"/>
      <c r="AV65" s="34"/>
      <c r="AW65" s="34"/>
      <c r="AX65" s="34"/>
      <c r="AY65" s="34"/>
      <c r="AZ65" s="34"/>
      <c r="BA65" s="34"/>
      <c r="BB65" s="34"/>
      <c r="BC65" s="34"/>
      <c r="BD65" s="34"/>
      <c r="BE65" s="34"/>
      <c r="BF65" s="34"/>
      <c r="BG65" s="34"/>
      <c r="BH65" s="34"/>
      <c r="BI65" s="34"/>
      <c r="BJ65" s="34"/>
      <c r="BK65" s="34"/>
      <c r="BL65" s="34"/>
      <c r="BM65" s="34"/>
      <c r="BN65" s="35"/>
      <c r="BO65" s="35"/>
      <c r="BP65" s="35"/>
      <c r="BQ65" s="35"/>
      <c r="BR65" s="35"/>
      <c r="BS65" s="35"/>
      <c r="BT65" s="35"/>
      <c r="BU65" s="35"/>
      <c r="BV65" s="35"/>
      <c r="BW65" s="35"/>
      <c r="BX65" s="35"/>
      <c r="BY65" s="35"/>
      <c r="BZ65" s="35"/>
      <c r="CA65" s="36"/>
      <c r="CB65" s="35"/>
      <c r="CC65" s="35"/>
      <c r="CD65" s="35"/>
    </row>
    <row r="66" spans="2:82" x14ac:dyDescent="0.25">
      <c r="B66" s="30"/>
      <c r="E66" t="s">
        <v>53</v>
      </c>
      <c r="G66" s="45"/>
      <c r="I66" s="9">
        <v>3.66</v>
      </c>
      <c r="J66" s="9">
        <v>3.64</v>
      </c>
      <c r="K66" s="9">
        <v>3.85</v>
      </c>
      <c r="L66" s="9">
        <v>0</v>
      </c>
      <c r="M66" s="9">
        <v>5.47</v>
      </c>
      <c r="N66" s="9">
        <v>2.37</v>
      </c>
      <c r="O66" s="9">
        <v>1.89</v>
      </c>
      <c r="P66" s="9">
        <v>1.97</v>
      </c>
      <c r="Q66" s="9">
        <v>1.97</v>
      </c>
      <c r="R66" s="9">
        <v>1.89</v>
      </c>
      <c r="S66" s="9">
        <v>1.93</v>
      </c>
      <c r="T66" s="1">
        <v>1.9</v>
      </c>
      <c r="U66" s="1">
        <v>2</v>
      </c>
      <c r="V66" s="1">
        <v>2.04</v>
      </c>
      <c r="W66" s="1">
        <v>1.1599999999999999</v>
      </c>
      <c r="X66" s="1">
        <v>1.28</v>
      </c>
      <c r="Y66" s="1">
        <v>1.1000000000000001</v>
      </c>
      <c r="Z66" s="1">
        <v>1.1299999999999999</v>
      </c>
      <c r="AA66" s="1">
        <v>1.2</v>
      </c>
      <c r="AB66" s="1">
        <v>1.2</v>
      </c>
      <c r="AC66" s="1">
        <v>1.22</v>
      </c>
      <c r="AD66" s="1">
        <v>1.21</v>
      </c>
      <c r="AE66" s="1">
        <v>2</v>
      </c>
      <c r="AF66" s="1">
        <v>1.97</v>
      </c>
      <c r="AG66" s="1">
        <v>2.0099999999999998</v>
      </c>
      <c r="AH66" s="1">
        <v>9.92</v>
      </c>
      <c r="AI66" s="1">
        <v>10.029999999999999</v>
      </c>
      <c r="AJ66" s="1">
        <v>10.17</v>
      </c>
      <c r="AK66" s="1">
        <v>10</v>
      </c>
      <c r="AL66" s="1">
        <v>9.65</v>
      </c>
      <c r="AM66" s="1">
        <v>9.5399999999999991</v>
      </c>
      <c r="AN66" s="1">
        <v>9.52</v>
      </c>
      <c r="AO66" s="1">
        <v>9.8800000000000008</v>
      </c>
      <c r="AP66" s="1">
        <v>10.9</v>
      </c>
      <c r="AQ66" s="1">
        <v>9.83</v>
      </c>
      <c r="AR66" s="1">
        <v>9.85</v>
      </c>
      <c r="AS66" s="1">
        <v>9.7799999999999994</v>
      </c>
      <c r="AT66" s="1">
        <v>9.75</v>
      </c>
      <c r="AU66" s="1">
        <v>9.75</v>
      </c>
      <c r="AV66" s="1">
        <v>9.6999999999999993</v>
      </c>
      <c r="AW66" s="1">
        <v>9.73</v>
      </c>
      <c r="AX66" s="1">
        <v>9.73</v>
      </c>
      <c r="AY66" s="1">
        <v>9.6999999999999993</v>
      </c>
      <c r="AZ66" s="1">
        <v>9.76</v>
      </c>
      <c r="BA66" s="1">
        <v>9.69</v>
      </c>
      <c r="BB66" s="1">
        <v>9.68</v>
      </c>
      <c r="BC66" s="1">
        <v>9.65</v>
      </c>
      <c r="BD66" s="1">
        <v>9.66</v>
      </c>
      <c r="BE66" s="1">
        <v>9.83</v>
      </c>
      <c r="BF66" s="1">
        <v>9.8000000000000007</v>
      </c>
      <c r="BG66" s="1">
        <v>9.8000000000000007</v>
      </c>
      <c r="BH66" s="1">
        <v>9.8000000000000007</v>
      </c>
      <c r="BI66" s="9">
        <v>9.8000000000000007</v>
      </c>
      <c r="BJ66" s="9">
        <v>9.8000000000000007</v>
      </c>
      <c r="BK66" s="9">
        <v>9.91</v>
      </c>
      <c r="BL66" s="9">
        <v>9.9</v>
      </c>
      <c r="BN66" s="1"/>
      <c r="BO66" s="1"/>
      <c r="BP66" s="1"/>
      <c r="BQ66" s="1"/>
      <c r="BR66" s="1"/>
      <c r="BS66" s="1"/>
      <c r="BT66" s="1"/>
      <c r="BU66" s="1"/>
      <c r="BV66" s="1"/>
      <c r="BW66" s="1"/>
      <c r="BX66" s="1"/>
      <c r="BY66" s="1"/>
      <c r="BZ66" s="1"/>
      <c r="CA66" s="15"/>
      <c r="CB66" s="1"/>
      <c r="CC66" s="1"/>
    </row>
    <row r="67" spans="2:82" x14ac:dyDescent="0.25">
      <c r="B67" s="14"/>
      <c r="E67" t="s">
        <v>54</v>
      </c>
      <c r="G67" s="45"/>
      <c r="I67" s="9">
        <v>0.92940999999999996</v>
      </c>
      <c r="J67" s="9">
        <v>0.94099999999999995</v>
      </c>
      <c r="K67" s="9">
        <v>0.83</v>
      </c>
      <c r="L67" s="9">
        <v>0</v>
      </c>
      <c r="M67" s="9">
        <v>0</v>
      </c>
      <c r="N67" s="9">
        <v>0</v>
      </c>
      <c r="O67" s="9">
        <v>0</v>
      </c>
      <c r="P67" s="9">
        <v>0</v>
      </c>
      <c r="Q67" s="9">
        <v>0</v>
      </c>
      <c r="R67" s="9">
        <v>0</v>
      </c>
      <c r="S67" s="9">
        <v>0</v>
      </c>
      <c r="T67" s="9">
        <v>0</v>
      </c>
      <c r="U67" s="9">
        <v>0</v>
      </c>
      <c r="V67" s="9">
        <v>0</v>
      </c>
      <c r="W67" s="9">
        <v>0</v>
      </c>
      <c r="X67" s="9">
        <v>0</v>
      </c>
      <c r="Y67" s="9">
        <v>0</v>
      </c>
      <c r="Z67" s="9">
        <v>0</v>
      </c>
      <c r="AA67" s="9">
        <v>0</v>
      </c>
      <c r="AB67" s="9">
        <v>0</v>
      </c>
      <c r="AC67" s="9">
        <v>0</v>
      </c>
      <c r="AD67" s="9">
        <v>0</v>
      </c>
      <c r="AE67" s="9">
        <v>0</v>
      </c>
      <c r="AF67" s="9">
        <v>0</v>
      </c>
      <c r="AG67" s="9">
        <v>0</v>
      </c>
      <c r="AH67" s="9">
        <v>0</v>
      </c>
      <c r="AI67" s="9">
        <v>0</v>
      </c>
      <c r="AJ67" s="9">
        <v>0</v>
      </c>
      <c r="AK67" s="9">
        <v>0</v>
      </c>
      <c r="AL67" s="9">
        <v>0</v>
      </c>
      <c r="AM67" s="9">
        <v>0</v>
      </c>
      <c r="AN67" s="9">
        <v>0</v>
      </c>
      <c r="AO67" s="9">
        <v>0</v>
      </c>
      <c r="AP67" s="9">
        <v>0</v>
      </c>
      <c r="AQ67" s="9">
        <v>0</v>
      </c>
      <c r="AR67" s="9">
        <v>0</v>
      </c>
      <c r="AS67" s="9">
        <v>0</v>
      </c>
      <c r="AT67" s="9">
        <v>0</v>
      </c>
      <c r="AU67" s="9">
        <v>0</v>
      </c>
      <c r="AV67" s="9">
        <v>0</v>
      </c>
      <c r="AW67" s="9">
        <v>0</v>
      </c>
      <c r="AX67" s="9">
        <v>0</v>
      </c>
      <c r="AY67" s="9">
        <v>0</v>
      </c>
      <c r="AZ67" s="9">
        <v>0</v>
      </c>
      <c r="BA67" s="9">
        <v>0</v>
      </c>
      <c r="BB67" s="9">
        <v>0</v>
      </c>
      <c r="BC67" s="9">
        <v>0</v>
      </c>
      <c r="BD67" s="9">
        <v>0</v>
      </c>
      <c r="BE67" s="9">
        <v>0</v>
      </c>
      <c r="BF67" s="9">
        <v>0</v>
      </c>
      <c r="BG67" s="9">
        <v>0</v>
      </c>
      <c r="BH67" s="9">
        <v>0</v>
      </c>
      <c r="BI67" s="9">
        <v>0.01</v>
      </c>
      <c r="BJ67" s="9">
        <v>0.01</v>
      </c>
      <c r="BK67" s="9">
        <v>0.01</v>
      </c>
      <c r="BL67" s="9">
        <v>0.01</v>
      </c>
      <c r="BN67" s="1"/>
      <c r="BO67" s="1"/>
      <c r="BP67" s="1"/>
      <c r="BQ67" s="1"/>
      <c r="BR67" s="1"/>
      <c r="BS67" s="1"/>
      <c r="BT67" s="1"/>
      <c r="BU67" s="1"/>
      <c r="BV67" s="1"/>
      <c r="BW67" s="1"/>
      <c r="BX67" s="1"/>
      <c r="BY67" s="1"/>
      <c r="BZ67" s="1"/>
      <c r="CA67" s="15"/>
      <c r="CB67" s="1"/>
      <c r="CC67" s="1"/>
    </row>
    <row r="68" spans="2:82" x14ac:dyDescent="0.25">
      <c r="B68" s="14"/>
      <c r="E68" s="16" t="s">
        <v>55</v>
      </c>
      <c r="F68" s="16"/>
      <c r="G68" s="48"/>
      <c r="H68" s="16"/>
      <c r="I68" s="65">
        <f t="shared" ref="I68:AK68" si="91">SUM(I59:I67)</f>
        <v>16.048259999999999</v>
      </c>
      <c r="J68" s="65">
        <f t="shared" si="91"/>
        <v>15.916000000000002</v>
      </c>
      <c r="K68" s="65">
        <f t="shared" si="91"/>
        <v>15.93</v>
      </c>
      <c r="L68" s="65">
        <f t="shared" si="91"/>
        <v>0</v>
      </c>
      <c r="M68" s="65">
        <f t="shared" si="91"/>
        <v>13</v>
      </c>
      <c r="N68" s="65">
        <f t="shared" si="91"/>
        <v>17.29</v>
      </c>
      <c r="O68" s="65">
        <f t="shared" si="91"/>
        <v>16.190000000000001</v>
      </c>
      <c r="P68" s="65">
        <f t="shared" si="91"/>
        <v>16.09</v>
      </c>
      <c r="Q68" s="65">
        <f t="shared" si="91"/>
        <v>16.04</v>
      </c>
      <c r="R68" s="65">
        <f t="shared" si="91"/>
        <v>16.02</v>
      </c>
      <c r="S68" s="65">
        <f t="shared" si="91"/>
        <v>15.98</v>
      </c>
      <c r="T68" s="17">
        <f t="shared" si="91"/>
        <v>16.03</v>
      </c>
      <c r="U68" s="17">
        <f t="shared" si="91"/>
        <v>17.7</v>
      </c>
      <c r="V68" s="17">
        <f t="shared" si="91"/>
        <v>27.07</v>
      </c>
      <c r="W68" s="17">
        <f t="shared" si="91"/>
        <v>26.8</v>
      </c>
      <c r="X68" s="17">
        <f t="shared" si="91"/>
        <v>27.35</v>
      </c>
      <c r="Y68" s="17">
        <f t="shared" si="91"/>
        <v>16.43</v>
      </c>
      <c r="Z68" s="17">
        <f t="shared" si="91"/>
        <v>15.5</v>
      </c>
      <c r="AA68" s="17">
        <f t="shared" si="91"/>
        <v>15.639999999999999</v>
      </c>
      <c r="AB68" s="17">
        <f t="shared" si="91"/>
        <v>14.87</v>
      </c>
      <c r="AC68" s="17">
        <f t="shared" si="91"/>
        <v>15.020000000000001</v>
      </c>
      <c r="AD68" s="17">
        <f t="shared" si="91"/>
        <v>15.399999999999999</v>
      </c>
      <c r="AE68" s="17">
        <f t="shared" si="91"/>
        <v>16.850000000000001</v>
      </c>
      <c r="AF68" s="17">
        <f t="shared" si="91"/>
        <v>24.029999999999998</v>
      </c>
      <c r="AG68" s="17">
        <f t="shared" si="91"/>
        <v>24.5</v>
      </c>
      <c r="AH68" s="17">
        <f t="shared" si="91"/>
        <v>23.55</v>
      </c>
      <c r="AI68" s="17">
        <f t="shared" si="91"/>
        <v>23.759999999999998</v>
      </c>
      <c r="AJ68" s="17">
        <f t="shared" si="91"/>
        <v>23.92</v>
      </c>
      <c r="AK68" s="17">
        <f t="shared" si="91"/>
        <v>23.79</v>
      </c>
      <c r="AL68" s="17">
        <f t="shared" ref="AL68:AQ68" si="92">SUM(AL58:AL67)</f>
        <v>27.35</v>
      </c>
      <c r="AM68" s="17">
        <f t="shared" si="92"/>
        <v>28.57</v>
      </c>
      <c r="AN68" s="17">
        <f t="shared" si="92"/>
        <v>28.869999999999997</v>
      </c>
      <c r="AO68" s="17">
        <f t="shared" si="92"/>
        <v>29.259999999999998</v>
      </c>
      <c r="AP68" s="17">
        <f t="shared" si="92"/>
        <v>29.630000000000003</v>
      </c>
      <c r="AQ68" s="17">
        <f t="shared" si="92"/>
        <v>29.659999999999997</v>
      </c>
      <c r="AR68" s="17">
        <f t="shared" ref="AR68:AX68" si="93">SUM(AR58:AR67)</f>
        <v>29.949999999999996</v>
      </c>
      <c r="AS68" s="17">
        <f t="shared" si="93"/>
        <v>29.72</v>
      </c>
      <c r="AT68" s="17">
        <f t="shared" si="93"/>
        <v>28.79</v>
      </c>
      <c r="AU68" s="17">
        <f t="shared" si="93"/>
        <v>28.79</v>
      </c>
      <c r="AV68" s="17">
        <f t="shared" si="93"/>
        <v>29.4</v>
      </c>
      <c r="AW68" s="17">
        <f t="shared" si="93"/>
        <v>30.28</v>
      </c>
      <c r="AX68" s="17">
        <f t="shared" si="93"/>
        <v>29.92</v>
      </c>
      <c r="AY68" s="17">
        <f t="shared" ref="AY68:AZ68" si="94">SUM(AY58:AY67)</f>
        <v>30.23</v>
      </c>
      <c r="AZ68" s="17">
        <f t="shared" si="94"/>
        <v>30.04</v>
      </c>
      <c r="BA68" s="17">
        <f t="shared" ref="BA68:BB68" si="95">SUM(BA58:BA67)</f>
        <v>30.059999999999995</v>
      </c>
      <c r="BB68" s="17">
        <f t="shared" si="95"/>
        <v>30.06</v>
      </c>
      <c r="BC68" s="17">
        <f t="shared" ref="BC68:BI68" si="96">SUM(BC58:BC67)</f>
        <v>30.32</v>
      </c>
      <c r="BD68" s="17">
        <f t="shared" si="96"/>
        <v>30.36</v>
      </c>
      <c r="BE68" s="17">
        <f t="shared" si="96"/>
        <v>29.769999999999996</v>
      </c>
      <c r="BF68" s="17">
        <f t="shared" si="96"/>
        <v>29.7</v>
      </c>
      <c r="BG68" s="17">
        <f t="shared" si="96"/>
        <v>29.76</v>
      </c>
      <c r="BH68" s="17">
        <f t="shared" si="96"/>
        <v>29.400000000000002</v>
      </c>
      <c r="BI68" s="17">
        <f t="shared" si="96"/>
        <v>29.25</v>
      </c>
      <c r="BJ68" s="17">
        <f t="shared" ref="BJ68" si="97">SUM(BJ58:BJ67)</f>
        <v>13.440000000000001</v>
      </c>
      <c r="BK68" s="17">
        <f>SUM(BK58:BK67)</f>
        <v>13.52</v>
      </c>
      <c r="BL68" s="17">
        <f>SUM(BL58:BL67)</f>
        <v>13.73</v>
      </c>
      <c r="BM68" s="16"/>
      <c r="BN68" s="17"/>
      <c r="BO68" s="17"/>
      <c r="BP68" s="17"/>
      <c r="BQ68" s="17"/>
      <c r="BR68" s="17"/>
      <c r="BS68" s="17"/>
      <c r="BT68" s="17"/>
      <c r="BU68" s="17"/>
      <c r="BV68" s="17"/>
      <c r="BW68" s="17"/>
      <c r="BX68" s="17"/>
      <c r="BY68" s="17"/>
      <c r="BZ68" s="17"/>
      <c r="CA68" s="18"/>
      <c r="CB68" s="17"/>
      <c r="CC68" s="17"/>
      <c r="CD68" s="17"/>
    </row>
    <row r="69" spans="2:82" x14ac:dyDescent="0.25">
      <c r="B69" s="19"/>
      <c r="C69" s="16"/>
      <c r="D69" s="16"/>
      <c r="E69" s="49" t="s">
        <v>57</v>
      </c>
      <c r="F69" s="16"/>
      <c r="G69" s="16">
        <v>37.549999999999997</v>
      </c>
      <c r="H69" s="16"/>
      <c r="I69" s="65">
        <f t="shared" ref="I69:R69" si="98">36.85-I68</f>
        <v>20.801740000000002</v>
      </c>
      <c r="J69" s="65">
        <f t="shared" si="98"/>
        <v>20.933999999999997</v>
      </c>
      <c r="K69" s="65">
        <f t="shared" si="98"/>
        <v>20.92</v>
      </c>
      <c r="L69" s="65">
        <f t="shared" si="98"/>
        <v>36.85</v>
      </c>
      <c r="M69" s="65">
        <f t="shared" si="98"/>
        <v>23.85</v>
      </c>
      <c r="N69" s="65">
        <f t="shared" si="98"/>
        <v>19.560000000000002</v>
      </c>
      <c r="O69" s="65">
        <f t="shared" si="98"/>
        <v>20.66</v>
      </c>
      <c r="P69" s="65">
        <f t="shared" si="98"/>
        <v>20.76</v>
      </c>
      <c r="Q69" s="65">
        <f t="shared" si="98"/>
        <v>20.810000000000002</v>
      </c>
      <c r="R69" s="65">
        <f t="shared" si="98"/>
        <v>20.830000000000002</v>
      </c>
      <c r="S69" s="65">
        <f t="shared" ref="S69:X69" si="99">$G$69-S68</f>
        <v>21.569999999999997</v>
      </c>
      <c r="T69" s="17">
        <f t="shared" si="99"/>
        <v>21.519999999999996</v>
      </c>
      <c r="U69" s="17">
        <f t="shared" si="99"/>
        <v>19.849999999999998</v>
      </c>
      <c r="V69" s="17">
        <f t="shared" si="99"/>
        <v>10.479999999999997</v>
      </c>
      <c r="W69" s="17">
        <f t="shared" si="99"/>
        <v>10.749999999999996</v>
      </c>
      <c r="X69" s="17">
        <f t="shared" si="99"/>
        <v>10.199999999999996</v>
      </c>
      <c r="Y69" s="17">
        <f t="shared" ref="Y69:Z69" si="100">$G$69-Y68</f>
        <v>21.119999999999997</v>
      </c>
      <c r="Z69" s="17">
        <f t="shared" si="100"/>
        <v>22.049999999999997</v>
      </c>
      <c r="AA69" s="17">
        <f t="shared" ref="AA69:AF69" si="101">$G$69-AA68</f>
        <v>21.909999999999997</v>
      </c>
      <c r="AB69" s="17">
        <f t="shared" si="101"/>
        <v>22.68</v>
      </c>
      <c r="AC69" s="17">
        <f t="shared" si="101"/>
        <v>22.529999999999994</v>
      </c>
      <c r="AD69" s="17">
        <f t="shared" si="101"/>
        <v>22.15</v>
      </c>
      <c r="AE69" s="17">
        <f t="shared" si="101"/>
        <v>20.699999999999996</v>
      </c>
      <c r="AF69" s="17">
        <f t="shared" si="101"/>
        <v>13.52</v>
      </c>
      <c r="AG69" s="17">
        <f t="shared" ref="AG69:AL69" si="102">$G$69-AG68</f>
        <v>13.049999999999997</v>
      </c>
      <c r="AH69" s="17">
        <f t="shared" si="102"/>
        <v>13.999999999999996</v>
      </c>
      <c r="AI69" s="17">
        <f t="shared" si="102"/>
        <v>13.79</v>
      </c>
      <c r="AJ69" s="17">
        <f t="shared" si="102"/>
        <v>13.629999999999995</v>
      </c>
      <c r="AK69" s="17">
        <f t="shared" si="102"/>
        <v>13.759999999999998</v>
      </c>
      <c r="AL69" s="17">
        <f t="shared" si="102"/>
        <v>10.199999999999996</v>
      </c>
      <c r="AM69" s="17">
        <f t="shared" ref="AM69:AN69" si="103">$G$69-AM68</f>
        <v>8.9799999999999969</v>
      </c>
      <c r="AN69" s="17">
        <f t="shared" si="103"/>
        <v>8.68</v>
      </c>
      <c r="AO69" s="17">
        <f t="shared" ref="AO69:AP69" si="104">$G$69-AO68</f>
        <v>8.2899999999999991</v>
      </c>
      <c r="AP69" s="17">
        <f t="shared" si="104"/>
        <v>7.9199999999999946</v>
      </c>
      <c r="AQ69" s="17">
        <f t="shared" ref="AQ69" si="105">$G$69-AQ68</f>
        <v>7.8900000000000006</v>
      </c>
      <c r="AR69" s="17">
        <f t="shared" ref="AR69:AX69" si="106">$G$69-AR68</f>
        <v>7.6000000000000014</v>
      </c>
      <c r="AS69" s="17">
        <f t="shared" si="106"/>
        <v>7.8299999999999983</v>
      </c>
      <c r="AT69" s="17">
        <f t="shared" si="106"/>
        <v>8.759999999999998</v>
      </c>
      <c r="AU69" s="17">
        <f t="shared" si="106"/>
        <v>8.759999999999998</v>
      </c>
      <c r="AV69" s="17">
        <f t="shared" si="106"/>
        <v>8.1499999999999986</v>
      </c>
      <c r="AW69" s="17">
        <f t="shared" si="106"/>
        <v>7.269999999999996</v>
      </c>
      <c r="AX69" s="17">
        <f t="shared" si="106"/>
        <v>7.6299999999999955</v>
      </c>
      <c r="AY69" s="17">
        <f t="shared" ref="AY69:AZ69" si="107">$G$69-AY68</f>
        <v>7.3199999999999967</v>
      </c>
      <c r="AZ69" s="17">
        <f t="shared" si="107"/>
        <v>7.509999999999998</v>
      </c>
      <c r="BA69" s="17">
        <f t="shared" ref="BA69:BB69" si="108">$G$69-BA68</f>
        <v>7.490000000000002</v>
      </c>
      <c r="BB69" s="17">
        <f t="shared" si="108"/>
        <v>7.4899999999999984</v>
      </c>
      <c r="BC69" s="17">
        <f t="shared" ref="BC69" si="109">$G$69-BC68</f>
        <v>7.2299999999999969</v>
      </c>
      <c r="BD69" s="17">
        <f t="shared" ref="BD69:BJ69" si="110">$G$69-BD68</f>
        <v>7.1899999999999977</v>
      </c>
      <c r="BE69" s="17">
        <f t="shared" si="110"/>
        <v>7.7800000000000011</v>
      </c>
      <c r="BF69" s="17">
        <f t="shared" si="110"/>
        <v>7.8499999999999979</v>
      </c>
      <c r="BG69" s="17">
        <f t="shared" si="110"/>
        <v>7.7899999999999956</v>
      </c>
      <c r="BH69" s="17">
        <f t="shared" si="110"/>
        <v>8.149999999999995</v>
      </c>
      <c r="BI69" s="17">
        <f t="shared" si="110"/>
        <v>8.2999999999999972</v>
      </c>
      <c r="BJ69" s="17">
        <f t="shared" si="110"/>
        <v>24.109999999999996</v>
      </c>
      <c r="BK69" s="17">
        <f>$G$69-BK68</f>
        <v>24.029999999999998</v>
      </c>
      <c r="BL69" s="17">
        <f>$G$69-BL68</f>
        <v>23.819999999999997</v>
      </c>
      <c r="BM69" s="16"/>
      <c r="BN69" s="17"/>
      <c r="BO69" s="17"/>
      <c r="BP69" s="17"/>
      <c r="BQ69" s="17"/>
      <c r="BR69" s="17"/>
      <c r="BS69" s="17"/>
      <c r="BT69" s="17"/>
      <c r="BU69" s="17"/>
      <c r="BV69" s="17"/>
      <c r="BW69" s="17"/>
      <c r="BX69" s="17"/>
      <c r="BY69" s="17"/>
      <c r="BZ69" s="17"/>
      <c r="CA69" s="18"/>
      <c r="CB69" s="17"/>
      <c r="CC69" s="17"/>
      <c r="CD69" s="17"/>
    </row>
    <row r="70" spans="2:82" ht="15.75" thickBot="1" x14ac:dyDescent="0.3">
      <c r="B70" s="20"/>
      <c r="C70" s="21"/>
      <c r="D70" s="21"/>
      <c r="E70" s="22" t="s">
        <v>59</v>
      </c>
      <c r="F70" s="22"/>
      <c r="G70" s="22"/>
      <c r="H70" s="22"/>
      <c r="I70" s="23">
        <f t="shared" ref="I70:R70" si="111">I68/36.85</f>
        <v>0.43550230664857525</v>
      </c>
      <c r="J70" s="23">
        <f t="shared" si="111"/>
        <v>0.43191316146540032</v>
      </c>
      <c r="K70" s="23">
        <f t="shared" si="111"/>
        <v>0.43229308005427408</v>
      </c>
      <c r="L70" s="23">
        <f t="shared" si="111"/>
        <v>0</v>
      </c>
      <c r="M70" s="23">
        <f t="shared" si="111"/>
        <v>0.35278154681139756</v>
      </c>
      <c r="N70" s="23">
        <f t="shared" si="111"/>
        <v>0.46919945725915874</v>
      </c>
      <c r="O70" s="23">
        <f t="shared" si="111"/>
        <v>0.43934871099050204</v>
      </c>
      <c r="P70" s="23">
        <f t="shared" si="111"/>
        <v>0.43663500678426048</v>
      </c>
      <c r="Q70" s="23">
        <f t="shared" si="111"/>
        <v>0.43527815468113973</v>
      </c>
      <c r="R70" s="23">
        <f t="shared" si="111"/>
        <v>0.43473541383989145</v>
      </c>
      <c r="S70" s="23">
        <f>S68/$G$69</f>
        <v>0.42556591211717715</v>
      </c>
      <c r="T70" s="23">
        <f t="shared" ref="T70:Z70" si="112">(T68/$G$69)</f>
        <v>0.42689747003994682</v>
      </c>
      <c r="U70" s="23">
        <f t="shared" si="112"/>
        <v>0.47137150466045274</v>
      </c>
      <c r="V70" s="23">
        <f t="shared" si="112"/>
        <v>0.7209054593874834</v>
      </c>
      <c r="W70" s="23">
        <f t="shared" si="112"/>
        <v>0.71371504660452734</v>
      </c>
      <c r="X70" s="23">
        <f t="shared" si="112"/>
        <v>0.7283621837549934</v>
      </c>
      <c r="Y70" s="23">
        <f t="shared" si="112"/>
        <v>0.43754993342210391</v>
      </c>
      <c r="Z70" s="23">
        <f t="shared" si="112"/>
        <v>0.41278295605858856</v>
      </c>
      <c r="AA70" s="23">
        <f t="shared" ref="AA70:AF70" si="113">(AA68/$G$69)</f>
        <v>0.41651131824234355</v>
      </c>
      <c r="AB70" s="23">
        <f t="shared" si="113"/>
        <v>0.3960053262316911</v>
      </c>
      <c r="AC70" s="23">
        <f t="shared" si="113"/>
        <v>0.40000000000000008</v>
      </c>
      <c r="AD70" s="23">
        <f t="shared" si="113"/>
        <v>0.41011984021304926</v>
      </c>
      <c r="AE70" s="23">
        <f t="shared" si="113"/>
        <v>0.4487350199733689</v>
      </c>
      <c r="AF70" s="23">
        <f t="shared" si="113"/>
        <v>0.63994673768308918</v>
      </c>
      <c r="AG70" s="23">
        <f t="shared" ref="AG70:AL70" si="114">(AG68/$G$69)</f>
        <v>0.65246338215712385</v>
      </c>
      <c r="AH70" s="23">
        <f t="shared" si="114"/>
        <v>0.6271637816245007</v>
      </c>
      <c r="AI70" s="23">
        <f t="shared" si="114"/>
        <v>0.63275632490013312</v>
      </c>
      <c r="AJ70" s="23">
        <f t="shared" si="114"/>
        <v>0.63701731025299613</v>
      </c>
      <c r="AK70" s="23">
        <f t="shared" si="114"/>
        <v>0.633555259653795</v>
      </c>
      <c r="AL70" s="23">
        <f t="shared" si="114"/>
        <v>0.7283621837549934</v>
      </c>
      <c r="AM70" s="23">
        <f t="shared" ref="AM70:AN70" si="115">(AM68/$G$69)</f>
        <v>0.76085219707057261</v>
      </c>
      <c r="AN70" s="23">
        <f t="shared" si="115"/>
        <v>0.76884154460719045</v>
      </c>
      <c r="AO70" s="23">
        <f t="shared" ref="AO70:AP70" si="116">(AO68/$G$69)</f>
        <v>0.77922769640479361</v>
      </c>
      <c r="AP70" s="23">
        <f t="shared" si="116"/>
        <v>0.78908122503328904</v>
      </c>
      <c r="AQ70" s="23">
        <f t="shared" ref="AQ70" si="117">(AQ68/$G$69)</f>
        <v>0.7898801597869507</v>
      </c>
      <c r="AR70" s="70">
        <f t="shared" ref="AR70:AW70" si="118">(AR68/$G$69)</f>
        <v>0.79760319573901461</v>
      </c>
      <c r="AS70" s="70">
        <f t="shared" si="118"/>
        <v>0.79147802929427435</v>
      </c>
      <c r="AT70" s="70">
        <f t="shared" si="118"/>
        <v>0.76671105193075906</v>
      </c>
      <c r="AU70" s="70">
        <f t="shared" si="118"/>
        <v>0.76671105193075906</v>
      </c>
      <c r="AV70" s="72">
        <f t="shared" si="118"/>
        <v>0.78295605858854866</v>
      </c>
      <c r="AW70" s="72">
        <f t="shared" si="118"/>
        <v>0.80639147802929434</v>
      </c>
      <c r="AX70" s="72">
        <f t="shared" ref="AX70:AY70" si="119">(AX68/$G$69)</f>
        <v>0.79680426098535295</v>
      </c>
      <c r="AY70" s="72">
        <f t="shared" si="119"/>
        <v>0.80505992010652472</v>
      </c>
      <c r="AZ70" s="72">
        <f t="shared" ref="AZ70:BA70" si="120">(AZ68/$G$69)</f>
        <v>0.8</v>
      </c>
      <c r="BA70" s="72">
        <f t="shared" si="120"/>
        <v>0.80053262316910778</v>
      </c>
      <c r="BB70" s="72">
        <f t="shared" ref="BB70" si="121">(BB68/$G$69)</f>
        <v>0.80053262316910789</v>
      </c>
      <c r="BC70" s="72">
        <f t="shared" ref="BC70:BH70" si="122">(BC68/$G$69)</f>
        <v>0.80745672436751004</v>
      </c>
      <c r="BD70" s="72">
        <f t="shared" si="122"/>
        <v>0.80852197070572573</v>
      </c>
      <c r="BE70" s="72">
        <f t="shared" si="122"/>
        <v>0.79280958721704387</v>
      </c>
      <c r="BF70" s="72">
        <f t="shared" si="122"/>
        <v>0.79094540612516651</v>
      </c>
      <c r="BG70" s="72">
        <f t="shared" si="122"/>
        <v>0.79254327563249016</v>
      </c>
      <c r="BH70" s="72">
        <f t="shared" si="122"/>
        <v>0.78295605858854866</v>
      </c>
      <c r="BI70" s="72">
        <f t="shared" ref="BI70:BJ70" si="123">(BI68/$G$69)</f>
        <v>0.77896138482023969</v>
      </c>
      <c r="BJ70" s="72">
        <f t="shared" si="123"/>
        <v>0.35792276964047942</v>
      </c>
      <c r="BK70" s="72">
        <f>(BK68/$G$69)</f>
        <v>0.36005326231691082</v>
      </c>
      <c r="BL70" s="72">
        <f>(BL68/$G$69)</f>
        <v>0.36564580559254334</v>
      </c>
      <c r="BM70" s="22"/>
      <c r="BN70" s="24"/>
      <c r="BO70" s="24"/>
      <c r="BP70" s="24"/>
      <c r="BQ70" s="24"/>
      <c r="BR70" s="24"/>
      <c r="BS70" s="24"/>
      <c r="BT70" s="24"/>
      <c r="BU70" s="24"/>
      <c r="BV70" s="24"/>
      <c r="BW70" s="24"/>
      <c r="BX70" s="24"/>
      <c r="BY70" s="24"/>
      <c r="BZ70" s="24"/>
      <c r="CA70" s="25"/>
      <c r="CB70" s="17"/>
      <c r="CC70" s="17"/>
      <c r="CD70" s="17"/>
    </row>
    <row r="71" spans="2:82" ht="15.75" thickBot="1" x14ac:dyDescent="0.3">
      <c r="I71" s="120"/>
      <c r="J71" s="120"/>
      <c r="K71" s="120"/>
      <c r="L71" s="120"/>
      <c r="M71" s="120"/>
      <c r="N71" s="120"/>
      <c r="O71" s="120"/>
      <c r="P71" s="120"/>
      <c r="Q71" s="120"/>
      <c r="R71" s="120"/>
      <c r="S71" s="120"/>
      <c r="T71" s="120"/>
      <c r="U71" s="120"/>
      <c r="V71" s="120"/>
      <c r="W71" s="120"/>
      <c r="X71" s="120"/>
      <c r="Y71" s="120"/>
      <c r="Z71" s="120"/>
      <c r="AA71" s="120"/>
      <c r="AB71" s="120"/>
      <c r="AC71" s="120"/>
      <c r="AD71" s="120"/>
      <c r="AE71" s="120"/>
      <c r="AF71" s="120"/>
      <c r="AG71" s="120"/>
      <c r="AH71" s="120"/>
      <c r="AI71" s="120"/>
      <c r="AJ71" s="120"/>
      <c r="AK71" s="120"/>
      <c r="AL71" s="120"/>
      <c r="AM71" s="120"/>
      <c r="AN71" s="120"/>
      <c r="AO71" s="120"/>
      <c r="AP71" s="120"/>
      <c r="AQ71" s="120"/>
      <c r="AR71" s="121"/>
      <c r="AS71" s="121"/>
      <c r="AT71" s="121"/>
      <c r="AU71" s="121"/>
      <c r="AV71" s="122"/>
      <c r="AW71" s="122"/>
      <c r="AX71" s="122"/>
      <c r="AY71" s="122"/>
      <c r="AZ71" s="122"/>
      <c r="BA71" s="122"/>
      <c r="BB71" s="122"/>
      <c r="BC71" s="122"/>
      <c r="BD71" s="122"/>
      <c r="BE71" s="122"/>
      <c r="BF71" s="122"/>
      <c r="BG71" s="122"/>
      <c r="BH71" s="122"/>
      <c r="BI71" s="122"/>
      <c r="BJ71" s="122"/>
      <c r="BK71" s="122"/>
      <c r="BL71" s="122"/>
      <c r="BN71" s="1"/>
      <c r="BO71" s="1"/>
      <c r="BP71" s="1"/>
      <c r="BQ71" s="1"/>
      <c r="BR71" s="1"/>
      <c r="BS71" s="1"/>
      <c r="BT71" s="1"/>
      <c r="BU71" s="1"/>
      <c r="BV71" s="1"/>
      <c r="BW71" s="1"/>
      <c r="BX71" s="1"/>
      <c r="BY71" s="1"/>
      <c r="BZ71" s="1"/>
      <c r="CA71" s="1"/>
      <c r="CB71" s="1"/>
      <c r="CC71" s="1"/>
      <c r="CD71" s="1"/>
    </row>
    <row r="72" spans="2:82" x14ac:dyDescent="0.25">
      <c r="B72" s="43" t="s">
        <v>37</v>
      </c>
      <c r="C72" s="10" t="s">
        <v>383</v>
      </c>
      <c r="D72" s="10" t="s">
        <v>84</v>
      </c>
      <c r="E72" s="10" t="s">
        <v>318</v>
      </c>
      <c r="F72" s="10"/>
      <c r="G72" s="26"/>
      <c r="H72" s="10"/>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0"/>
      <c r="BC72" s="10"/>
      <c r="BD72" s="10"/>
      <c r="BE72" s="10"/>
      <c r="BF72" s="10"/>
      <c r="BG72" s="10"/>
      <c r="BH72" s="10"/>
      <c r="BI72" s="10"/>
      <c r="BJ72" s="44">
        <v>121.57</v>
      </c>
      <c r="BK72" s="44">
        <v>121.87</v>
      </c>
      <c r="BL72" s="44">
        <v>121.09</v>
      </c>
      <c r="BM72" s="10"/>
      <c r="BN72" s="12"/>
      <c r="BO72" s="12"/>
      <c r="BP72" s="12"/>
      <c r="BQ72" s="12"/>
      <c r="BR72" s="12"/>
      <c r="BS72" s="12"/>
      <c r="BT72" s="12"/>
      <c r="BU72" s="12"/>
      <c r="BV72" s="12"/>
      <c r="BW72" s="12"/>
      <c r="BX72" s="12"/>
      <c r="BY72" s="12"/>
      <c r="BZ72" s="12"/>
      <c r="CA72" s="13"/>
      <c r="CB72" s="1"/>
      <c r="CC72" s="1"/>
    </row>
    <row r="73" spans="2:82" x14ac:dyDescent="0.25">
      <c r="B73" s="42" t="s">
        <v>382</v>
      </c>
      <c r="G73" s="46"/>
      <c r="I73" s="9">
        <v>0.27332000000000001</v>
      </c>
      <c r="J73" s="9">
        <v>0.29099999999999998</v>
      </c>
      <c r="K73" s="9">
        <v>0.28999999999999998</v>
      </c>
      <c r="L73" s="9">
        <v>0</v>
      </c>
      <c r="M73" s="9">
        <v>0</v>
      </c>
      <c r="N73" s="9">
        <v>0</v>
      </c>
      <c r="O73" s="9">
        <v>0</v>
      </c>
      <c r="P73" s="9">
        <v>0</v>
      </c>
      <c r="Q73" s="9">
        <v>0</v>
      </c>
      <c r="R73" s="9">
        <v>0</v>
      </c>
      <c r="S73" s="9">
        <v>0</v>
      </c>
      <c r="T73" s="9"/>
      <c r="U73" s="9"/>
      <c r="V73" s="9"/>
      <c r="W73" s="9"/>
      <c r="X73" s="9"/>
      <c r="Y73" s="9"/>
      <c r="Z73" s="9"/>
      <c r="AA73" s="9"/>
      <c r="AB73" s="9"/>
      <c r="AC73" s="9"/>
      <c r="AD73" s="9"/>
      <c r="AE73" s="9"/>
      <c r="AF73" s="9"/>
      <c r="AH73" s="8"/>
      <c r="AI73" s="8"/>
      <c r="BJ73" s="8"/>
      <c r="BK73" s="8"/>
      <c r="BL73" s="8"/>
      <c r="BN73" s="1"/>
      <c r="BO73" s="1"/>
      <c r="BP73" s="1"/>
      <c r="BQ73" s="1"/>
      <c r="BR73" s="1"/>
      <c r="BS73" s="1"/>
      <c r="BT73" s="1"/>
      <c r="BU73" s="1"/>
      <c r="BV73" s="1"/>
      <c r="BW73" s="1"/>
      <c r="BX73" s="1"/>
      <c r="BY73" s="1"/>
      <c r="BZ73" s="1"/>
      <c r="CA73" s="15"/>
      <c r="CB73" s="1"/>
      <c r="CC73" s="1"/>
    </row>
    <row r="74" spans="2:82" ht="5.25" customHeight="1" x14ac:dyDescent="0.25">
      <c r="B74" s="33"/>
      <c r="C74" s="34"/>
      <c r="D74" s="34"/>
      <c r="E74" s="34"/>
      <c r="F74" s="34"/>
      <c r="G74" s="34"/>
      <c r="H74" s="34"/>
      <c r="I74" s="47"/>
      <c r="J74" s="47"/>
      <c r="K74" s="47"/>
      <c r="L74" s="47"/>
      <c r="M74" s="47"/>
      <c r="N74" s="47"/>
      <c r="O74" s="47"/>
      <c r="P74" s="47"/>
      <c r="Q74" s="47"/>
      <c r="R74" s="47"/>
      <c r="S74" s="47"/>
      <c r="T74" s="47"/>
      <c r="U74" s="47"/>
      <c r="V74" s="47"/>
      <c r="W74" s="47"/>
      <c r="X74" s="47"/>
      <c r="Y74" s="47"/>
      <c r="Z74" s="47"/>
      <c r="AA74" s="47"/>
      <c r="AB74" s="47"/>
      <c r="AC74" s="47"/>
      <c r="AD74" s="47"/>
      <c r="AE74" s="47"/>
      <c r="AF74" s="47"/>
      <c r="AG74" s="34"/>
      <c r="AH74" s="34"/>
      <c r="AI74" s="34"/>
      <c r="AJ74" s="34"/>
      <c r="AK74" s="34"/>
      <c r="AL74" s="34"/>
      <c r="AM74" s="34"/>
      <c r="AN74" s="34"/>
      <c r="AO74" s="34"/>
      <c r="AP74" s="34"/>
      <c r="AQ74" s="34"/>
      <c r="AR74" s="34"/>
      <c r="AS74" s="34"/>
      <c r="AT74" s="34"/>
      <c r="AU74" s="34"/>
      <c r="AV74" s="34"/>
      <c r="AW74" s="34"/>
      <c r="AX74" s="34"/>
      <c r="AY74" s="34"/>
      <c r="AZ74" s="34"/>
      <c r="BA74" s="34"/>
      <c r="BB74" s="34"/>
      <c r="BC74" s="34"/>
      <c r="BD74" s="34"/>
      <c r="BE74" s="34"/>
      <c r="BF74" s="34"/>
      <c r="BG74" s="34"/>
      <c r="BH74" s="34"/>
      <c r="BI74" s="34"/>
      <c r="BJ74" s="34"/>
      <c r="BK74" s="34"/>
      <c r="BL74" s="34"/>
      <c r="BM74" s="34"/>
      <c r="BN74" s="35"/>
      <c r="BO74" s="35"/>
      <c r="BP74" s="35"/>
      <c r="BQ74" s="35"/>
      <c r="BR74" s="35"/>
      <c r="BS74" s="35"/>
      <c r="BT74" s="35"/>
      <c r="BU74" s="35"/>
      <c r="BV74" s="35"/>
      <c r="BW74" s="35"/>
      <c r="BX74" s="35"/>
      <c r="BY74" s="35"/>
      <c r="BZ74" s="35"/>
      <c r="CA74" s="36"/>
      <c r="CB74" s="35"/>
      <c r="CC74" s="35"/>
      <c r="CD74" s="35"/>
    </row>
    <row r="75" spans="2:82" x14ac:dyDescent="0.25">
      <c r="B75" s="30"/>
      <c r="E75" t="s">
        <v>53</v>
      </c>
      <c r="G75" s="45"/>
      <c r="I75" s="9">
        <v>3.66</v>
      </c>
      <c r="J75" s="9">
        <v>3.64</v>
      </c>
      <c r="K75" s="9">
        <v>3.85</v>
      </c>
      <c r="L75" s="9">
        <v>0</v>
      </c>
      <c r="M75" s="9">
        <v>5.47</v>
      </c>
      <c r="N75" s="9">
        <v>2.37</v>
      </c>
      <c r="O75" s="9">
        <v>1.89</v>
      </c>
      <c r="P75" s="9">
        <v>1.97</v>
      </c>
      <c r="Q75" s="9">
        <v>1.97</v>
      </c>
      <c r="R75" s="9">
        <v>1.89</v>
      </c>
      <c r="S75" s="9">
        <v>1.93</v>
      </c>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9"/>
      <c r="BJ75" s="9">
        <v>0</v>
      </c>
      <c r="BK75" s="9">
        <v>0</v>
      </c>
      <c r="BL75" s="9">
        <v>0</v>
      </c>
      <c r="BN75" s="1"/>
      <c r="BO75" s="1"/>
      <c r="BP75" s="1"/>
      <c r="BQ75" s="1"/>
      <c r="BR75" s="1"/>
      <c r="BS75" s="1"/>
      <c r="BT75" s="1"/>
      <c r="BU75" s="1"/>
      <c r="BV75" s="1"/>
      <c r="BW75" s="1"/>
      <c r="BX75" s="1"/>
      <c r="BY75" s="1"/>
      <c r="BZ75" s="1"/>
      <c r="CA75" s="15"/>
      <c r="CB75" s="1"/>
      <c r="CC75" s="1"/>
    </row>
    <row r="76" spans="2:82" x14ac:dyDescent="0.25">
      <c r="B76" s="14"/>
      <c r="E76" t="s">
        <v>54</v>
      </c>
      <c r="G76" s="45"/>
      <c r="I76" s="9">
        <v>0.92940999999999996</v>
      </c>
      <c r="J76" s="9">
        <v>0.94099999999999995</v>
      </c>
      <c r="K76" s="9">
        <v>0.83</v>
      </c>
      <c r="L76" s="9">
        <v>0</v>
      </c>
      <c r="M76" s="9">
        <v>0</v>
      </c>
      <c r="N76" s="9">
        <v>0</v>
      </c>
      <c r="O76" s="9">
        <v>0</v>
      </c>
      <c r="P76" s="9">
        <v>0</v>
      </c>
      <c r="Q76" s="9">
        <v>0</v>
      </c>
      <c r="R76" s="9">
        <v>0</v>
      </c>
      <c r="S76" s="9">
        <v>0</v>
      </c>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c r="AZ76" s="9"/>
      <c r="BA76" s="9"/>
      <c r="BB76" s="9"/>
      <c r="BC76" s="9"/>
      <c r="BD76" s="9"/>
      <c r="BE76" s="9"/>
      <c r="BF76" s="9"/>
      <c r="BG76" s="9"/>
      <c r="BH76" s="9"/>
      <c r="BI76" s="9"/>
      <c r="BJ76" s="9">
        <v>0.89</v>
      </c>
      <c r="BK76" s="9">
        <v>1.87</v>
      </c>
      <c r="BL76" s="9">
        <v>1.72</v>
      </c>
      <c r="BN76" s="1"/>
      <c r="BO76" s="1"/>
      <c r="BP76" s="1"/>
      <c r="BQ76" s="1"/>
      <c r="BR76" s="1"/>
      <c r="BS76" s="1"/>
      <c r="BT76" s="1"/>
      <c r="BU76" s="1"/>
      <c r="BV76" s="1"/>
      <c r="BW76" s="1"/>
      <c r="BX76" s="1"/>
      <c r="BY76" s="1"/>
      <c r="BZ76" s="1"/>
      <c r="CA76" s="15"/>
      <c r="CB76" s="1"/>
      <c r="CC76" s="1"/>
    </row>
    <row r="77" spans="2:82" x14ac:dyDescent="0.25">
      <c r="B77" s="14"/>
      <c r="E77" s="16" t="s">
        <v>55</v>
      </c>
      <c r="F77" s="16"/>
      <c r="G77" s="48"/>
      <c r="H77" s="16"/>
      <c r="I77" s="65">
        <f t="shared" ref="I77:S77" si="124">SUM(I73:I76)</f>
        <v>4.86273</v>
      </c>
      <c r="J77" s="65">
        <f t="shared" si="124"/>
        <v>4.8719999999999999</v>
      </c>
      <c r="K77" s="65">
        <f t="shared" si="124"/>
        <v>4.97</v>
      </c>
      <c r="L77" s="65">
        <f t="shared" si="124"/>
        <v>0</v>
      </c>
      <c r="M77" s="65">
        <f t="shared" si="124"/>
        <v>5.47</v>
      </c>
      <c r="N77" s="65">
        <f t="shared" si="124"/>
        <v>2.37</v>
      </c>
      <c r="O77" s="65">
        <f t="shared" si="124"/>
        <v>1.89</v>
      </c>
      <c r="P77" s="65">
        <f t="shared" si="124"/>
        <v>1.97</v>
      </c>
      <c r="Q77" s="65">
        <f t="shared" si="124"/>
        <v>1.97</v>
      </c>
      <c r="R77" s="65">
        <f t="shared" si="124"/>
        <v>1.89</v>
      </c>
      <c r="S77" s="65">
        <f t="shared" si="124"/>
        <v>1.93</v>
      </c>
      <c r="T77" s="17"/>
      <c r="U77" s="17"/>
      <c r="V77" s="17"/>
      <c r="W77" s="17"/>
      <c r="X77" s="17"/>
      <c r="Y77" s="17"/>
      <c r="Z77" s="17"/>
      <c r="AA77" s="17"/>
      <c r="AB77" s="17"/>
      <c r="AC77" s="17"/>
      <c r="AD77" s="17"/>
      <c r="AE77" s="17"/>
      <c r="AF77" s="17"/>
      <c r="AG77" s="17"/>
      <c r="AH77" s="17"/>
      <c r="AI77" s="17"/>
      <c r="AJ77" s="17"/>
      <c r="AK77" s="17"/>
      <c r="AL77" s="17"/>
      <c r="AM77" s="17"/>
      <c r="AN77" s="17"/>
      <c r="AO77" s="17"/>
      <c r="AP77" s="17"/>
      <c r="AQ77" s="17"/>
      <c r="AR77" s="17"/>
      <c r="AS77" s="17"/>
      <c r="AT77" s="17"/>
      <c r="AU77" s="17"/>
      <c r="AV77" s="17"/>
      <c r="AW77" s="17"/>
      <c r="AX77" s="17"/>
      <c r="AY77" s="17"/>
      <c r="AZ77" s="17"/>
      <c r="BA77" s="17"/>
      <c r="BB77" s="17"/>
      <c r="BC77" s="17"/>
      <c r="BD77" s="17"/>
      <c r="BE77" s="17"/>
      <c r="BF77" s="17"/>
      <c r="BG77" s="17"/>
      <c r="BH77" s="17"/>
      <c r="BI77" s="17"/>
      <c r="BJ77" s="17">
        <f>SUM(BJ72:BJ76)</f>
        <v>122.46</v>
      </c>
      <c r="BK77" s="17">
        <f>SUM(BK72:BK76)</f>
        <v>123.74000000000001</v>
      </c>
      <c r="BL77" s="17">
        <f>SUM(BL72:BL76)</f>
        <v>122.81</v>
      </c>
      <c r="BM77" s="16"/>
      <c r="BN77" s="17"/>
      <c r="BO77" s="17"/>
      <c r="BP77" s="17"/>
      <c r="BQ77" s="17"/>
      <c r="BR77" s="17"/>
      <c r="BS77" s="17"/>
      <c r="BT77" s="17"/>
      <c r="BU77" s="17"/>
      <c r="BV77" s="17"/>
      <c r="BW77" s="17"/>
      <c r="BX77" s="17"/>
      <c r="BY77" s="17"/>
      <c r="BZ77" s="17"/>
      <c r="CA77" s="18"/>
      <c r="CB77" s="17"/>
      <c r="CC77" s="17"/>
      <c r="CD77" s="17"/>
    </row>
    <row r="78" spans="2:82" x14ac:dyDescent="0.25">
      <c r="B78" s="19"/>
      <c r="C78" s="16"/>
      <c r="D78" s="16"/>
      <c r="E78" s="49" t="s">
        <v>57</v>
      </c>
      <c r="F78" s="16"/>
      <c r="G78" s="16">
        <v>198</v>
      </c>
      <c r="H78" s="16"/>
      <c r="I78" s="65">
        <f t="shared" ref="I78:R78" si="125">36.85-I77</f>
        <v>31.987270000000002</v>
      </c>
      <c r="J78" s="65">
        <f t="shared" si="125"/>
        <v>31.978000000000002</v>
      </c>
      <c r="K78" s="65">
        <f t="shared" si="125"/>
        <v>31.880000000000003</v>
      </c>
      <c r="L78" s="65">
        <f t="shared" si="125"/>
        <v>36.85</v>
      </c>
      <c r="M78" s="65">
        <f t="shared" si="125"/>
        <v>31.380000000000003</v>
      </c>
      <c r="N78" s="65">
        <f t="shared" si="125"/>
        <v>34.480000000000004</v>
      </c>
      <c r="O78" s="65">
        <f t="shared" si="125"/>
        <v>34.96</v>
      </c>
      <c r="P78" s="65">
        <f t="shared" si="125"/>
        <v>34.880000000000003</v>
      </c>
      <c r="Q78" s="65">
        <f t="shared" si="125"/>
        <v>34.880000000000003</v>
      </c>
      <c r="R78" s="65">
        <f t="shared" si="125"/>
        <v>34.96</v>
      </c>
      <c r="S78" s="65">
        <f t="shared" ref="S78" si="126">$G$69-S77</f>
        <v>35.619999999999997</v>
      </c>
      <c r="T78" s="17"/>
      <c r="U78" s="17"/>
      <c r="V78" s="17"/>
      <c r="W78" s="17"/>
      <c r="X78" s="17"/>
      <c r="Y78" s="17"/>
      <c r="Z78" s="17"/>
      <c r="AA78" s="17"/>
      <c r="AB78" s="17"/>
      <c r="AC78" s="17"/>
      <c r="AD78" s="17"/>
      <c r="AE78" s="17"/>
      <c r="AF78" s="17"/>
      <c r="AG78" s="17"/>
      <c r="AH78" s="17"/>
      <c r="AI78" s="17"/>
      <c r="AJ78" s="17"/>
      <c r="AK78" s="17"/>
      <c r="AL78" s="17"/>
      <c r="AM78" s="17"/>
      <c r="AN78" s="17"/>
      <c r="AO78" s="17"/>
      <c r="AP78" s="17"/>
      <c r="AQ78" s="17"/>
      <c r="AR78" s="17"/>
      <c r="AS78" s="17"/>
      <c r="AT78" s="17"/>
      <c r="AU78" s="17"/>
      <c r="AV78" s="17"/>
      <c r="AW78" s="17"/>
      <c r="AX78" s="17"/>
      <c r="AY78" s="17"/>
      <c r="AZ78" s="17"/>
      <c r="BA78" s="17"/>
      <c r="BB78" s="17"/>
      <c r="BC78" s="17"/>
      <c r="BD78" s="17"/>
      <c r="BE78" s="17"/>
      <c r="BF78" s="17"/>
      <c r="BG78" s="17"/>
      <c r="BH78" s="17"/>
      <c r="BI78" s="17"/>
      <c r="BJ78" s="17">
        <f>$G$78-BJ77</f>
        <v>75.540000000000006</v>
      </c>
      <c r="BK78" s="17">
        <f>$G$78-BK77</f>
        <v>74.259999999999991</v>
      </c>
      <c r="BL78" s="17">
        <f>$G$78-BL77</f>
        <v>75.19</v>
      </c>
      <c r="BM78" s="16"/>
      <c r="BN78" s="17"/>
      <c r="BO78" s="17"/>
      <c r="BP78" s="17"/>
      <c r="BQ78" s="17"/>
      <c r="BR78" s="17"/>
      <c r="BS78" s="17"/>
      <c r="BT78" s="17"/>
      <c r="BU78" s="17"/>
      <c r="BV78" s="17"/>
      <c r="BW78" s="17"/>
      <c r="BX78" s="17"/>
      <c r="BY78" s="17"/>
      <c r="BZ78" s="17"/>
      <c r="CA78" s="18"/>
      <c r="CB78" s="17"/>
      <c r="CC78" s="17"/>
      <c r="CD78" s="17"/>
    </row>
    <row r="79" spans="2:82" ht="15.75" thickBot="1" x14ac:dyDescent="0.3">
      <c r="B79" s="20"/>
      <c r="C79" s="21"/>
      <c r="D79" s="21"/>
      <c r="E79" s="22" t="s">
        <v>59</v>
      </c>
      <c r="F79" s="22"/>
      <c r="G79" s="22"/>
      <c r="H79" s="22"/>
      <c r="I79" s="23">
        <f t="shared" ref="I79:R79" si="127">I77/36.85</f>
        <v>0.13196010854816825</v>
      </c>
      <c r="J79" s="23">
        <f t="shared" si="127"/>
        <v>0.13221166892808683</v>
      </c>
      <c r="K79" s="23">
        <f t="shared" si="127"/>
        <v>0.1348710990502035</v>
      </c>
      <c r="L79" s="23">
        <f t="shared" si="127"/>
        <v>0</v>
      </c>
      <c r="M79" s="23">
        <f t="shared" si="127"/>
        <v>0.14843962008141112</v>
      </c>
      <c r="N79" s="23">
        <f t="shared" si="127"/>
        <v>6.4314789687924021E-2</v>
      </c>
      <c r="O79" s="23">
        <f t="shared" si="127"/>
        <v>5.1289009497964715E-2</v>
      </c>
      <c r="P79" s="23">
        <f t="shared" si="127"/>
        <v>5.3459972862957936E-2</v>
      </c>
      <c r="Q79" s="23">
        <f t="shared" si="127"/>
        <v>5.3459972862957936E-2</v>
      </c>
      <c r="R79" s="23">
        <f t="shared" si="127"/>
        <v>5.1289009497964715E-2</v>
      </c>
      <c r="S79" s="23">
        <f>S77/$G$69</f>
        <v>5.1398135818908126E-2</v>
      </c>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123"/>
      <c r="AS79" s="123"/>
      <c r="AT79" s="123"/>
      <c r="AU79" s="123"/>
      <c r="AV79" s="72"/>
      <c r="AW79" s="72"/>
      <c r="AX79" s="72"/>
      <c r="AY79" s="72"/>
      <c r="AZ79" s="72"/>
      <c r="BA79" s="72"/>
      <c r="BB79" s="72"/>
      <c r="BC79" s="72"/>
      <c r="BD79" s="72"/>
      <c r="BE79" s="72"/>
      <c r="BF79" s="72"/>
      <c r="BG79" s="72"/>
      <c r="BH79" s="72"/>
      <c r="BI79" s="72"/>
      <c r="BJ79" s="72">
        <f>(BJ77/$G$78)</f>
        <v>0.61848484848484842</v>
      </c>
      <c r="BK79" s="72">
        <f>(BK77/$G$78)</f>
        <v>0.62494949494949503</v>
      </c>
      <c r="BL79" s="72">
        <f>(BL77/$G$78)</f>
        <v>0.62025252525252528</v>
      </c>
      <c r="BM79" s="22"/>
      <c r="BN79" s="24"/>
      <c r="BO79" s="24"/>
      <c r="BP79" s="24"/>
      <c r="BQ79" s="24"/>
      <c r="BR79" s="24"/>
      <c r="BS79" s="24"/>
      <c r="BT79" s="24"/>
      <c r="BU79" s="24"/>
      <c r="BV79" s="24"/>
      <c r="BW79" s="24"/>
      <c r="BX79" s="24"/>
      <c r="BY79" s="24"/>
      <c r="BZ79" s="24"/>
      <c r="CA79" s="25"/>
      <c r="CB79" s="17"/>
      <c r="CC79" s="17"/>
      <c r="CD79" s="17"/>
    </row>
    <row r="80" spans="2:82" ht="15.75" thickBot="1" x14ac:dyDescent="0.3">
      <c r="I80" s="120"/>
      <c r="J80" s="120"/>
      <c r="K80" s="120"/>
      <c r="L80" s="120"/>
      <c r="M80" s="120"/>
      <c r="N80" s="120"/>
      <c r="O80" s="120"/>
      <c r="P80" s="120"/>
      <c r="Q80" s="120"/>
      <c r="R80" s="120"/>
      <c r="S80" s="120"/>
      <c r="T80" s="120"/>
      <c r="U80" s="120"/>
      <c r="V80" s="120"/>
      <c r="W80" s="120"/>
      <c r="X80" s="120"/>
      <c r="Y80" s="120"/>
      <c r="Z80" s="120"/>
      <c r="AA80" s="120"/>
      <c r="AB80" s="120"/>
      <c r="AC80" s="120"/>
      <c r="AD80" s="120"/>
      <c r="AE80" s="120"/>
      <c r="AF80" s="120"/>
      <c r="AG80" s="120"/>
      <c r="AH80" s="120"/>
      <c r="AI80" s="120"/>
      <c r="AJ80" s="120"/>
      <c r="AK80" s="120"/>
      <c r="AL80" s="120"/>
      <c r="AM80" s="120"/>
      <c r="AN80" s="120"/>
      <c r="AO80" s="120"/>
      <c r="AP80" s="120"/>
      <c r="AQ80" s="120"/>
      <c r="AR80" s="121"/>
      <c r="AS80" s="121"/>
      <c r="AT80" s="121"/>
      <c r="AU80" s="121"/>
      <c r="AV80" s="122"/>
      <c r="AW80" s="122"/>
      <c r="AX80" s="122"/>
      <c r="AY80" s="122"/>
      <c r="AZ80" s="122"/>
      <c r="BA80" s="122"/>
      <c r="BB80" s="122"/>
      <c r="BC80" s="122"/>
      <c r="BD80" s="122"/>
      <c r="BE80" s="122"/>
      <c r="BF80" s="122"/>
      <c r="BG80" s="122"/>
      <c r="BH80" s="122"/>
      <c r="BI80" s="122"/>
      <c r="BJ80" s="122"/>
      <c r="BK80" s="122"/>
      <c r="BL80" s="122"/>
      <c r="BN80" s="1"/>
      <c r="BO80" s="1"/>
      <c r="BP80" s="1"/>
      <c r="BQ80" s="1"/>
      <c r="BR80" s="1"/>
      <c r="BS80" s="1"/>
      <c r="BT80" s="1"/>
      <c r="BU80" s="1"/>
      <c r="BV80" s="1"/>
      <c r="BW80" s="1"/>
      <c r="BX80" s="1"/>
      <c r="BY80" s="1"/>
      <c r="BZ80" s="1"/>
      <c r="CA80" s="1"/>
      <c r="CB80" s="1"/>
      <c r="CC80" s="1"/>
      <c r="CD80" s="1"/>
    </row>
    <row r="81" spans="2:102" x14ac:dyDescent="0.25">
      <c r="B81" s="43" t="s">
        <v>92</v>
      </c>
      <c r="C81" s="10" t="s">
        <v>93</v>
      </c>
      <c r="D81" s="10" t="s">
        <v>39</v>
      </c>
      <c r="E81" s="10" t="s">
        <v>310</v>
      </c>
      <c r="F81" s="10"/>
      <c r="G81" s="27"/>
      <c r="H81" s="10"/>
      <c r="I81" s="44"/>
      <c r="J81" s="10"/>
      <c r="K81" s="11"/>
      <c r="L81" s="11"/>
      <c r="M81" s="11"/>
      <c r="N81" s="11"/>
      <c r="O81" s="11"/>
      <c r="P81" s="11"/>
      <c r="Q81" s="11"/>
      <c r="R81" s="11"/>
      <c r="S81" s="11"/>
      <c r="T81" s="44"/>
      <c r="U81" s="44"/>
      <c r="V81" s="44"/>
      <c r="W81" s="44"/>
      <c r="X81" s="44"/>
      <c r="Y81" s="44"/>
      <c r="Z81" s="44"/>
      <c r="AA81" s="44"/>
      <c r="AB81" s="44"/>
      <c r="AC81" s="44"/>
      <c r="AD81" s="44"/>
      <c r="AE81" s="44"/>
      <c r="AF81" s="44"/>
      <c r="AG81" s="10"/>
      <c r="AH81" s="10"/>
      <c r="AI81" s="10"/>
      <c r="AJ81" s="10"/>
      <c r="AK81" s="10">
        <v>0</v>
      </c>
      <c r="AL81" s="10">
        <v>7.36</v>
      </c>
      <c r="AM81" s="10">
        <v>0.03</v>
      </c>
      <c r="AN81" s="10">
        <v>0.08</v>
      </c>
      <c r="AO81" s="10">
        <v>0.12</v>
      </c>
      <c r="AP81" s="10">
        <v>0.18</v>
      </c>
      <c r="AQ81" s="10">
        <v>0.26</v>
      </c>
      <c r="AR81" s="10">
        <v>0.03</v>
      </c>
      <c r="AS81" s="10">
        <v>0.08</v>
      </c>
      <c r="AT81" s="10">
        <v>0.12</v>
      </c>
      <c r="AU81" s="10">
        <v>0.12</v>
      </c>
      <c r="AV81" s="10">
        <v>0.31</v>
      </c>
      <c r="AW81" s="10">
        <v>0.01</v>
      </c>
      <c r="AX81" s="10">
        <v>0.08</v>
      </c>
      <c r="AY81" s="10">
        <v>0.14000000000000001</v>
      </c>
      <c r="AZ81" s="10">
        <v>0.22</v>
      </c>
      <c r="BA81" s="10">
        <v>0.32</v>
      </c>
      <c r="BB81" s="10">
        <v>0.37</v>
      </c>
      <c r="BC81" s="10">
        <v>0.23</v>
      </c>
      <c r="BD81" s="10">
        <v>0.25</v>
      </c>
      <c r="BE81" s="10">
        <v>0.31</v>
      </c>
      <c r="BF81" s="10">
        <v>0.16</v>
      </c>
      <c r="BG81" s="10">
        <v>0.18</v>
      </c>
      <c r="BH81" s="10">
        <v>0.25</v>
      </c>
      <c r="BI81" s="10">
        <v>0.33</v>
      </c>
      <c r="BJ81" s="44">
        <v>0.4</v>
      </c>
      <c r="BK81" s="44">
        <v>0.48</v>
      </c>
      <c r="BL81" s="44">
        <v>0.54</v>
      </c>
      <c r="BM81" s="10"/>
      <c r="BN81" s="44"/>
      <c r="BO81" s="44"/>
      <c r="BP81" s="10"/>
      <c r="BQ81" s="10"/>
      <c r="BR81" s="10"/>
      <c r="BS81" s="10"/>
      <c r="BT81" s="10"/>
      <c r="BU81" s="10"/>
      <c r="BV81" s="10"/>
      <c r="BW81" s="10"/>
      <c r="BX81" s="10"/>
      <c r="BY81" s="10"/>
      <c r="BZ81" s="10"/>
      <c r="CA81" s="28"/>
    </row>
    <row r="82" spans="2:102" x14ac:dyDescent="0.25">
      <c r="B82" s="42" t="s">
        <v>94</v>
      </c>
      <c r="E82" t="s">
        <v>85</v>
      </c>
      <c r="G82" s="45"/>
      <c r="I82" s="8">
        <v>0.18418999999999999</v>
      </c>
      <c r="J82">
        <v>0.75700000000000001</v>
      </c>
      <c r="K82" s="9">
        <v>0.7</v>
      </c>
      <c r="L82" s="9">
        <v>0.72</v>
      </c>
      <c r="M82" s="9">
        <v>0.74</v>
      </c>
      <c r="N82" s="9">
        <v>0.68</v>
      </c>
      <c r="O82" s="9">
        <v>0.85099999999999998</v>
      </c>
      <c r="P82" s="9">
        <v>0.85</v>
      </c>
      <c r="Q82" s="9">
        <v>0.86</v>
      </c>
      <c r="R82" s="9">
        <v>0.94</v>
      </c>
      <c r="S82" s="9">
        <v>0.87</v>
      </c>
      <c r="T82" s="8">
        <v>0.91900000000000004</v>
      </c>
      <c r="U82" s="8">
        <v>1</v>
      </c>
      <c r="V82" s="8">
        <v>0.91</v>
      </c>
      <c r="W82" s="8">
        <v>1.06</v>
      </c>
      <c r="X82" s="8">
        <v>1.02</v>
      </c>
      <c r="Y82" s="8">
        <v>1.05</v>
      </c>
      <c r="Z82" s="8">
        <v>1.21</v>
      </c>
      <c r="AA82" s="8">
        <v>1.21</v>
      </c>
      <c r="AB82" s="8">
        <v>1.26</v>
      </c>
      <c r="AC82" s="8">
        <v>1.28</v>
      </c>
      <c r="AD82" s="8">
        <v>1.19</v>
      </c>
      <c r="AE82" s="8">
        <v>1.18</v>
      </c>
      <c r="AF82" s="8">
        <v>0.82</v>
      </c>
      <c r="AG82">
        <v>1.01</v>
      </c>
      <c r="AH82">
        <v>1.05</v>
      </c>
      <c r="AI82">
        <v>1.1399999999999999</v>
      </c>
      <c r="AJ82">
        <v>0.93</v>
      </c>
      <c r="AK82">
        <v>0.7</v>
      </c>
      <c r="AL82">
        <v>0.81</v>
      </c>
      <c r="AM82">
        <v>0.74</v>
      </c>
      <c r="AN82">
        <v>0.85</v>
      </c>
      <c r="AO82">
        <v>0.86</v>
      </c>
      <c r="AP82">
        <v>0.89</v>
      </c>
      <c r="AQ82">
        <v>1.04</v>
      </c>
      <c r="AR82">
        <v>1.01</v>
      </c>
      <c r="AS82">
        <v>1.05</v>
      </c>
      <c r="AT82">
        <v>1.1000000000000001</v>
      </c>
      <c r="AU82">
        <v>1.1000000000000001</v>
      </c>
      <c r="AV82">
        <v>1.02</v>
      </c>
      <c r="AW82">
        <v>0.94</v>
      </c>
      <c r="AX82">
        <v>1.02</v>
      </c>
      <c r="AY82">
        <v>1.0900000000000001</v>
      </c>
      <c r="AZ82">
        <v>1.17</v>
      </c>
      <c r="BA82">
        <v>1.18</v>
      </c>
      <c r="BB82">
        <v>1.1499999999999999</v>
      </c>
      <c r="BC82">
        <v>1.1499999999999999</v>
      </c>
      <c r="BD82">
        <v>1.35</v>
      </c>
      <c r="BE82">
        <v>1.1599999999999999</v>
      </c>
      <c r="BF82">
        <v>1.1499999999999999</v>
      </c>
      <c r="BG82">
        <v>1.24</v>
      </c>
      <c r="BH82" s="8">
        <v>1.2</v>
      </c>
      <c r="BI82">
        <v>1.18</v>
      </c>
      <c r="BJ82">
        <v>1.24</v>
      </c>
      <c r="BK82">
        <v>1.27</v>
      </c>
      <c r="BL82">
        <v>1.33</v>
      </c>
      <c r="BN82" s="8"/>
      <c r="BO82" s="8"/>
      <c r="CA82" s="29"/>
    </row>
    <row r="83" spans="2:102" x14ac:dyDescent="0.25">
      <c r="B83" s="42"/>
      <c r="E83" t="s">
        <v>42</v>
      </c>
      <c r="G83" s="45"/>
      <c r="I83" s="8">
        <v>0.72158</v>
      </c>
      <c r="J83">
        <v>0.78200000000000003</v>
      </c>
      <c r="K83" s="9">
        <v>1.75</v>
      </c>
      <c r="L83" s="9">
        <v>1.45</v>
      </c>
      <c r="M83" s="9">
        <v>1.5</v>
      </c>
      <c r="N83" s="9">
        <v>1.47</v>
      </c>
      <c r="O83" s="9">
        <v>1.58</v>
      </c>
      <c r="P83" s="9">
        <v>1.6</v>
      </c>
      <c r="Q83" s="9">
        <v>1.38</v>
      </c>
      <c r="R83" s="9">
        <v>1.55</v>
      </c>
      <c r="S83" s="9">
        <v>1.58</v>
      </c>
      <c r="T83" s="9">
        <v>1.65</v>
      </c>
      <c r="U83" s="9">
        <v>1.49</v>
      </c>
      <c r="V83" s="9">
        <v>1.51</v>
      </c>
      <c r="W83" s="9">
        <v>1.53</v>
      </c>
      <c r="X83" s="9">
        <v>1.52</v>
      </c>
      <c r="Y83" s="9">
        <v>1.06</v>
      </c>
      <c r="Z83" s="9">
        <v>1.05</v>
      </c>
      <c r="AA83" s="9">
        <v>1.08</v>
      </c>
      <c r="AB83" s="9">
        <v>1.08</v>
      </c>
      <c r="AC83" s="9">
        <v>1</v>
      </c>
      <c r="AD83" s="9">
        <v>1.04</v>
      </c>
      <c r="AE83" s="9">
        <v>1.1399999999999999</v>
      </c>
      <c r="AF83" s="9">
        <v>1.1299999999999999</v>
      </c>
      <c r="AG83" s="9">
        <v>1.1399999999999999</v>
      </c>
      <c r="AH83" s="9">
        <v>1.22</v>
      </c>
      <c r="AI83" s="9">
        <v>1.6</v>
      </c>
      <c r="AJ83" s="9">
        <v>1.77</v>
      </c>
      <c r="AK83" s="9">
        <v>1.55</v>
      </c>
      <c r="AL83" s="9">
        <v>1.43</v>
      </c>
      <c r="AM83" s="9">
        <v>1</v>
      </c>
      <c r="AN83" s="9">
        <v>1.44</v>
      </c>
      <c r="AO83" s="9">
        <v>1.71</v>
      </c>
      <c r="AP83" s="9">
        <v>1.44</v>
      </c>
      <c r="AQ83" s="9">
        <v>0.95</v>
      </c>
      <c r="AR83" s="9">
        <v>1.06</v>
      </c>
      <c r="AS83" s="9">
        <v>1.04</v>
      </c>
      <c r="AT83" s="9">
        <v>1.4</v>
      </c>
      <c r="AU83" s="9">
        <v>1.4</v>
      </c>
      <c r="AV83" s="9">
        <v>1.8</v>
      </c>
      <c r="AW83" s="9">
        <v>2.1</v>
      </c>
      <c r="AX83" s="9">
        <v>2.21</v>
      </c>
      <c r="AY83" s="9">
        <v>2.2000000000000002</v>
      </c>
      <c r="AZ83" s="9">
        <v>2.89</v>
      </c>
      <c r="BA83" s="9">
        <v>2</v>
      </c>
      <c r="BB83" s="9">
        <v>2.14</v>
      </c>
      <c r="BC83" s="9">
        <v>2.11</v>
      </c>
      <c r="BD83" s="9">
        <v>1.34</v>
      </c>
      <c r="BE83" s="9">
        <v>1.42</v>
      </c>
      <c r="BF83" s="9">
        <v>1.35</v>
      </c>
      <c r="BG83" s="9">
        <v>1.49</v>
      </c>
      <c r="BH83" s="9">
        <v>1.49</v>
      </c>
      <c r="BI83" s="9">
        <v>1.67</v>
      </c>
      <c r="BJ83" s="9">
        <v>1.87</v>
      </c>
      <c r="BK83" s="9">
        <v>1.9</v>
      </c>
      <c r="BL83" s="9">
        <v>1.85</v>
      </c>
      <c r="BN83" s="8"/>
      <c r="BO83" s="8"/>
      <c r="CA83" s="29"/>
    </row>
    <row r="84" spans="2:102" x14ac:dyDescent="0.25">
      <c r="B84" s="14"/>
      <c r="E84" t="s">
        <v>43</v>
      </c>
      <c r="G84" s="45"/>
      <c r="I84" s="8">
        <v>3.12</v>
      </c>
      <c r="J84">
        <v>3.25</v>
      </c>
      <c r="K84" s="9">
        <v>1.06</v>
      </c>
      <c r="L84" s="9">
        <v>1.1399999999999999</v>
      </c>
      <c r="M84" s="9">
        <v>1.76</v>
      </c>
      <c r="N84" s="9">
        <v>1.91</v>
      </c>
      <c r="O84" s="9">
        <v>1.99</v>
      </c>
      <c r="P84" s="9">
        <v>2.0099999999999998</v>
      </c>
      <c r="Q84" s="9">
        <v>1.94</v>
      </c>
      <c r="R84" s="9">
        <v>2.13</v>
      </c>
      <c r="S84" s="9">
        <v>2.06</v>
      </c>
      <c r="T84" s="9">
        <v>2.08</v>
      </c>
      <c r="U84" s="9">
        <v>2.27</v>
      </c>
      <c r="V84" s="9">
        <v>2.25</v>
      </c>
      <c r="W84" s="9">
        <v>2.2799999999999998</v>
      </c>
      <c r="X84" s="9">
        <v>2.4700000000000002</v>
      </c>
      <c r="Y84" s="9">
        <v>2.57</v>
      </c>
      <c r="Z84" s="9">
        <v>2.36</v>
      </c>
      <c r="AA84" s="9">
        <v>2.4700000000000002</v>
      </c>
      <c r="AB84" s="9">
        <v>3.53</v>
      </c>
      <c r="AC84" s="9">
        <v>5.05</v>
      </c>
      <c r="AD84" s="9">
        <v>5.37</v>
      </c>
      <c r="AE84" s="9">
        <v>5.58</v>
      </c>
      <c r="AF84" s="9">
        <v>5.66</v>
      </c>
      <c r="AG84" s="9">
        <v>5.42</v>
      </c>
      <c r="AH84" s="9">
        <v>5.39</v>
      </c>
      <c r="AI84" s="9">
        <v>5.72</v>
      </c>
      <c r="AJ84" s="9">
        <v>5.63</v>
      </c>
      <c r="AK84" s="9">
        <v>5.75</v>
      </c>
      <c r="AL84" s="9">
        <v>6.55</v>
      </c>
      <c r="AM84" s="9">
        <v>7.7</v>
      </c>
      <c r="AN84" s="9">
        <v>7.51</v>
      </c>
      <c r="AO84" s="9">
        <v>7.57</v>
      </c>
      <c r="AP84" s="9">
        <v>7.55</v>
      </c>
      <c r="AQ84" s="9">
        <v>8.08</v>
      </c>
      <c r="AR84" s="9">
        <v>8</v>
      </c>
      <c r="AS84" s="9">
        <v>8.5</v>
      </c>
      <c r="AT84" s="9">
        <v>8.6199999999999992</v>
      </c>
      <c r="AU84" s="9">
        <v>8.6199999999999992</v>
      </c>
      <c r="AV84" s="9">
        <v>9.07</v>
      </c>
      <c r="AW84" s="9">
        <v>9.4</v>
      </c>
      <c r="AX84" s="9">
        <v>9.34</v>
      </c>
      <c r="AY84" s="9">
        <v>9.93</v>
      </c>
      <c r="AZ84" s="9">
        <v>10.16</v>
      </c>
      <c r="BA84" s="9">
        <v>10.1</v>
      </c>
      <c r="BB84" s="9">
        <v>10.27</v>
      </c>
      <c r="BC84" s="9">
        <v>10.26</v>
      </c>
      <c r="BD84" s="9">
        <v>10.17</v>
      </c>
      <c r="BE84" s="9">
        <v>10.15</v>
      </c>
      <c r="BF84" s="9">
        <v>9.36</v>
      </c>
      <c r="BG84" s="9">
        <v>9.61</v>
      </c>
      <c r="BH84" s="9">
        <v>9.94</v>
      </c>
      <c r="BI84" s="9">
        <v>10.29</v>
      </c>
      <c r="BJ84" s="9">
        <v>10.47</v>
      </c>
      <c r="BK84" s="9">
        <v>10.76</v>
      </c>
      <c r="BL84" s="9">
        <v>10.33</v>
      </c>
      <c r="BN84" s="8"/>
      <c r="BO84" s="8"/>
      <c r="CA84" s="29"/>
    </row>
    <row r="85" spans="2:102" x14ac:dyDescent="0.25">
      <c r="B85" s="42"/>
      <c r="E85" s="50" t="s">
        <v>89</v>
      </c>
      <c r="G85" s="45"/>
      <c r="I85" s="8"/>
      <c r="K85" s="9">
        <v>0.183</v>
      </c>
      <c r="L85" s="9">
        <v>0.19</v>
      </c>
      <c r="M85" s="9">
        <v>0.21</v>
      </c>
      <c r="N85" s="9">
        <v>0.21</v>
      </c>
      <c r="O85" s="9">
        <v>0.215</v>
      </c>
      <c r="P85" s="9">
        <v>0.22</v>
      </c>
      <c r="Q85" s="9">
        <v>0.22</v>
      </c>
      <c r="R85" s="9">
        <v>0.23</v>
      </c>
      <c r="S85" s="9">
        <v>0.23</v>
      </c>
      <c r="T85" s="9">
        <v>0.22700000000000001</v>
      </c>
      <c r="U85" s="9">
        <v>0.23</v>
      </c>
      <c r="V85" s="9">
        <v>0.22</v>
      </c>
      <c r="W85" s="9">
        <v>0.23</v>
      </c>
      <c r="X85" s="9">
        <v>0.23</v>
      </c>
      <c r="Y85" s="9">
        <v>0.24</v>
      </c>
      <c r="Z85" s="9">
        <v>0.23</v>
      </c>
      <c r="AA85" s="9">
        <v>0.24</v>
      </c>
      <c r="AB85" s="9">
        <v>0.31</v>
      </c>
      <c r="AC85" s="9">
        <v>0.32</v>
      </c>
      <c r="AD85" s="9">
        <v>0.33</v>
      </c>
      <c r="AE85" s="9">
        <v>0.33</v>
      </c>
      <c r="AF85" s="9">
        <v>0.34</v>
      </c>
      <c r="AG85" s="9">
        <v>0.33</v>
      </c>
      <c r="AH85" s="9">
        <v>0.34</v>
      </c>
      <c r="AI85" s="9">
        <v>0.34</v>
      </c>
      <c r="AJ85" s="9">
        <v>0.32</v>
      </c>
      <c r="AK85" s="9">
        <v>0.33</v>
      </c>
      <c r="AL85" s="9">
        <v>0.34</v>
      </c>
      <c r="AM85" s="9">
        <v>0.36</v>
      </c>
      <c r="AN85" s="9">
        <v>0.36</v>
      </c>
      <c r="AO85" s="9">
        <v>0.35</v>
      </c>
      <c r="AP85" s="9">
        <v>0.35</v>
      </c>
      <c r="AQ85" s="9">
        <v>0.35</v>
      </c>
      <c r="AR85" s="9">
        <v>0.33</v>
      </c>
      <c r="AS85" s="9">
        <v>0.32</v>
      </c>
      <c r="AT85" s="9">
        <v>0.34</v>
      </c>
      <c r="AU85" s="9">
        <v>0.34</v>
      </c>
      <c r="AV85" s="9">
        <v>0.37</v>
      </c>
      <c r="AW85" s="9">
        <v>0.37</v>
      </c>
      <c r="AX85" s="9">
        <v>0.39</v>
      </c>
      <c r="AY85" s="9">
        <v>0.39</v>
      </c>
      <c r="AZ85" s="9">
        <v>0.39</v>
      </c>
      <c r="BA85" s="9">
        <v>0.36</v>
      </c>
      <c r="BB85" s="9">
        <v>0.38</v>
      </c>
      <c r="BC85" s="9">
        <v>0.38</v>
      </c>
      <c r="BD85" s="9">
        <v>0.38</v>
      </c>
      <c r="BE85" s="9">
        <v>0.38</v>
      </c>
      <c r="BF85" s="9">
        <v>0.38</v>
      </c>
      <c r="BG85" s="9">
        <v>0.38</v>
      </c>
      <c r="BH85" s="9">
        <v>0.38</v>
      </c>
      <c r="BI85" s="9">
        <v>0.39</v>
      </c>
      <c r="BJ85" s="9">
        <v>0.39</v>
      </c>
      <c r="BK85" s="9">
        <v>0.39</v>
      </c>
      <c r="BL85" s="9">
        <v>0.39</v>
      </c>
      <c r="BN85" s="59"/>
      <c r="BO85" s="59">
        <v>0.4</v>
      </c>
      <c r="BP85" s="59">
        <v>0.4</v>
      </c>
      <c r="BQ85" s="59">
        <v>0.4</v>
      </c>
      <c r="BR85" s="59">
        <v>0.4</v>
      </c>
      <c r="BS85" s="59">
        <v>0.47</v>
      </c>
      <c r="BT85" s="59">
        <v>0.45</v>
      </c>
      <c r="BU85" s="59">
        <v>0.5</v>
      </c>
      <c r="BV85" s="59">
        <v>0.48</v>
      </c>
      <c r="BW85" s="59">
        <v>0.48</v>
      </c>
      <c r="BX85" s="59">
        <v>0.48</v>
      </c>
      <c r="BY85" s="59">
        <v>0.5</v>
      </c>
      <c r="BZ85" s="59">
        <v>0.5</v>
      </c>
      <c r="CA85" s="60">
        <v>0.5</v>
      </c>
      <c r="CB85" s="59">
        <v>0.5</v>
      </c>
      <c r="CC85" s="59">
        <v>0.5</v>
      </c>
      <c r="CD85" s="50">
        <v>0.5</v>
      </c>
      <c r="CE85" s="59">
        <v>0.5</v>
      </c>
      <c r="CF85" s="59">
        <v>0.5</v>
      </c>
      <c r="CG85" s="59">
        <v>0.5</v>
      </c>
      <c r="CH85" s="59">
        <v>0.5</v>
      </c>
      <c r="CI85" s="59">
        <v>0.5</v>
      </c>
      <c r="CJ85" s="59">
        <v>0.5</v>
      </c>
      <c r="CK85" s="59">
        <v>0.5</v>
      </c>
      <c r="CL85" s="59">
        <v>0.5</v>
      </c>
      <c r="CM85" s="59">
        <v>0.5</v>
      </c>
      <c r="CN85" s="50">
        <v>0.5</v>
      </c>
      <c r="CO85" s="50">
        <v>0.5</v>
      </c>
      <c r="CP85" s="50">
        <v>0.5</v>
      </c>
      <c r="CQ85" s="50">
        <v>0.5</v>
      </c>
      <c r="CR85" s="50">
        <v>0.5</v>
      </c>
      <c r="CS85" s="50">
        <v>0.5</v>
      </c>
      <c r="CT85" s="50"/>
      <c r="CU85" s="50"/>
      <c r="CV85" s="50"/>
      <c r="CW85" s="50"/>
      <c r="CX85" s="50"/>
    </row>
    <row r="86" spans="2:102" x14ac:dyDescent="0.25">
      <c r="B86" s="42"/>
      <c r="E86" s="50" t="s">
        <v>95</v>
      </c>
      <c r="G86" s="45"/>
      <c r="I86" s="8"/>
      <c r="K86" s="9">
        <v>4.1000000000000002E-2</v>
      </c>
      <c r="L86" s="9">
        <v>0.04</v>
      </c>
      <c r="M86" s="9">
        <v>0.11</v>
      </c>
      <c r="N86" s="9">
        <v>0.12</v>
      </c>
      <c r="O86" s="9">
        <v>0.126</v>
      </c>
      <c r="P86" s="9">
        <v>0.14000000000000001</v>
      </c>
      <c r="Q86" s="9">
        <v>0.14499999999999999</v>
      </c>
      <c r="R86" s="9">
        <v>0.15</v>
      </c>
      <c r="S86" s="9">
        <v>0.16</v>
      </c>
      <c r="T86" s="9">
        <v>0.159</v>
      </c>
      <c r="U86" s="9">
        <v>0.16</v>
      </c>
      <c r="V86" s="9">
        <v>0.16</v>
      </c>
      <c r="W86" s="9">
        <v>0.17</v>
      </c>
      <c r="X86" s="9">
        <v>0.17</v>
      </c>
      <c r="Y86" s="9">
        <v>0.17</v>
      </c>
      <c r="Z86" s="9">
        <v>0.17</v>
      </c>
      <c r="AA86" s="9">
        <v>0.18</v>
      </c>
      <c r="AB86" s="9">
        <v>0.18</v>
      </c>
      <c r="AC86" s="9">
        <v>0.21</v>
      </c>
      <c r="AD86" s="9">
        <v>0.23</v>
      </c>
      <c r="AE86" s="9">
        <v>0.24</v>
      </c>
      <c r="AF86" s="9">
        <v>0.24</v>
      </c>
      <c r="AG86" s="9">
        <v>0.24</v>
      </c>
      <c r="AH86" s="9">
        <v>0.25</v>
      </c>
      <c r="AI86" s="9">
        <v>0.25</v>
      </c>
      <c r="AJ86" s="9">
        <v>0.24</v>
      </c>
      <c r="AK86" s="9">
        <v>0.25</v>
      </c>
      <c r="AL86" s="9">
        <v>0.26</v>
      </c>
      <c r="AM86" s="9">
        <v>0.27</v>
      </c>
      <c r="AN86" s="9">
        <v>0.28000000000000003</v>
      </c>
      <c r="AO86" s="9">
        <v>0.28000000000000003</v>
      </c>
      <c r="AP86" s="9">
        <v>0.28000000000000003</v>
      </c>
      <c r="AQ86" s="9">
        <v>0.28000000000000003</v>
      </c>
      <c r="AR86" s="9">
        <v>0.26</v>
      </c>
      <c r="AS86" s="9">
        <v>0.26</v>
      </c>
      <c r="AT86" s="9">
        <v>0.27</v>
      </c>
      <c r="AU86" s="9">
        <v>0.27</v>
      </c>
      <c r="AV86" s="9">
        <v>0.27</v>
      </c>
      <c r="AW86" s="9">
        <v>0.28000000000000003</v>
      </c>
      <c r="AX86" s="9">
        <v>0.28000000000000003</v>
      </c>
      <c r="AY86" s="9">
        <v>0.28000000000000003</v>
      </c>
      <c r="AZ86" s="9">
        <v>0.28000000000000003</v>
      </c>
      <c r="BA86" s="9">
        <v>0.28999999999999998</v>
      </c>
      <c r="BB86" s="9">
        <v>0.28999999999999998</v>
      </c>
      <c r="BC86" s="9">
        <v>0.28000000000000003</v>
      </c>
      <c r="BD86" s="9">
        <v>0.28000000000000003</v>
      </c>
      <c r="BE86" s="9">
        <v>0.27</v>
      </c>
      <c r="BF86" s="9">
        <v>0.27</v>
      </c>
      <c r="BG86" s="9">
        <v>0.27</v>
      </c>
      <c r="BH86" s="9">
        <v>0.27</v>
      </c>
      <c r="BI86" s="9">
        <v>0.28000000000000003</v>
      </c>
      <c r="BJ86" s="9">
        <v>0.28000000000000003</v>
      </c>
      <c r="BK86" s="9">
        <v>0.28000000000000003</v>
      </c>
      <c r="BL86" s="9">
        <v>0.28000000000000003</v>
      </c>
      <c r="BN86" s="59"/>
      <c r="BO86" s="59">
        <v>3</v>
      </c>
      <c r="BP86" s="59">
        <v>3</v>
      </c>
      <c r="BQ86" s="59">
        <v>3</v>
      </c>
      <c r="BR86" s="59">
        <v>3</v>
      </c>
      <c r="BS86" s="59">
        <v>3</v>
      </c>
      <c r="BT86" s="59">
        <v>3</v>
      </c>
      <c r="BU86" s="59">
        <v>3</v>
      </c>
      <c r="BV86" s="59">
        <v>3</v>
      </c>
      <c r="BW86" s="59">
        <v>3</v>
      </c>
      <c r="BX86" s="59">
        <v>3</v>
      </c>
      <c r="BY86" s="59">
        <v>3</v>
      </c>
      <c r="BZ86" s="59"/>
      <c r="CA86" s="60"/>
      <c r="CB86" s="59"/>
      <c r="CC86" s="59"/>
      <c r="CD86" s="50"/>
    </row>
    <row r="87" spans="2:102" x14ac:dyDescent="0.25">
      <c r="B87" s="14"/>
      <c r="E87" s="50" t="s">
        <v>91</v>
      </c>
      <c r="G87" s="45"/>
      <c r="I87" s="8">
        <v>3.12</v>
      </c>
      <c r="J87">
        <v>3.25</v>
      </c>
      <c r="K87" s="9">
        <v>7.01</v>
      </c>
      <c r="L87" s="9">
        <v>6.99</v>
      </c>
      <c r="M87" s="9">
        <v>6.98</v>
      </c>
      <c r="N87" s="9">
        <v>6.99</v>
      </c>
      <c r="O87" s="9">
        <v>7.06</v>
      </c>
      <c r="P87" s="9">
        <v>7.19</v>
      </c>
      <c r="Q87" s="9">
        <v>7.26</v>
      </c>
      <c r="R87" s="9">
        <v>7.38</v>
      </c>
      <c r="S87" s="9">
        <v>7.58</v>
      </c>
      <c r="T87" s="9">
        <v>7.62</v>
      </c>
      <c r="U87" s="9">
        <v>7.71</v>
      </c>
      <c r="V87" s="9">
        <v>7.76</v>
      </c>
      <c r="W87" s="9">
        <v>7.82</v>
      </c>
      <c r="X87" s="9">
        <v>7.87</v>
      </c>
      <c r="Y87" s="9">
        <v>7.94</v>
      </c>
      <c r="Z87" s="9">
        <v>7.94</v>
      </c>
      <c r="AA87" s="9">
        <v>7.99</v>
      </c>
      <c r="AB87" s="9">
        <v>8.0299999999999994</v>
      </c>
      <c r="AC87" s="9">
        <v>8.09</v>
      </c>
      <c r="AD87" s="9">
        <v>8.08</v>
      </c>
      <c r="AE87" s="9">
        <v>8.11</v>
      </c>
      <c r="AF87" s="9">
        <v>8.17</v>
      </c>
      <c r="AG87" s="9">
        <v>8.1999999999999993</v>
      </c>
      <c r="AH87" s="9">
        <v>8.24</v>
      </c>
      <c r="AI87" s="9">
        <v>8.31</v>
      </c>
      <c r="AJ87" s="9">
        <v>9.1</v>
      </c>
      <c r="AK87" s="9">
        <v>8.4700000000000006</v>
      </c>
      <c r="AL87" s="9">
        <v>8.94</v>
      </c>
      <c r="AM87" s="9">
        <v>8.98</v>
      </c>
      <c r="AN87" s="9">
        <v>8.9600000000000009</v>
      </c>
      <c r="AO87" s="9">
        <v>8.98</v>
      </c>
      <c r="AP87" s="9">
        <v>9.02</v>
      </c>
      <c r="AQ87" s="9">
        <v>9.0399999999999991</v>
      </c>
      <c r="AR87" s="9">
        <v>0</v>
      </c>
      <c r="AS87" s="9">
        <v>0</v>
      </c>
      <c r="AT87" s="9">
        <v>0</v>
      </c>
      <c r="AU87" s="9">
        <v>0</v>
      </c>
      <c r="AV87" s="9">
        <v>0</v>
      </c>
      <c r="AW87" s="9">
        <v>0</v>
      </c>
      <c r="AX87" s="9">
        <v>0</v>
      </c>
      <c r="AY87" s="9">
        <v>0</v>
      </c>
      <c r="AZ87" s="9">
        <v>0</v>
      </c>
      <c r="BA87" s="9">
        <v>0</v>
      </c>
      <c r="BB87" s="9">
        <v>0</v>
      </c>
      <c r="BC87" s="9">
        <v>0</v>
      </c>
      <c r="BD87" s="9">
        <v>0</v>
      </c>
      <c r="BE87" s="9">
        <v>0</v>
      </c>
      <c r="BF87" s="9">
        <v>0</v>
      </c>
      <c r="BG87" s="9">
        <v>0</v>
      </c>
      <c r="BH87" s="9">
        <v>0</v>
      </c>
      <c r="BI87" s="9">
        <v>0</v>
      </c>
      <c r="BJ87" s="9">
        <v>0</v>
      </c>
      <c r="BK87" s="9">
        <v>0</v>
      </c>
      <c r="BL87" s="9">
        <v>0</v>
      </c>
      <c r="BN87" s="59"/>
      <c r="BO87" s="59">
        <v>12.2</v>
      </c>
      <c r="BP87" s="59">
        <v>12.4</v>
      </c>
      <c r="BQ87" s="59">
        <v>12.5</v>
      </c>
      <c r="BR87" s="59">
        <v>12.7</v>
      </c>
      <c r="BS87" s="59">
        <v>12.98</v>
      </c>
      <c r="BT87" s="59">
        <v>13.22</v>
      </c>
      <c r="BU87" s="59">
        <v>13.45</v>
      </c>
      <c r="BV87" s="59">
        <v>13.59</v>
      </c>
      <c r="BW87" s="59">
        <v>13.89</v>
      </c>
      <c r="BX87" s="59">
        <v>14.01</v>
      </c>
      <c r="BY87" s="59">
        <v>14.15</v>
      </c>
      <c r="BZ87" s="59">
        <v>14.9</v>
      </c>
      <c r="CA87" s="60">
        <v>15.1</v>
      </c>
      <c r="CB87" s="59">
        <v>15.3</v>
      </c>
      <c r="CC87" s="59">
        <v>14.6</v>
      </c>
      <c r="CD87" s="50">
        <v>14.8</v>
      </c>
      <c r="CE87" s="59">
        <v>14.9</v>
      </c>
      <c r="CF87" s="59">
        <v>15.1</v>
      </c>
      <c r="CG87" s="59">
        <v>15.27</v>
      </c>
      <c r="CH87" s="59">
        <v>15.4</v>
      </c>
      <c r="CI87" s="59">
        <v>15.56</v>
      </c>
      <c r="CJ87" s="59">
        <v>15.7</v>
      </c>
      <c r="CK87" s="59">
        <v>15.7</v>
      </c>
      <c r="CL87" s="59">
        <v>16</v>
      </c>
      <c r="CM87" s="59">
        <v>16.05</v>
      </c>
      <c r="CN87" s="96">
        <v>16.29</v>
      </c>
      <c r="CO87" s="50">
        <v>16.420000000000002</v>
      </c>
      <c r="CP87" s="50">
        <v>16.54</v>
      </c>
      <c r="CQ87" s="50">
        <v>16.47</v>
      </c>
      <c r="CR87" s="50">
        <v>16.47</v>
      </c>
      <c r="CS87" s="50">
        <v>16.47</v>
      </c>
      <c r="CT87" s="50"/>
      <c r="CU87" s="50"/>
      <c r="CV87" s="50"/>
      <c r="CW87" s="50"/>
      <c r="CX87" s="50"/>
    </row>
    <row r="88" spans="2:102" ht="5.25" customHeight="1" x14ac:dyDescent="0.25">
      <c r="B88" s="33"/>
      <c r="C88" s="34"/>
      <c r="D88" s="34"/>
      <c r="E88" s="34"/>
      <c r="F88" s="34"/>
      <c r="G88" s="34"/>
      <c r="H88" s="34"/>
      <c r="I88" s="47"/>
      <c r="J88" s="47"/>
      <c r="K88" s="47"/>
      <c r="L88" s="47"/>
      <c r="M88" s="47"/>
      <c r="N88" s="47"/>
      <c r="O88" s="47"/>
      <c r="P88" s="47"/>
      <c r="Q88" s="47"/>
      <c r="R88" s="47"/>
      <c r="S88" s="47"/>
      <c r="T88" s="47"/>
      <c r="U88" s="47"/>
      <c r="V88" s="47"/>
      <c r="W88" s="47"/>
      <c r="X88" s="47"/>
      <c r="Y88" s="47"/>
      <c r="Z88" s="47"/>
      <c r="AA88" s="47"/>
      <c r="AB88" s="47"/>
      <c r="AC88" s="47"/>
      <c r="AD88" s="47"/>
      <c r="AE88" s="47"/>
      <c r="AF88" s="47"/>
      <c r="AG88" s="34"/>
      <c r="AH88" s="34"/>
      <c r="AI88" s="34"/>
      <c r="AJ88" s="34"/>
      <c r="AK88" s="34"/>
      <c r="AL88" s="34"/>
      <c r="AM88" s="34"/>
      <c r="AN88" s="34"/>
      <c r="AO88" s="34"/>
      <c r="AP88" s="34"/>
      <c r="AQ88" s="34"/>
      <c r="AR88" s="34"/>
      <c r="AS88" s="34"/>
      <c r="AT88" s="34"/>
      <c r="AU88" s="34"/>
      <c r="AV88" s="34"/>
      <c r="AW88" s="34"/>
      <c r="AX88" s="34"/>
      <c r="AY88" s="34"/>
      <c r="AZ88" s="34"/>
      <c r="BA88" s="34"/>
      <c r="BB88" s="34"/>
      <c r="BC88" s="34"/>
      <c r="BD88" s="34"/>
      <c r="BE88" s="34"/>
      <c r="BF88" s="34"/>
      <c r="BG88" s="34"/>
      <c r="BH88" s="34"/>
      <c r="BI88" s="34"/>
      <c r="BJ88" s="34"/>
      <c r="BK88" s="34"/>
      <c r="BL88" s="34"/>
      <c r="BM88" s="34"/>
      <c r="BN88" s="35"/>
      <c r="BO88" s="35"/>
      <c r="BP88" s="35"/>
      <c r="BQ88" s="35"/>
      <c r="BR88" s="35"/>
      <c r="BS88" s="35"/>
      <c r="BT88" s="35"/>
      <c r="BU88" s="35"/>
      <c r="BV88" s="35"/>
      <c r="BW88" s="35"/>
      <c r="BX88" s="35"/>
      <c r="BY88" s="35"/>
      <c r="BZ88" s="35"/>
      <c r="CA88" s="36"/>
      <c r="CB88" s="35"/>
      <c r="CC88" s="35"/>
      <c r="CD88" s="35"/>
    </row>
    <row r="89" spans="2:102" x14ac:dyDescent="0.25">
      <c r="B89" s="14"/>
      <c r="E89" t="s">
        <v>53</v>
      </c>
      <c r="G89" s="45"/>
      <c r="I89" s="8">
        <v>1.74</v>
      </c>
      <c r="J89">
        <v>1.78</v>
      </c>
      <c r="K89">
        <v>2.44</v>
      </c>
      <c r="L89" s="9">
        <v>2.89</v>
      </c>
      <c r="M89">
        <v>2.4700000000000002</v>
      </c>
      <c r="N89">
        <v>2.7</v>
      </c>
      <c r="O89" s="9">
        <v>2.66</v>
      </c>
      <c r="P89">
        <v>2.57</v>
      </c>
      <c r="Q89" s="9">
        <v>3.83</v>
      </c>
      <c r="R89">
        <v>3.66</v>
      </c>
      <c r="S89" s="9">
        <v>3.59</v>
      </c>
      <c r="T89" s="9">
        <v>3.62</v>
      </c>
      <c r="U89" s="9">
        <v>3.69</v>
      </c>
      <c r="V89" s="9">
        <v>3.69</v>
      </c>
      <c r="W89" s="9">
        <v>3.68</v>
      </c>
      <c r="X89" s="9">
        <v>3.61</v>
      </c>
      <c r="Y89" s="9">
        <v>4.1900000000000004</v>
      </c>
      <c r="Z89" s="9">
        <v>4.04</v>
      </c>
      <c r="AA89" s="9">
        <v>3.98</v>
      </c>
      <c r="AB89" s="9">
        <v>4.0999999999999996</v>
      </c>
      <c r="AC89" s="9">
        <v>4.2699999999999996</v>
      </c>
      <c r="AD89" s="9">
        <v>4.2300000000000004</v>
      </c>
      <c r="AE89" s="9">
        <v>4.46</v>
      </c>
      <c r="AF89" s="9">
        <v>4.63</v>
      </c>
      <c r="AG89" s="9">
        <v>4.7300000000000004</v>
      </c>
      <c r="AH89" s="9">
        <v>4.8499999999999996</v>
      </c>
      <c r="AI89" s="9">
        <v>4.8099999999999996</v>
      </c>
      <c r="AJ89" s="9">
        <v>5.13</v>
      </c>
      <c r="AK89" s="9">
        <v>6.51</v>
      </c>
      <c r="AL89" s="9">
        <v>6.51</v>
      </c>
      <c r="AM89" s="9">
        <v>14.22</v>
      </c>
      <c r="AN89" s="9">
        <v>13.67</v>
      </c>
      <c r="AO89" s="9">
        <v>13.61</v>
      </c>
      <c r="AP89" s="9">
        <v>14.2</v>
      </c>
      <c r="AQ89" s="9">
        <v>14.33</v>
      </c>
      <c r="AR89" s="9">
        <v>12.48</v>
      </c>
      <c r="AS89" s="9">
        <v>13.64</v>
      </c>
      <c r="AT89" s="9">
        <v>13.7</v>
      </c>
      <c r="AU89" s="9">
        <v>13.7</v>
      </c>
      <c r="AV89" s="9">
        <v>14.67</v>
      </c>
      <c r="AW89" s="9">
        <v>14.96</v>
      </c>
      <c r="AX89" s="9">
        <v>15.37</v>
      </c>
      <c r="AY89" s="9">
        <v>15.26</v>
      </c>
      <c r="AZ89" s="9">
        <v>14.85</v>
      </c>
      <c r="BA89" s="9">
        <v>15.66</v>
      </c>
      <c r="BB89" s="9">
        <v>15.95</v>
      </c>
      <c r="BC89" s="9">
        <v>16.16</v>
      </c>
      <c r="BD89" s="9">
        <v>17.04</v>
      </c>
      <c r="BE89" s="9">
        <v>16.79</v>
      </c>
      <c r="BF89" s="9">
        <v>16.899999999999999</v>
      </c>
      <c r="BG89" s="9">
        <v>17.05</v>
      </c>
      <c r="BH89" s="9">
        <v>17.21</v>
      </c>
      <c r="BI89" s="9">
        <v>17.3</v>
      </c>
      <c r="BJ89" s="9">
        <v>17.3</v>
      </c>
      <c r="BK89" s="9">
        <v>16.84</v>
      </c>
      <c r="BL89" s="9">
        <v>16.86</v>
      </c>
      <c r="CA89" s="29"/>
    </row>
    <row r="90" spans="2:102" x14ac:dyDescent="0.25">
      <c r="B90" s="14"/>
      <c r="E90" t="s">
        <v>54</v>
      </c>
      <c r="I90" s="8">
        <v>2.3910000000000001E-2</v>
      </c>
      <c r="J90">
        <v>4.8000000000000001E-2</v>
      </c>
      <c r="K90">
        <v>7.0000000000000007E-2</v>
      </c>
      <c r="L90" s="9">
        <v>0.27</v>
      </c>
      <c r="M90">
        <v>0.11</v>
      </c>
      <c r="N90">
        <v>0.12</v>
      </c>
      <c r="O90" s="9">
        <v>0.122</v>
      </c>
      <c r="P90">
        <v>0.13</v>
      </c>
      <c r="Q90" s="9">
        <v>0.14000000000000001</v>
      </c>
      <c r="R90">
        <v>0.33</v>
      </c>
      <c r="S90" s="9">
        <v>0.34</v>
      </c>
      <c r="T90" s="9">
        <v>0.35499999999999998</v>
      </c>
      <c r="U90" s="9">
        <v>0.36</v>
      </c>
      <c r="V90" s="9">
        <v>0.39</v>
      </c>
      <c r="W90" s="9">
        <v>0.39</v>
      </c>
      <c r="X90" s="9">
        <v>0.39</v>
      </c>
      <c r="Y90" s="9">
        <v>0.51</v>
      </c>
      <c r="Z90" s="9">
        <v>0.79</v>
      </c>
      <c r="AA90" s="9">
        <v>0.81</v>
      </c>
      <c r="AB90" s="9">
        <v>0.89</v>
      </c>
      <c r="AC90" s="9">
        <v>0.84</v>
      </c>
      <c r="AD90" s="9">
        <v>0.82</v>
      </c>
      <c r="AE90" s="9">
        <v>0.87</v>
      </c>
      <c r="AF90" s="9">
        <v>0.93</v>
      </c>
      <c r="AG90" s="9">
        <v>0.93</v>
      </c>
      <c r="AH90" s="9">
        <v>1.03</v>
      </c>
      <c r="AI90" s="9">
        <v>1.07</v>
      </c>
      <c r="AJ90" s="9">
        <v>1.04</v>
      </c>
      <c r="AK90" s="9">
        <v>1.02</v>
      </c>
      <c r="AL90" s="9">
        <v>0.92</v>
      </c>
      <c r="AM90" s="9">
        <v>0.72</v>
      </c>
      <c r="AN90" s="9">
        <v>0.71</v>
      </c>
      <c r="AO90" s="9">
        <v>0.82</v>
      </c>
      <c r="AP90" s="9">
        <v>0.88</v>
      </c>
      <c r="AQ90" s="9">
        <v>0.9</v>
      </c>
      <c r="AR90" s="9">
        <v>0.88</v>
      </c>
      <c r="AS90" s="9">
        <v>3.02</v>
      </c>
      <c r="AT90" s="9">
        <v>1.01</v>
      </c>
      <c r="AU90" s="9">
        <v>1.01</v>
      </c>
      <c r="AV90" s="9">
        <v>0.87</v>
      </c>
      <c r="AW90" s="9">
        <v>0.97</v>
      </c>
      <c r="AX90" s="9">
        <v>0.81</v>
      </c>
      <c r="AY90" s="9">
        <v>0.78</v>
      </c>
      <c r="AZ90" s="9">
        <v>0.68</v>
      </c>
      <c r="BA90" s="9">
        <v>0.69</v>
      </c>
      <c r="BB90" s="9">
        <v>0.71</v>
      </c>
      <c r="BC90" s="9">
        <v>1.1000000000000001</v>
      </c>
      <c r="BD90" s="9">
        <v>0.91</v>
      </c>
      <c r="BE90" s="9">
        <v>0.95</v>
      </c>
      <c r="BF90" s="9">
        <v>0.72</v>
      </c>
      <c r="BG90" s="9">
        <v>0.72</v>
      </c>
      <c r="BH90" s="9">
        <v>0.92</v>
      </c>
      <c r="BI90" s="9">
        <v>0.96</v>
      </c>
      <c r="BJ90" s="9">
        <v>0.96</v>
      </c>
      <c r="BK90" s="9">
        <v>1</v>
      </c>
      <c r="BL90" s="9">
        <v>1.01</v>
      </c>
      <c r="CA90" s="29"/>
    </row>
    <row r="91" spans="2:102" x14ac:dyDescent="0.25">
      <c r="B91" s="14"/>
      <c r="E91" s="16" t="s">
        <v>55</v>
      </c>
      <c r="F91" s="16"/>
      <c r="G91" s="48"/>
      <c r="H91" s="16"/>
      <c r="I91" s="17">
        <f t="shared" ref="I91:AK91" si="128">SUM(I81:I90)</f>
        <v>8.9096799999999998</v>
      </c>
      <c r="J91" s="17">
        <f t="shared" si="128"/>
        <v>9.8669999999999991</v>
      </c>
      <c r="K91" s="17">
        <f t="shared" si="128"/>
        <v>13.254</v>
      </c>
      <c r="L91" s="17">
        <f t="shared" si="128"/>
        <v>13.69</v>
      </c>
      <c r="M91" s="17">
        <f t="shared" si="128"/>
        <v>13.88</v>
      </c>
      <c r="N91" s="17">
        <f t="shared" si="128"/>
        <v>14.199999999999998</v>
      </c>
      <c r="O91" s="17">
        <f t="shared" si="128"/>
        <v>14.603999999999999</v>
      </c>
      <c r="P91" s="17">
        <f t="shared" si="128"/>
        <v>14.71</v>
      </c>
      <c r="Q91" s="17">
        <f t="shared" si="128"/>
        <v>15.775</v>
      </c>
      <c r="R91" s="17">
        <f t="shared" si="128"/>
        <v>16.369999999999997</v>
      </c>
      <c r="S91" s="17">
        <f t="shared" si="128"/>
        <v>16.41</v>
      </c>
      <c r="T91" s="17">
        <f t="shared" si="128"/>
        <v>16.630000000000003</v>
      </c>
      <c r="U91" s="17">
        <f t="shared" si="128"/>
        <v>16.91</v>
      </c>
      <c r="V91" s="17">
        <f t="shared" si="128"/>
        <v>16.89</v>
      </c>
      <c r="W91" s="17">
        <f t="shared" si="128"/>
        <v>17.16</v>
      </c>
      <c r="X91" s="17">
        <f t="shared" si="128"/>
        <v>17.28</v>
      </c>
      <c r="Y91" s="17">
        <f t="shared" si="128"/>
        <v>17.730000000000004</v>
      </c>
      <c r="Z91" s="17">
        <f t="shared" si="128"/>
        <v>17.79</v>
      </c>
      <c r="AA91" s="17">
        <f t="shared" si="128"/>
        <v>17.959999999999997</v>
      </c>
      <c r="AB91" s="17">
        <f t="shared" si="128"/>
        <v>19.379999999999995</v>
      </c>
      <c r="AC91" s="17">
        <f t="shared" si="128"/>
        <v>21.06</v>
      </c>
      <c r="AD91" s="17">
        <f t="shared" si="128"/>
        <v>21.290000000000003</v>
      </c>
      <c r="AE91" s="17">
        <f t="shared" si="128"/>
        <v>21.91</v>
      </c>
      <c r="AF91" s="17">
        <f t="shared" si="128"/>
        <v>21.919999999999998</v>
      </c>
      <c r="AG91" s="17">
        <f t="shared" si="128"/>
        <v>22</v>
      </c>
      <c r="AH91" s="17">
        <f t="shared" si="128"/>
        <v>22.370000000000005</v>
      </c>
      <c r="AI91" s="17">
        <f t="shared" si="128"/>
        <v>23.24</v>
      </c>
      <c r="AJ91" s="17">
        <f t="shared" si="128"/>
        <v>24.16</v>
      </c>
      <c r="AK91" s="17">
        <f t="shared" si="128"/>
        <v>24.580000000000002</v>
      </c>
      <c r="AL91" s="17">
        <f t="shared" ref="AL91:AQ91" si="129">SUM(AL81:AL90)</f>
        <v>33.119999999999997</v>
      </c>
      <c r="AM91" s="17">
        <f t="shared" si="129"/>
        <v>34.019999999999996</v>
      </c>
      <c r="AN91" s="17">
        <f t="shared" si="129"/>
        <v>33.86</v>
      </c>
      <c r="AO91" s="17">
        <f t="shared" si="129"/>
        <v>34.299999999999997</v>
      </c>
      <c r="AP91" s="17">
        <f t="shared" si="129"/>
        <v>34.79</v>
      </c>
      <c r="AQ91" s="17">
        <f t="shared" si="129"/>
        <v>35.229999999999997</v>
      </c>
      <c r="AR91" s="17">
        <f>SUM(AR81:AR90)</f>
        <v>24.05</v>
      </c>
      <c r="AS91" s="17">
        <f>SUM(AS81:AS90)</f>
        <v>27.91</v>
      </c>
      <c r="AT91" s="17">
        <f>SUM(AT81:AT90)</f>
        <v>26.56</v>
      </c>
      <c r="AU91" s="17">
        <f t="shared" ref="AU91:AV91" si="130">SUM(AU81:AU90)</f>
        <v>26.56</v>
      </c>
      <c r="AV91" s="17">
        <f t="shared" si="130"/>
        <v>28.38</v>
      </c>
      <c r="AW91" s="17">
        <f t="shared" ref="AW91:AX91" si="131">SUM(AW81:AW90)</f>
        <v>29.029999999999998</v>
      </c>
      <c r="AX91" s="17">
        <f t="shared" si="131"/>
        <v>29.499999999999996</v>
      </c>
      <c r="AY91" s="17">
        <f t="shared" ref="AY91:AZ91" si="132">SUM(AY81:AY90)</f>
        <v>30.07</v>
      </c>
      <c r="AZ91" s="17">
        <f t="shared" si="132"/>
        <v>30.64</v>
      </c>
      <c r="BA91" s="17">
        <f t="shared" ref="BA91:BB91" si="133">SUM(BA81:BA90)</f>
        <v>30.599999999999998</v>
      </c>
      <c r="BB91" s="17">
        <f t="shared" si="133"/>
        <v>31.259999999999998</v>
      </c>
      <c r="BC91" s="17">
        <f t="shared" ref="BC91" si="134">SUM(BC81:BC90)</f>
        <v>31.67</v>
      </c>
      <c r="BD91" s="17">
        <f t="shared" ref="BD91:BJ91" si="135">SUM(BD81:BD90)</f>
        <v>31.72</v>
      </c>
      <c r="BE91" s="17">
        <f t="shared" si="135"/>
        <v>31.429999999999996</v>
      </c>
      <c r="BF91" s="17">
        <f t="shared" si="135"/>
        <v>30.29</v>
      </c>
      <c r="BG91" s="17">
        <f t="shared" si="135"/>
        <v>30.939999999999998</v>
      </c>
      <c r="BH91" s="17">
        <f t="shared" si="135"/>
        <v>31.660000000000004</v>
      </c>
      <c r="BI91" s="17">
        <f t="shared" si="135"/>
        <v>32.4</v>
      </c>
      <c r="BJ91" s="17">
        <f t="shared" si="135"/>
        <v>32.910000000000004</v>
      </c>
      <c r="BK91" s="17">
        <f>SUM(BK81:BK90)</f>
        <v>32.92</v>
      </c>
      <c r="BL91" s="17">
        <f>SUM(BL81:BL90)</f>
        <v>32.589999999999996</v>
      </c>
      <c r="BM91" s="16"/>
      <c r="BN91" s="17"/>
      <c r="BO91" s="17"/>
      <c r="BP91" s="17"/>
      <c r="BQ91" s="17"/>
      <c r="BR91" s="17"/>
      <c r="BS91" s="17"/>
      <c r="BT91" s="17"/>
      <c r="BU91" s="17"/>
      <c r="BV91" s="17"/>
      <c r="BW91" s="17"/>
      <c r="BX91" s="17"/>
      <c r="BY91" s="17"/>
      <c r="BZ91" s="17"/>
      <c r="CA91" s="18"/>
      <c r="CB91" s="17"/>
      <c r="CC91" s="17"/>
      <c r="CD91" s="17"/>
    </row>
    <row r="92" spans="2:102" x14ac:dyDescent="0.25">
      <c r="B92" s="19"/>
      <c r="C92" s="16"/>
      <c r="D92" s="16"/>
      <c r="E92" s="49" t="s">
        <v>57</v>
      </c>
      <c r="F92" s="16"/>
      <c r="G92" s="16">
        <f>35.55+15.9</f>
        <v>51.449999999999996</v>
      </c>
      <c r="H92" s="16"/>
      <c r="I92" s="17">
        <f>G92-I91</f>
        <v>42.540319999999994</v>
      </c>
      <c r="J92" s="17">
        <f>G92-J91</f>
        <v>41.582999999999998</v>
      </c>
      <c r="K92" s="17">
        <f>$G$92-K91</f>
        <v>38.195999999999998</v>
      </c>
      <c r="L92" s="17">
        <f t="shared" ref="L92:M92" si="136">$G$92-L91</f>
        <v>37.76</v>
      </c>
      <c r="M92" s="17">
        <f t="shared" si="136"/>
        <v>37.569999999999993</v>
      </c>
      <c r="N92" s="17">
        <f>17.2-N91</f>
        <v>3.0000000000000018</v>
      </c>
      <c r="O92" s="17">
        <f>17.2-O91</f>
        <v>2.5960000000000001</v>
      </c>
      <c r="P92" s="17">
        <f>17.2-P91</f>
        <v>2.4899999999999984</v>
      </c>
      <c r="Q92" s="17">
        <f t="shared" ref="Q92:V92" si="137">$G$92-Q91</f>
        <v>35.674999999999997</v>
      </c>
      <c r="R92" s="17">
        <f t="shared" si="137"/>
        <v>35.08</v>
      </c>
      <c r="S92" s="17">
        <f t="shared" si="137"/>
        <v>35.039999999999992</v>
      </c>
      <c r="T92" s="17">
        <f t="shared" si="137"/>
        <v>34.819999999999993</v>
      </c>
      <c r="U92" s="17">
        <f t="shared" si="137"/>
        <v>34.539999999999992</v>
      </c>
      <c r="V92" s="17">
        <f t="shared" si="137"/>
        <v>34.559999999999995</v>
      </c>
      <c r="W92" s="17">
        <f t="shared" ref="W92" si="138">$G$92-W91</f>
        <v>34.289999999999992</v>
      </c>
      <c r="X92" s="17">
        <f t="shared" ref="X92:AC92" si="139">$G$92-X91</f>
        <v>34.169999999999995</v>
      </c>
      <c r="Y92" s="17">
        <f t="shared" si="139"/>
        <v>33.719999999999992</v>
      </c>
      <c r="Z92" s="17">
        <f t="shared" si="139"/>
        <v>33.659999999999997</v>
      </c>
      <c r="AA92" s="17">
        <f t="shared" si="139"/>
        <v>33.489999999999995</v>
      </c>
      <c r="AB92" s="17">
        <f t="shared" si="139"/>
        <v>32.07</v>
      </c>
      <c r="AC92" s="17">
        <f t="shared" si="139"/>
        <v>30.389999999999997</v>
      </c>
      <c r="AD92" s="17">
        <f t="shared" ref="AD92:AJ92" si="140">$G$92-AD91</f>
        <v>30.159999999999993</v>
      </c>
      <c r="AE92" s="17">
        <f t="shared" si="140"/>
        <v>29.539999999999996</v>
      </c>
      <c r="AF92" s="17">
        <f t="shared" si="140"/>
        <v>29.529999999999998</v>
      </c>
      <c r="AG92" s="17">
        <f t="shared" si="140"/>
        <v>29.449999999999996</v>
      </c>
      <c r="AH92" s="17">
        <f t="shared" si="140"/>
        <v>29.079999999999991</v>
      </c>
      <c r="AI92" s="17">
        <f t="shared" si="140"/>
        <v>28.209999999999997</v>
      </c>
      <c r="AJ92" s="17">
        <f t="shared" si="140"/>
        <v>27.289999999999996</v>
      </c>
      <c r="AK92" s="17">
        <f t="shared" ref="AK92" si="141">$G$92-AK91</f>
        <v>26.869999999999994</v>
      </c>
      <c r="AL92" s="17">
        <f t="shared" ref="AL92:AQ92" si="142">$G$92-AL91</f>
        <v>18.329999999999998</v>
      </c>
      <c r="AM92" s="17">
        <f t="shared" si="142"/>
        <v>17.43</v>
      </c>
      <c r="AN92" s="17">
        <f t="shared" si="142"/>
        <v>17.589999999999996</v>
      </c>
      <c r="AO92" s="17">
        <f t="shared" si="142"/>
        <v>17.149999999999999</v>
      </c>
      <c r="AP92" s="17">
        <f t="shared" si="142"/>
        <v>16.659999999999997</v>
      </c>
      <c r="AQ92" s="17">
        <f t="shared" si="142"/>
        <v>16.22</v>
      </c>
      <c r="AR92" s="17">
        <f>$G$92-AR91</f>
        <v>27.399999999999995</v>
      </c>
      <c r="AS92" s="17">
        <f>$G$92-AS91</f>
        <v>23.539999999999996</v>
      </c>
      <c r="AT92" s="17">
        <f>$G$92-AT91</f>
        <v>24.889999999999997</v>
      </c>
      <c r="AU92" s="17">
        <f t="shared" ref="AU92:AV92" si="143">$G$92-AU91</f>
        <v>24.889999999999997</v>
      </c>
      <c r="AV92" s="17">
        <f t="shared" si="143"/>
        <v>23.069999999999997</v>
      </c>
      <c r="AW92" s="17">
        <f t="shared" ref="AW92:AX92" si="144">$G$92-AW91</f>
        <v>22.419999999999998</v>
      </c>
      <c r="AX92" s="17">
        <f t="shared" si="144"/>
        <v>21.95</v>
      </c>
      <c r="AY92" s="17">
        <f t="shared" ref="AY92:AZ92" si="145">$G$92-AY91</f>
        <v>21.379999999999995</v>
      </c>
      <c r="AZ92" s="17">
        <f t="shared" si="145"/>
        <v>20.809999999999995</v>
      </c>
      <c r="BA92" s="17">
        <f t="shared" ref="BA92:BB92" si="146">$G$92-BA91</f>
        <v>20.849999999999998</v>
      </c>
      <c r="BB92" s="17">
        <f t="shared" si="146"/>
        <v>20.189999999999998</v>
      </c>
      <c r="BC92" s="17">
        <f t="shared" ref="BC92" si="147">$G$92-BC91</f>
        <v>19.779999999999994</v>
      </c>
      <c r="BD92" s="17">
        <f t="shared" ref="BD92:BJ92" si="148">$G$92-BD91</f>
        <v>19.729999999999997</v>
      </c>
      <c r="BE92" s="17">
        <f t="shared" si="148"/>
        <v>20.02</v>
      </c>
      <c r="BF92" s="17">
        <f t="shared" si="148"/>
        <v>21.159999999999997</v>
      </c>
      <c r="BG92" s="17">
        <f t="shared" si="148"/>
        <v>20.509999999999998</v>
      </c>
      <c r="BH92" s="17">
        <f t="shared" si="148"/>
        <v>19.789999999999992</v>
      </c>
      <c r="BI92" s="17">
        <f t="shared" si="148"/>
        <v>19.049999999999997</v>
      </c>
      <c r="BJ92" s="17">
        <f t="shared" si="148"/>
        <v>18.539999999999992</v>
      </c>
      <c r="BK92" s="17">
        <f>$G$92-BK91</f>
        <v>18.529999999999994</v>
      </c>
      <c r="BL92" s="17">
        <f>$G$92-BL91</f>
        <v>18.86</v>
      </c>
      <c r="BM92" s="16"/>
      <c r="BN92" s="17"/>
      <c r="BO92" s="17"/>
      <c r="BP92" s="17"/>
      <c r="BQ92" s="17"/>
      <c r="BR92" s="17"/>
      <c r="BS92" s="17"/>
      <c r="BT92" s="17"/>
      <c r="BU92" s="17"/>
      <c r="BV92" s="17"/>
      <c r="BW92" s="17"/>
      <c r="BX92" s="17"/>
      <c r="BY92" s="17"/>
      <c r="BZ92" s="17"/>
      <c r="CA92" s="18"/>
      <c r="CB92" s="17"/>
      <c r="CC92" s="17"/>
      <c r="CD92" s="17"/>
    </row>
    <row r="93" spans="2:102" ht="15.75" thickBot="1" x14ac:dyDescent="0.3">
      <c r="B93" s="20"/>
      <c r="C93" s="21"/>
      <c r="D93" s="21"/>
      <c r="E93" s="22" t="s">
        <v>59</v>
      </c>
      <c r="F93" s="22"/>
      <c r="G93" s="31" t="s">
        <v>96</v>
      </c>
      <c r="H93" s="22"/>
      <c r="I93" s="23">
        <f t="shared" ref="I93:O93" si="149">I91/17.2</f>
        <v>0.51800465116279071</v>
      </c>
      <c r="J93" s="23">
        <f t="shared" si="149"/>
        <v>0.57366279069767434</v>
      </c>
      <c r="K93" s="23">
        <f t="shared" si="149"/>
        <v>0.77058139534883718</v>
      </c>
      <c r="L93" s="23">
        <f t="shared" si="149"/>
        <v>0.79593023255813955</v>
      </c>
      <c r="M93" s="23">
        <f t="shared" si="149"/>
        <v>0.80697674418604659</v>
      </c>
      <c r="N93" s="23">
        <f t="shared" si="149"/>
        <v>0.82558139534883712</v>
      </c>
      <c r="O93" s="23">
        <f t="shared" si="149"/>
        <v>0.84906976744186047</v>
      </c>
      <c r="P93" s="23">
        <f>P91/17.22</f>
        <v>0.85423925667828116</v>
      </c>
      <c r="Q93" s="23">
        <f t="shared" ref="Q93:AJ93" si="150">Q91/35.5</f>
        <v>0.44436619718309861</v>
      </c>
      <c r="R93" s="23">
        <f t="shared" si="150"/>
        <v>0.4611267605633802</v>
      </c>
      <c r="S93" s="23">
        <f t="shared" si="150"/>
        <v>0.46225352112676055</v>
      </c>
      <c r="T93" s="23">
        <f t="shared" si="150"/>
        <v>0.46845070422535218</v>
      </c>
      <c r="U93" s="23">
        <f t="shared" si="150"/>
        <v>0.4763380281690141</v>
      </c>
      <c r="V93" s="23">
        <f t="shared" si="150"/>
        <v>0.47577464788732399</v>
      </c>
      <c r="W93" s="23">
        <f t="shared" si="150"/>
        <v>0.48338028169014086</v>
      </c>
      <c r="X93" s="23">
        <f t="shared" si="150"/>
        <v>0.48676056338028173</v>
      </c>
      <c r="Y93" s="23">
        <f t="shared" si="150"/>
        <v>0.49943661971830999</v>
      </c>
      <c r="Z93" s="23">
        <f t="shared" si="150"/>
        <v>0.50112676056338024</v>
      </c>
      <c r="AA93" s="23">
        <f t="shared" si="150"/>
        <v>0.5059154929577464</v>
      </c>
      <c r="AB93" s="23">
        <f t="shared" si="150"/>
        <v>0.54591549295774633</v>
      </c>
      <c r="AC93" s="23">
        <f t="shared" si="150"/>
        <v>0.59323943661971823</v>
      </c>
      <c r="AD93" s="23">
        <f t="shared" si="150"/>
        <v>0.59971830985915497</v>
      </c>
      <c r="AE93" s="23">
        <f t="shared" si="150"/>
        <v>0.6171830985915493</v>
      </c>
      <c r="AF93" s="23">
        <f t="shared" si="150"/>
        <v>0.6174647887323943</v>
      </c>
      <c r="AG93" s="23">
        <f t="shared" si="150"/>
        <v>0.61971830985915488</v>
      </c>
      <c r="AH93" s="23">
        <f t="shared" si="150"/>
        <v>0.63014084507042267</v>
      </c>
      <c r="AI93" s="23">
        <f t="shared" si="150"/>
        <v>0.65464788732394363</v>
      </c>
      <c r="AJ93" s="23">
        <f t="shared" si="150"/>
        <v>0.68056338028169017</v>
      </c>
      <c r="AK93" s="23">
        <f t="shared" ref="AK93:AP93" si="151">AK91/$G$92</f>
        <v>0.47774538386783294</v>
      </c>
      <c r="AL93" s="23">
        <f t="shared" si="151"/>
        <v>0.64373177842565599</v>
      </c>
      <c r="AM93" s="23">
        <f t="shared" si="151"/>
        <v>0.6612244897959183</v>
      </c>
      <c r="AN93" s="23">
        <f t="shared" si="151"/>
        <v>0.65811467444120508</v>
      </c>
      <c r="AO93" s="23">
        <f t="shared" si="151"/>
        <v>0.66666666666666663</v>
      </c>
      <c r="AP93" s="23">
        <f t="shared" si="151"/>
        <v>0.67619047619047623</v>
      </c>
      <c r="AQ93" s="23">
        <f t="shared" ref="AQ93" si="152">AQ91/$G$92</f>
        <v>0.68474246841593778</v>
      </c>
      <c r="AR93" s="23">
        <f>AR91/$G$92</f>
        <v>0.46744412050534506</v>
      </c>
      <c r="AS93" s="23">
        <f>AS91/$G$92</f>
        <v>0.54246841593780371</v>
      </c>
      <c r="AT93" s="23">
        <f>AT91/$G$92</f>
        <v>0.51622934888241012</v>
      </c>
      <c r="AU93" s="23">
        <f t="shared" ref="AU93:AV93" si="153">AU91/$G$92</f>
        <v>0.51622934888241012</v>
      </c>
      <c r="AV93" s="23">
        <f t="shared" si="153"/>
        <v>0.55160349854227408</v>
      </c>
      <c r="AW93" s="23">
        <f t="shared" ref="AW93:AX93" si="154">AW91/$G$92</f>
        <v>0.5642371234207969</v>
      </c>
      <c r="AX93" s="23">
        <f t="shared" si="154"/>
        <v>0.57337220602526728</v>
      </c>
      <c r="AY93" s="23">
        <f t="shared" ref="AY93:AZ93" si="155">AY91/$G$92</f>
        <v>0.58445092322643344</v>
      </c>
      <c r="AZ93" s="23">
        <f t="shared" si="155"/>
        <v>0.5955296404275997</v>
      </c>
      <c r="BA93" s="23">
        <f t="shared" ref="BA93:BB93" si="156">BA91/$G$92</f>
        <v>0.59475218658892126</v>
      </c>
      <c r="BB93" s="23">
        <f t="shared" si="156"/>
        <v>0.60758017492711369</v>
      </c>
      <c r="BC93" s="23">
        <f t="shared" ref="BC93" si="157">BC91/$G$92</f>
        <v>0.61554907677356663</v>
      </c>
      <c r="BD93" s="23">
        <f t="shared" ref="BD93:BI93" si="158">BD91/$G$92</f>
        <v>0.61652089407191446</v>
      </c>
      <c r="BE93" s="23">
        <f t="shared" si="158"/>
        <v>0.61088435374149652</v>
      </c>
      <c r="BF93" s="23">
        <f t="shared" si="158"/>
        <v>0.58872691933916432</v>
      </c>
      <c r="BG93" s="23">
        <f t="shared" si="158"/>
        <v>0.60136054421768703</v>
      </c>
      <c r="BH93" s="23">
        <f t="shared" si="158"/>
        <v>0.61535471331389713</v>
      </c>
      <c r="BI93" s="23">
        <f t="shared" si="158"/>
        <v>0.62973760932944611</v>
      </c>
      <c r="BJ93" s="23">
        <f t="shared" ref="BJ93" si="159">BJ91/$G$92</f>
        <v>0.63965014577259482</v>
      </c>
      <c r="BK93" s="23">
        <f>BK91/$G$92</f>
        <v>0.63984450923226444</v>
      </c>
      <c r="BL93" s="23">
        <f>BL91/$G$92</f>
        <v>0.63343051506316805</v>
      </c>
      <c r="BM93" s="22"/>
      <c r="BN93" s="24"/>
      <c r="BO93" s="24"/>
      <c r="BP93" s="24"/>
      <c r="BQ93" s="24"/>
      <c r="BR93" s="24"/>
      <c r="BS93" s="24"/>
      <c r="BT93" s="24"/>
      <c r="BU93" s="24"/>
      <c r="BV93" s="24"/>
      <c r="BW93" s="24"/>
      <c r="BX93" s="24"/>
      <c r="BY93" s="24"/>
      <c r="BZ93" s="24"/>
      <c r="CA93" s="25"/>
      <c r="CB93" s="17"/>
      <c r="CC93" s="17"/>
      <c r="CD93" s="17"/>
    </row>
    <row r="94" spans="2:102" ht="15.75" thickBot="1" x14ac:dyDescent="0.3"/>
    <row r="95" spans="2:102" s="34" customFormat="1" ht="15.75" hidden="1" thickBot="1" x14ac:dyDescent="0.3">
      <c r="B95" s="97" t="s">
        <v>92</v>
      </c>
      <c r="C95" s="98" t="s">
        <v>38</v>
      </c>
      <c r="D95" s="98" t="s">
        <v>97</v>
      </c>
      <c r="E95" s="98" t="s">
        <v>43</v>
      </c>
      <c r="F95" s="98"/>
      <c r="G95" s="99"/>
      <c r="H95" s="98"/>
      <c r="I95" s="98"/>
      <c r="J95" s="98"/>
      <c r="K95" s="98">
        <v>5.03</v>
      </c>
      <c r="L95" s="98">
        <v>4.2300000000000004</v>
      </c>
      <c r="M95" s="98">
        <v>4.2300000000000004</v>
      </c>
      <c r="N95" s="98">
        <v>4.21</v>
      </c>
      <c r="O95" s="98">
        <v>4.29</v>
      </c>
      <c r="P95" s="98">
        <v>4.3099999999999996</v>
      </c>
      <c r="Q95" s="98">
        <v>4.3099999999999996</v>
      </c>
      <c r="R95" s="98">
        <v>4.3</v>
      </c>
      <c r="S95" s="98">
        <v>4.3600000000000003</v>
      </c>
      <c r="T95" s="98">
        <v>4.58</v>
      </c>
      <c r="U95" s="98">
        <v>4.3899999999999997</v>
      </c>
      <c r="V95" s="98">
        <v>4.26</v>
      </c>
      <c r="W95" s="98">
        <v>4.3099999999999996</v>
      </c>
      <c r="X95" s="98">
        <v>4.3899999999999997</v>
      </c>
      <c r="Y95" s="98">
        <v>4.4000000000000004</v>
      </c>
      <c r="Z95" s="98">
        <v>4.26</v>
      </c>
      <c r="AA95" s="98">
        <v>4.3</v>
      </c>
      <c r="AB95" s="98">
        <v>2.99</v>
      </c>
      <c r="AC95" s="98">
        <v>0</v>
      </c>
      <c r="AD95" s="98">
        <v>0</v>
      </c>
      <c r="AE95" s="98">
        <v>0</v>
      </c>
      <c r="AF95" s="98"/>
      <c r="AG95" s="98"/>
      <c r="AH95" s="98"/>
      <c r="AI95" s="98"/>
      <c r="AJ95" s="98"/>
      <c r="AK95" s="98"/>
      <c r="AL95" s="98"/>
      <c r="AM95" s="98"/>
      <c r="AN95" s="98"/>
      <c r="AO95" s="98"/>
      <c r="AP95" s="98"/>
      <c r="AQ95" s="98"/>
      <c r="AR95" s="98"/>
      <c r="AS95" s="98"/>
      <c r="AT95" s="98"/>
      <c r="AU95" s="98"/>
      <c r="AV95" s="98"/>
      <c r="AW95" s="98"/>
      <c r="AX95" s="98"/>
      <c r="AY95" s="98"/>
      <c r="AZ95" s="98"/>
      <c r="BA95" s="98"/>
      <c r="BB95" s="98"/>
      <c r="BC95" s="98"/>
      <c r="BD95" s="98"/>
      <c r="BE95" s="98"/>
      <c r="BF95" s="98"/>
      <c r="BG95" s="98"/>
      <c r="BH95" s="98"/>
      <c r="BI95" s="98"/>
      <c r="BJ95" s="98"/>
      <c r="BK95" s="98"/>
      <c r="BL95" s="98"/>
      <c r="BM95" s="98"/>
      <c r="BN95" s="98"/>
      <c r="BO95" s="98"/>
      <c r="BP95" s="98"/>
      <c r="BQ95" s="98"/>
      <c r="BR95" s="98"/>
      <c r="BS95" s="98"/>
      <c r="BT95" s="98"/>
      <c r="BU95" s="98"/>
      <c r="BV95" s="98"/>
      <c r="BW95" s="98"/>
      <c r="BX95" s="98"/>
      <c r="BY95" s="98"/>
      <c r="BZ95" s="98"/>
      <c r="CA95" s="100"/>
    </row>
    <row r="96" spans="2:102" s="34" customFormat="1" ht="16.5" hidden="1" customHeight="1" x14ac:dyDescent="0.25">
      <c r="B96" s="33"/>
      <c r="I96" s="47"/>
      <c r="J96" s="47"/>
      <c r="K96" s="47"/>
      <c r="L96" s="47"/>
      <c r="M96" s="47"/>
      <c r="N96" s="47"/>
      <c r="O96" s="47"/>
      <c r="P96" s="47"/>
      <c r="Q96" s="47"/>
      <c r="R96" s="47"/>
      <c r="S96" s="47"/>
      <c r="T96" s="47"/>
      <c r="U96" s="47"/>
      <c r="V96" s="47"/>
      <c r="W96" s="47"/>
      <c r="X96" s="47"/>
      <c r="Y96" s="47"/>
      <c r="Z96" s="47"/>
      <c r="AA96" s="47"/>
      <c r="AB96" s="47"/>
      <c r="AC96" s="47"/>
      <c r="AD96" s="47"/>
      <c r="AE96" s="47"/>
      <c r="AF96" s="47"/>
      <c r="BN96" s="35"/>
      <c r="BO96" s="35"/>
      <c r="BP96" s="35"/>
      <c r="BQ96" s="35"/>
      <c r="BR96" s="35"/>
      <c r="BS96" s="35"/>
      <c r="BT96" s="35"/>
      <c r="BU96" s="35"/>
      <c r="BV96" s="35"/>
      <c r="BW96" s="35"/>
      <c r="BX96" s="35"/>
      <c r="BY96" s="35"/>
      <c r="BZ96" s="35"/>
      <c r="CA96" s="36"/>
      <c r="CB96" s="35"/>
      <c r="CC96" s="35"/>
      <c r="CD96" s="35"/>
    </row>
    <row r="97" spans="2:102" s="34" customFormat="1" ht="15.75" hidden="1" thickBot="1" x14ac:dyDescent="0.3">
      <c r="B97" s="33" t="s">
        <v>98</v>
      </c>
      <c r="E97" s="34" t="s">
        <v>53</v>
      </c>
      <c r="G97" s="101"/>
      <c r="K97" s="34">
        <v>0.39300000000000002</v>
      </c>
      <c r="L97" s="34">
        <v>0.12</v>
      </c>
      <c r="M97" s="34">
        <v>0.12</v>
      </c>
      <c r="N97" s="34">
        <v>0.14000000000000001</v>
      </c>
      <c r="O97" s="34">
        <v>0.14099999999999999</v>
      </c>
      <c r="P97" s="34">
        <v>0.14000000000000001</v>
      </c>
      <c r="Q97" s="34">
        <v>0.13</v>
      </c>
      <c r="R97" s="34">
        <v>0.14000000000000001</v>
      </c>
      <c r="S97" s="34">
        <v>0.15</v>
      </c>
      <c r="T97" s="34">
        <v>0.14000000000000001</v>
      </c>
      <c r="U97" s="34">
        <v>0.18</v>
      </c>
      <c r="V97" s="34">
        <v>0.34</v>
      </c>
      <c r="W97" s="34">
        <v>0.37</v>
      </c>
      <c r="X97" s="34">
        <v>0.38</v>
      </c>
      <c r="Y97" s="34">
        <v>0.35</v>
      </c>
      <c r="Z97" s="34">
        <v>0.31</v>
      </c>
      <c r="AA97" s="34">
        <v>0.33</v>
      </c>
      <c r="AB97" s="34">
        <v>0.47</v>
      </c>
      <c r="AC97" s="34">
        <v>0</v>
      </c>
      <c r="AD97" s="34">
        <v>0</v>
      </c>
      <c r="AE97" s="34">
        <v>0</v>
      </c>
      <c r="CA97" s="102"/>
    </row>
    <row r="98" spans="2:102" s="34" customFormat="1" ht="15.75" hidden="1" thickBot="1" x14ac:dyDescent="0.3">
      <c r="B98" s="33" t="s">
        <v>303</v>
      </c>
      <c r="E98" s="34" t="s">
        <v>54</v>
      </c>
      <c r="K98" s="34">
        <v>0</v>
      </c>
      <c r="L98" s="34">
        <v>0</v>
      </c>
      <c r="M98" s="34">
        <v>0</v>
      </c>
      <c r="N98" s="34">
        <v>0</v>
      </c>
      <c r="O98" s="34">
        <v>0</v>
      </c>
      <c r="P98" s="34">
        <v>0</v>
      </c>
      <c r="Q98" s="34">
        <v>0</v>
      </c>
      <c r="R98" s="34">
        <v>0</v>
      </c>
      <c r="S98" s="34">
        <v>0</v>
      </c>
      <c r="T98" s="34">
        <v>0</v>
      </c>
      <c r="U98" s="34">
        <v>0</v>
      </c>
      <c r="V98" s="34">
        <v>0</v>
      </c>
      <c r="W98" s="34">
        <v>0</v>
      </c>
      <c r="X98" s="34">
        <v>0</v>
      </c>
      <c r="Y98" s="34">
        <v>0</v>
      </c>
      <c r="Z98" s="34">
        <v>0</v>
      </c>
      <c r="AA98" s="34">
        <v>0</v>
      </c>
      <c r="AB98" s="34">
        <v>0</v>
      </c>
      <c r="AC98" s="34">
        <v>0</v>
      </c>
      <c r="AD98" s="34">
        <v>0</v>
      </c>
      <c r="AE98" s="34">
        <v>0</v>
      </c>
      <c r="CA98" s="102"/>
    </row>
    <row r="99" spans="2:102" s="34" customFormat="1" ht="15.75" hidden="1" thickBot="1" x14ac:dyDescent="0.3">
      <c r="B99" s="33"/>
      <c r="E99" s="34" t="s">
        <v>55</v>
      </c>
      <c r="G99" s="103"/>
      <c r="I99" s="35">
        <f>SUM(I95:I98)</f>
        <v>0</v>
      </c>
      <c r="J99" s="35">
        <f>SUM(J95:J98)</f>
        <v>0</v>
      </c>
      <c r="K99" s="35">
        <f>SUM(K95:K98)</f>
        <v>5.423</v>
      </c>
      <c r="L99" s="35">
        <f t="shared" ref="L99:N99" si="160">SUM(L95:L98)</f>
        <v>4.3500000000000005</v>
      </c>
      <c r="M99" s="35">
        <f t="shared" si="160"/>
        <v>4.3500000000000005</v>
      </c>
      <c r="N99" s="35">
        <f t="shared" si="160"/>
        <v>4.3499999999999996</v>
      </c>
      <c r="O99" s="35">
        <f t="shared" ref="O99:T99" si="161">SUM(O95:O98)</f>
        <v>4.431</v>
      </c>
      <c r="P99" s="35">
        <f t="shared" si="161"/>
        <v>4.4499999999999993</v>
      </c>
      <c r="Q99" s="35">
        <f t="shared" si="161"/>
        <v>4.4399999999999995</v>
      </c>
      <c r="R99" s="35">
        <f t="shared" si="161"/>
        <v>4.4399999999999995</v>
      </c>
      <c r="S99" s="35">
        <f t="shared" si="161"/>
        <v>4.5100000000000007</v>
      </c>
      <c r="T99" s="35">
        <f t="shared" si="161"/>
        <v>4.72</v>
      </c>
      <c r="U99" s="35">
        <f t="shared" ref="U99" si="162">SUM(U95:U98)</f>
        <v>4.5699999999999994</v>
      </c>
      <c r="V99" s="35">
        <f t="shared" ref="V99:AB99" si="163">SUM(V95:V98)</f>
        <v>4.5999999999999996</v>
      </c>
      <c r="W99" s="35">
        <f t="shared" si="163"/>
        <v>4.68</v>
      </c>
      <c r="X99" s="35">
        <f t="shared" si="163"/>
        <v>4.7699999999999996</v>
      </c>
      <c r="Y99" s="35">
        <f t="shared" si="163"/>
        <v>4.75</v>
      </c>
      <c r="Z99" s="35">
        <f t="shared" si="163"/>
        <v>4.5699999999999994</v>
      </c>
      <c r="AA99" s="35">
        <f t="shared" si="163"/>
        <v>4.63</v>
      </c>
      <c r="AB99" s="35">
        <f t="shared" si="163"/>
        <v>3.46</v>
      </c>
      <c r="AC99" s="35">
        <f t="shared" ref="AC99" si="164">SUM(AC95:AC98)</f>
        <v>0</v>
      </c>
      <c r="AD99" s="35">
        <f>SUM(AD95:AD98)</f>
        <v>0</v>
      </c>
      <c r="AE99" s="35">
        <f>SUM(AE95:AE98)</f>
        <v>0</v>
      </c>
      <c r="AF99" s="35"/>
      <c r="AG99" s="35"/>
      <c r="AH99" s="35"/>
      <c r="AI99" s="35"/>
      <c r="BN99" s="35"/>
      <c r="BO99" s="35"/>
      <c r="BP99" s="35"/>
      <c r="BQ99" s="35"/>
      <c r="BR99" s="35"/>
      <c r="BS99" s="35"/>
      <c r="BT99" s="35"/>
      <c r="BU99" s="35"/>
      <c r="BV99" s="35"/>
      <c r="BW99" s="35"/>
      <c r="BX99" s="35"/>
      <c r="BY99" s="35"/>
      <c r="BZ99" s="35"/>
      <c r="CA99" s="36"/>
      <c r="CB99" s="35"/>
      <c r="CC99" s="35"/>
      <c r="CD99" s="35"/>
    </row>
    <row r="100" spans="2:102" s="34" customFormat="1" ht="15.75" hidden="1" thickBot="1" x14ac:dyDescent="0.3">
      <c r="B100" s="33"/>
      <c r="E100" s="104" t="s">
        <v>57</v>
      </c>
      <c r="G100" s="34">
        <v>12.71</v>
      </c>
      <c r="I100" s="35">
        <f>G100-I99</f>
        <v>12.71</v>
      </c>
      <c r="J100" s="35">
        <f>G100-J99</f>
        <v>12.71</v>
      </c>
      <c r="K100" s="35">
        <f>$G$100-K99</f>
        <v>7.2870000000000008</v>
      </c>
      <c r="L100" s="35">
        <f t="shared" ref="L100:O100" si="165">$G$100-L99</f>
        <v>8.36</v>
      </c>
      <c r="M100" s="35">
        <f t="shared" si="165"/>
        <v>8.36</v>
      </c>
      <c r="N100" s="35">
        <f t="shared" si="165"/>
        <v>8.3600000000000012</v>
      </c>
      <c r="O100" s="35">
        <f t="shared" si="165"/>
        <v>8.2789999999999999</v>
      </c>
      <c r="P100" s="35">
        <f t="shared" ref="P100" si="166">$G$100-P99</f>
        <v>8.2600000000000016</v>
      </c>
      <c r="Q100" s="35">
        <f t="shared" ref="Q100:V100" si="167">$G$100-Q99</f>
        <v>8.2700000000000014</v>
      </c>
      <c r="R100" s="35">
        <f t="shared" si="167"/>
        <v>8.2700000000000014</v>
      </c>
      <c r="S100" s="35">
        <f t="shared" si="167"/>
        <v>8.1999999999999993</v>
      </c>
      <c r="T100" s="35">
        <f t="shared" si="167"/>
        <v>7.9900000000000011</v>
      </c>
      <c r="U100" s="35">
        <f t="shared" si="167"/>
        <v>8.14</v>
      </c>
      <c r="V100" s="35">
        <f t="shared" si="167"/>
        <v>8.1100000000000012</v>
      </c>
      <c r="W100" s="35">
        <f t="shared" ref="W100" si="168">$G$100-W99</f>
        <v>8.0300000000000011</v>
      </c>
      <c r="X100" s="35">
        <f t="shared" ref="X100:AC100" si="169">$G$100-X99</f>
        <v>7.9400000000000013</v>
      </c>
      <c r="Y100" s="35">
        <f t="shared" si="169"/>
        <v>7.9600000000000009</v>
      </c>
      <c r="Z100" s="35">
        <f t="shared" si="169"/>
        <v>8.14</v>
      </c>
      <c r="AA100" s="35">
        <f t="shared" si="169"/>
        <v>8.0800000000000018</v>
      </c>
      <c r="AB100" s="35">
        <f t="shared" si="169"/>
        <v>9.25</v>
      </c>
      <c r="AC100" s="35">
        <f t="shared" si="169"/>
        <v>12.71</v>
      </c>
      <c r="AD100" s="35">
        <f>$G$100-AD99</f>
        <v>12.71</v>
      </c>
      <c r="AE100" s="35">
        <f>$G$100-AE99</f>
        <v>12.71</v>
      </c>
      <c r="AF100" s="35"/>
      <c r="AG100" s="35"/>
      <c r="AH100" s="35"/>
      <c r="AI100" s="35"/>
      <c r="BN100" s="35"/>
      <c r="BO100" s="35"/>
      <c r="BP100" s="35"/>
      <c r="BQ100" s="35"/>
      <c r="BR100" s="35"/>
      <c r="BS100" s="35"/>
      <c r="BT100" s="35"/>
      <c r="BU100" s="35"/>
      <c r="BV100" s="35"/>
      <c r="BW100" s="35"/>
      <c r="BX100" s="35"/>
      <c r="BY100" s="35"/>
      <c r="BZ100" s="35"/>
      <c r="CA100" s="36"/>
      <c r="CB100" s="35"/>
      <c r="CC100" s="35"/>
      <c r="CD100" s="35"/>
    </row>
    <row r="101" spans="2:102" s="34" customFormat="1" ht="15.75" hidden="1" thickBot="1" x14ac:dyDescent="0.3">
      <c r="B101" s="105"/>
      <c r="C101" s="106"/>
      <c r="D101" s="106"/>
      <c r="E101" s="106" t="s">
        <v>59</v>
      </c>
      <c r="F101" s="106"/>
      <c r="G101" s="106"/>
      <c r="H101" s="106"/>
      <c r="I101" s="107">
        <f>I99/G100</f>
        <v>0</v>
      </c>
      <c r="J101" s="107">
        <f>J99/G100</f>
        <v>0</v>
      </c>
      <c r="K101" s="107">
        <f>K99/$G$100</f>
        <v>0.42667191188040909</v>
      </c>
      <c r="L101" s="107">
        <f t="shared" ref="L101:O101" si="170">L99/$G$100</f>
        <v>0.34225019669551537</v>
      </c>
      <c r="M101" s="107">
        <f t="shared" si="170"/>
        <v>0.34225019669551537</v>
      </c>
      <c r="N101" s="107">
        <f t="shared" si="170"/>
        <v>0.34225019669551532</v>
      </c>
      <c r="O101" s="107">
        <f t="shared" si="170"/>
        <v>0.3486231313926042</v>
      </c>
      <c r="P101" s="107">
        <f t="shared" ref="P101" si="171">P99/$G$100</f>
        <v>0.35011801730920528</v>
      </c>
      <c r="Q101" s="107">
        <f t="shared" ref="Q101:V101" si="172">Q99/$G$100</f>
        <v>0.34933123524783627</v>
      </c>
      <c r="R101" s="107">
        <f t="shared" si="172"/>
        <v>0.34933123524783627</v>
      </c>
      <c r="S101" s="107">
        <f t="shared" si="172"/>
        <v>0.35483870967741937</v>
      </c>
      <c r="T101" s="107">
        <f t="shared" si="172"/>
        <v>0.37136113296616835</v>
      </c>
      <c r="U101" s="107">
        <f t="shared" si="172"/>
        <v>0.3595594020456333</v>
      </c>
      <c r="V101" s="107">
        <f t="shared" si="172"/>
        <v>0.36191974822974032</v>
      </c>
      <c r="W101" s="107">
        <f t="shared" ref="W101" si="173">W99/$G$100</f>
        <v>0.36821400472069232</v>
      </c>
      <c r="X101" s="107">
        <f t="shared" ref="X101:AC101" si="174">X99/$G$100</f>
        <v>0.37529504327301333</v>
      </c>
      <c r="Y101" s="107">
        <f t="shared" si="174"/>
        <v>0.37372147915027537</v>
      </c>
      <c r="Z101" s="107">
        <f t="shared" si="174"/>
        <v>0.3595594020456333</v>
      </c>
      <c r="AA101" s="107">
        <f t="shared" si="174"/>
        <v>0.36428009441384734</v>
      </c>
      <c r="AB101" s="107">
        <f t="shared" si="174"/>
        <v>0.27222659323367426</v>
      </c>
      <c r="AC101" s="107">
        <f t="shared" si="174"/>
        <v>0</v>
      </c>
      <c r="AD101" s="107">
        <f>AD99/$G$100</f>
        <v>0</v>
      </c>
      <c r="AE101" s="107">
        <f>AE99/$G$100</f>
        <v>0</v>
      </c>
      <c r="AF101" s="107"/>
      <c r="AG101" s="107"/>
      <c r="AH101" s="107"/>
      <c r="AI101" s="107"/>
      <c r="AJ101" s="106"/>
      <c r="AK101" s="106"/>
      <c r="AL101" s="106"/>
      <c r="AM101" s="106"/>
      <c r="AN101" s="106"/>
      <c r="AO101" s="106"/>
      <c r="AP101" s="106"/>
      <c r="AQ101" s="106"/>
      <c r="AR101" s="106"/>
      <c r="AS101" s="106"/>
      <c r="AT101" s="106"/>
      <c r="AU101" s="106"/>
      <c r="AV101" s="106"/>
      <c r="AW101" s="106"/>
      <c r="AX101" s="106"/>
      <c r="AY101" s="106"/>
      <c r="AZ101" s="106"/>
      <c r="BA101" s="106"/>
      <c r="BB101" s="106"/>
      <c r="BC101" s="106"/>
      <c r="BD101" s="106"/>
      <c r="BE101" s="106"/>
      <c r="BF101" s="106"/>
      <c r="BG101" s="106"/>
      <c r="BH101" s="106"/>
      <c r="BI101" s="106"/>
      <c r="BJ101" s="106"/>
      <c r="BK101" s="106"/>
      <c r="BL101" s="106"/>
      <c r="BM101" s="106"/>
      <c r="BN101" s="108"/>
      <c r="BO101" s="108"/>
      <c r="BP101" s="108"/>
      <c r="BQ101" s="108"/>
      <c r="BR101" s="108"/>
      <c r="BS101" s="108"/>
      <c r="BT101" s="108"/>
      <c r="BU101" s="108"/>
      <c r="BV101" s="108"/>
      <c r="BW101" s="108"/>
      <c r="BX101" s="108"/>
      <c r="BY101" s="108"/>
      <c r="BZ101" s="108"/>
      <c r="CA101" s="109"/>
      <c r="CB101" s="35"/>
      <c r="CC101" s="35"/>
      <c r="CD101" s="35"/>
    </row>
    <row r="102" spans="2:102" ht="15.75" hidden="1" thickBot="1" x14ac:dyDescent="0.3"/>
    <row r="103" spans="2:102" x14ac:dyDescent="0.25">
      <c r="B103" s="43" t="s">
        <v>92</v>
      </c>
      <c r="C103" s="10" t="s">
        <v>99</v>
      </c>
      <c r="D103" s="10" t="s">
        <v>100</v>
      </c>
      <c r="E103" s="51" t="s">
        <v>101</v>
      </c>
      <c r="F103" s="10"/>
      <c r="G103" s="27">
        <f>73*0.7</f>
        <v>51.099999999999994</v>
      </c>
      <c r="H103" s="10"/>
      <c r="I103" s="44">
        <f>97*0.6127</f>
        <v>59.431899999999999</v>
      </c>
      <c r="J103" s="44">
        <f>97*0.616</f>
        <v>59.752000000000002</v>
      </c>
      <c r="K103" s="44">
        <f>97*0.62</f>
        <v>60.14</v>
      </c>
      <c r="L103" s="44">
        <f>97*0.63</f>
        <v>61.11</v>
      </c>
      <c r="M103" s="44">
        <f>97*0.789</f>
        <v>76.533000000000001</v>
      </c>
      <c r="N103" s="44">
        <v>61.31</v>
      </c>
      <c r="O103" s="44">
        <v>66.760000000000005</v>
      </c>
      <c r="P103" s="44">
        <v>63.62</v>
      </c>
      <c r="Q103" s="44">
        <v>52.92</v>
      </c>
      <c r="R103" s="44">
        <v>54.51</v>
      </c>
      <c r="S103" s="44">
        <v>71.489999999999995</v>
      </c>
      <c r="T103" s="10">
        <v>55.62</v>
      </c>
      <c r="U103" s="10">
        <v>57.21</v>
      </c>
      <c r="V103" s="10">
        <v>57.38</v>
      </c>
      <c r="W103" s="10">
        <v>57.65</v>
      </c>
      <c r="X103" s="10">
        <v>58.75</v>
      </c>
      <c r="Y103" s="10">
        <v>76.650000000000006</v>
      </c>
      <c r="Z103" s="10">
        <v>59.46</v>
      </c>
      <c r="AA103" s="10">
        <v>61.29</v>
      </c>
      <c r="AB103" s="10">
        <v>62.93</v>
      </c>
      <c r="AC103" s="10">
        <v>63.1</v>
      </c>
      <c r="AD103" s="10">
        <v>64.19</v>
      </c>
      <c r="AE103" s="10">
        <v>83.08</v>
      </c>
      <c r="AF103" s="10">
        <v>65.56</v>
      </c>
      <c r="AG103" s="10">
        <v>64.34</v>
      </c>
      <c r="AH103" s="10">
        <v>65.47</v>
      </c>
      <c r="AI103" s="10">
        <v>64.69</v>
      </c>
      <c r="AJ103" s="10">
        <v>65.39</v>
      </c>
      <c r="AK103" s="10">
        <v>66.97</v>
      </c>
      <c r="AL103" s="10">
        <v>68.78</v>
      </c>
      <c r="AM103" s="44">
        <v>69</v>
      </c>
      <c r="AN103" s="44">
        <v>69.209999999999994</v>
      </c>
      <c r="AO103" s="44">
        <v>48.61</v>
      </c>
      <c r="AP103" s="44">
        <v>69.98</v>
      </c>
      <c r="AQ103" s="44">
        <v>71.84</v>
      </c>
      <c r="AR103" s="44">
        <v>73.680000000000007</v>
      </c>
      <c r="AS103" s="44">
        <v>73.89</v>
      </c>
      <c r="AT103" s="44">
        <v>72.489999999999995</v>
      </c>
      <c r="AU103" s="44">
        <v>73.83</v>
      </c>
      <c r="AV103" s="44">
        <v>74.069999999999993</v>
      </c>
      <c r="AW103" s="44">
        <v>75.37</v>
      </c>
      <c r="AX103" s="10">
        <v>75.67</v>
      </c>
      <c r="AY103" s="10">
        <v>50.78</v>
      </c>
      <c r="AZ103" s="10">
        <v>51.25</v>
      </c>
      <c r="BA103" s="10">
        <v>51.58</v>
      </c>
      <c r="BB103" s="10">
        <v>51.81</v>
      </c>
      <c r="BC103" s="10">
        <v>52.96</v>
      </c>
      <c r="BD103" s="10">
        <v>53.96</v>
      </c>
      <c r="BE103" s="10">
        <v>51.66</v>
      </c>
      <c r="BF103" s="10">
        <v>55.46</v>
      </c>
      <c r="BG103" s="10">
        <v>55.8</v>
      </c>
      <c r="BH103" s="119">
        <v>56</v>
      </c>
      <c r="BI103" s="10">
        <v>56.6</v>
      </c>
      <c r="BJ103" s="10">
        <v>56.8</v>
      </c>
      <c r="BK103" s="10">
        <v>59.2</v>
      </c>
      <c r="BL103" s="10">
        <v>59.4</v>
      </c>
      <c r="BM103" s="10"/>
      <c r="BN103" s="62">
        <f t="shared" ref="BN103:BW104" si="175">I103</f>
        <v>59.431899999999999</v>
      </c>
      <c r="BO103" s="62">
        <f t="shared" si="175"/>
        <v>59.752000000000002</v>
      </c>
      <c r="BP103" s="62">
        <f t="shared" si="175"/>
        <v>60.14</v>
      </c>
      <c r="BQ103" s="62">
        <f t="shared" si="175"/>
        <v>61.11</v>
      </c>
      <c r="BR103" s="62">
        <f t="shared" si="175"/>
        <v>76.533000000000001</v>
      </c>
      <c r="BS103" s="62">
        <f t="shared" si="175"/>
        <v>61.31</v>
      </c>
      <c r="BT103" s="62">
        <f t="shared" si="175"/>
        <v>66.760000000000005</v>
      </c>
      <c r="BU103" s="62">
        <f t="shared" si="175"/>
        <v>63.62</v>
      </c>
      <c r="BV103" s="62">
        <f t="shared" si="175"/>
        <v>52.92</v>
      </c>
      <c r="BW103" s="62">
        <f t="shared" si="175"/>
        <v>54.51</v>
      </c>
      <c r="BX103" s="62">
        <f t="shared" ref="BX103:CG104" si="176">S103</f>
        <v>71.489999999999995</v>
      </c>
      <c r="BY103" s="62">
        <f t="shared" si="176"/>
        <v>55.62</v>
      </c>
      <c r="BZ103" s="62">
        <f t="shared" si="176"/>
        <v>57.21</v>
      </c>
      <c r="CA103" s="62">
        <f t="shared" si="176"/>
        <v>57.38</v>
      </c>
      <c r="CB103" s="62">
        <f t="shared" si="176"/>
        <v>57.65</v>
      </c>
      <c r="CC103" s="62">
        <f t="shared" si="176"/>
        <v>58.75</v>
      </c>
      <c r="CD103" s="62">
        <f t="shared" si="176"/>
        <v>76.650000000000006</v>
      </c>
      <c r="CE103" s="62">
        <f t="shared" si="176"/>
        <v>59.46</v>
      </c>
      <c r="CF103" s="62">
        <f t="shared" si="176"/>
        <v>61.29</v>
      </c>
      <c r="CG103" s="62">
        <f t="shared" si="176"/>
        <v>62.93</v>
      </c>
      <c r="CH103" s="62">
        <f t="shared" ref="CH103:CI104" si="177">AC103</f>
        <v>63.1</v>
      </c>
      <c r="CI103" s="62">
        <f t="shared" si="177"/>
        <v>64.19</v>
      </c>
      <c r="CJ103" s="62">
        <v>88.6</v>
      </c>
      <c r="CK103" s="50">
        <v>55.6</v>
      </c>
      <c r="CL103" s="50">
        <v>56.6</v>
      </c>
      <c r="CM103" s="50">
        <v>56.6</v>
      </c>
      <c r="CN103" s="50">
        <v>56.8</v>
      </c>
      <c r="CO103" s="50">
        <f t="shared" ref="CO103:CQ104" si="178">AJ103</f>
        <v>65.39</v>
      </c>
      <c r="CP103" s="50">
        <f t="shared" si="178"/>
        <v>66.97</v>
      </c>
      <c r="CQ103" s="50">
        <f t="shared" si="178"/>
        <v>68.78</v>
      </c>
      <c r="CR103" s="50">
        <f t="shared" ref="CR103:CS104" si="179">AM103</f>
        <v>69</v>
      </c>
      <c r="CS103" s="50">
        <f t="shared" si="179"/>
        <v>69.209999999999994</v>
      </c>
      <c r="CT103" s="50"/>
      <c r="CU103" s="50"/>
      <c r="CV103" s="50"/>
      <c r="CW103" s="50"/>
      <c r="CX103" s="50">
        <v>64.8</v>
      </c>
    </row>
    <row r="104" spans="2:102" x14ac:dyDescent="0.25">
      <c r="B104" s="14"/>
      <c r="E104" s="50" t="s">
        <v>102</v>
      </c>
      <c r="G104" s="45">
        <f>59*0.7</f>
        <v>41.3</v>
      </c>
      <c r="I104" s="8">
        <f>32*0.6558</f>
        <v>20.985600000000002</v>
      </c>
      <c r="J104" s="8">
        <f>32*0.6668</f>
        <v>21.337599999999998</v>
      </c>
      <c r="K104" s="8">
        <f>32*0.6733</f>
        <v>21.5456</v>
      </c>
      <c r="L104" s="8">
        <f>32*0.69</f>
        <v>22.08</v>
      </c>
      <c r="M104" s="8">
        <f>32*0.695</f>
        <v>22.24</v>
      </c>
      <c r="N104" s="8">
        <v>22.41</v>
      </c>
      <c r="O104" s="8">
        <v>22.66</v>
      </c>
      <c r="P104" s="8">
        <v>22.78</v>
      </c>
      <c r="Q104" s="8">
        <v>23.09</v>
      </c>
      <c r="R104" s="8">
        <v>23.36</v>
      </c>
      <c r="S104" s="8">
        <v>23.89</v>
      </c>
      <c r="T104" s="8">
        <v>24.29</v>
      </c>
      <c r="U104" s="8">
        <v>24.45</v>
      </c>
      <c r="V104" s="8">
        <v>24.68</v>
      </c>
      <c r="W104" s="8">
        <v>24.98</v>
      </c>
      <c r="X104" s="8">
        <v>25.35</v>
      </c>
      <c r="Y104" s="8">
        <v>25.52</v>
      </c>
      <c r="Z104" s="8">
        <v>25.75</v>
      </c>
      <c r="AA104" s="8">
        <v>26.01</v>
      </c>
      <c r="AB104" s="8">
        <v>26.47</v>
      </c>
      <c r="AC104" s="8">
        <v>26.68</v>
      </c>
      <c r="AD104" s="8">
        <v>26.93</v>
      </c>
      <c r="AE104" s="8">
        <v>27.12</v>
      </c>
      <c r="AF104" s="8">
        <v>27.37</v>
      </c>
      <c r="AG104" s="8">
        <v>27.6</v>
      </c>
      <c r="AH104" s="8">
        <v>27.93</v>
      </c>
      <c r="AI104" s="8">
        <v>28.2</v>
      </c>
      <c r="AJ104" s="8">
        <v>29</v>
      </c>
      <c r="AK104" s="8">
        <v>29.23</v>
      </c>
      <c r="AL104" s="8">
        <v>29.45</v>
      </c>
      <c r="AM104" s="8">
        <v>29.7</v>
      </c>
      <c r="AN104" s="8">
        <v>29.97</v>
      </c>
      <c r="AO104" s="8">
        <v>30.07</v>
      </c>
      <c r="AP104" s="8">
        <v>31.25</v>
      </c>
      <c r="AQ104" s="8">
        <v>31.53</v>
      </c>
      <c r="AR104" s="8">
        <v>31.76</v>
      </c>
      <c r="AS104" s="8">
        <v>32.65</v>
      </c>
      <c r="AT104" s="8">
        <v>32.950000000000003</v>
      </c>
      <c r="AU104" s="8">
        <v>33.19</v>
      </c>
      <c r="AV104" s="8">
        <v>33.840000000000003</v>
      </c>
      <c r="AW104" s="8">
        <v>34.049999999999997</v>
      </c>
      <c r="AX104" s="8">
        <v>34.31</v>
      </c>
      <c r="AY104" s="8">
        <v>34.520000000000003</v>
      </c>
      <c r="AZ104" s="8">
        <v>35.08</v>
      </c>
      <c r="BA104" s="8">
        <v>35.32</v>
      </c>
      <c r="BB104" s="8">
        <v>35.549999999999997</v>
      </c>
      <c r="BC104" s="8">
        <v>35.92</v>
      </c>
      <c r="BD104" s="8">
        <v>36.36</v>
      </c>
      <c r="BE104" s="8">
        <v>33.28</v>
      </c>
      <c r="BF104" s="8">
        <v>36.97</v>
      </c>
      <c r="BG104" s="8">
        <v>37.28</v>
      </c>
      <c r="BH104" s="8">
        <v>37.659999999999997</v>
      </c>
      <c r="BI104" s="8">
        <v>38.01</v>
      </c>
      <c r="BJ104" s="8">
        <v>38.26</v>
      </c>
      <c r="BK104" s="8">
        <v>38.619999999999997</v>
      </c>
      <c r="BL104" s="8">
        <v>38.9</v>
      </c>
      <c r="BN104" s="63">
        <f t="shared" si="175"/>
        <v>20.985600000000002</v>
      </c>
      <c r="BO104" s="63">
        <f t="shared" si="175"/>
        <v>21.337599999999998</v>
      </c>
      <c r="BP104" s="63">
        <f t="shared" si="175"/>
        <v>21.5456</v>
      </c>
      <c r="BQ104" s="63">
        <f t="shared" si="175"/>
        <v>22.08</v>
      </c>
      <c r="BR104" s="63">
        <f t="shared" si="175"/>
        <v>22.24</v>
      </c>
      <c r="BS104" s="63">
        <f t="shared" si="175"/>
        <v>22.41</v>
      </c>
      <c r="BT104" s="63">
        <f t="shared" si="175"/>
        <v>22.66</v>
      </c>
      <c r="BU104" s="63">
        <f t="shared" si="175"/>
        <v>22.78</v>
      </c>
      <c r="BV104" s="63">
        <f t="shared" si="175"/>
        <v>23.09</v>
      </c>
      <c r="BW104" s="63">
        <f t="shared" si="175"/>
        <v>23.36</v>
      </c>
      <c r="BX104" s="63">
        <f t="shared" si="176"/>
        <v>23.89</v>
      </c>
      <c r="BY104" s="63">
        <f t="shared" si="176"/>
        <v>24.29</v>
      </c>
      <c r="BZ104" s="63">
        <f t="shared" si="176"/>
        <v>24.45</v>
      </c>
      <c r="CA104" s="63">
        <f t="shared" si="176"/>
        <v>24.68</v>
      </c>
      <c r="CB104" s="63">
        <f t="shared" si="176"/>
        <v>24.98</v>
      </c>
      <c r="CC104" s="63">
        <f t="shared" si="176"/>
        <v>25.35</v>
      </c>
      <c r="CD104" s="63">
        <f t="shared" si="176"/>
        <v>25.52</v>
      </c>
      <c r="CE104" s="63">
        <f t="shared" si="176"/>
        <v>25.75</v>
      </c>
      <c r="CF104" s="63">
        <f t="shared" si="176"/>
        <v>26.01</v>
      </c>
      <c r="CG104" s="63">
        <f t="shared" si="176"/>
        <v>26.47</v>
      </c>
      <c r="CH104" s="63">
        <f t="shared" si="177"/>
        <v>26.68</v>
      </c>
      <c r="CI104" s="63">
        <f t="shared" si="177"/>
        <v>26.93</v>
      </c>
      <c r="CJ104" s="63">
        <v>27.8</v>
      </c>
      <c r="CK104" s="50">
        <v>18.8</v>
      </c>
      <c r="CL104" s="50">
        <v>19.3</v>
      </c>
      <c r="CM104" s="50">
        <v>19.3</v>
      </c>
      <c r="CN104" s="50">
        <v>19.8</v>
      </c>
      <c r="CO104" s="63">
        <f t="shared" si="178"/>
        <v>29</v>
      </c>
      <c r="CP104" s="63">
        <f t="shared" si="178"/>
        <v>29.23</v>
      </c>
      <c r="CQ104" s="63">
        <f t="shared" si="178"/>
        <v>29.45</v>
      </c>
      <c r="CR104" s="63">
        <f t="shared" si="179"/>
        <v>29.7</v>
      </c>
      <c r="CS104" s="63">
        <f t="shared" si="179"/>
        <v>29.97</v>
      </c>
      <c r="CT104" s="50"/>
      <c r="CU104" s="50"/>
      <c r="CV104" s="50"/>
      <c r="CW104" s="50"/>
      <c r="CX104" s="50">
        <v>21.8</v>
      </c>
    </row>
    <row r="105" spans="2:102" ht="5.25" customHeight="1" x14ac:dyDescent="0.25">
      <c r="B105" s="33"/>
      <c r="C105" s="34"/>
      <c r="D105" s="34"/>
      <c r="E105" s="34"/>
      <c r="F105" s="34"/>
      <c r="G105" s="34"/>
      <c r="H105" s="34"/>
      <c r="I105" s="47"/>
      <c r="J105" s="47"/>
      <c r="K105" s="47"/>
      <c r="L105" s="47"/>
      <c r="M105" s="47"/>
      <c r="N105" s="47"/>
      <c r="O105" s="47"/>
      <c r="P105" s="47"/>
      <c r="Q105" s="47"/>
      <c r="R105" s="47"/>
      <c r="S105" s="47"/>
      <c r="T105" s="47"/>
      <c r="U105" s="47"/>
      <c r="V105" s="47"/>
      <c r="W105" s="47"/>
      <c r="X105" s="47"/>
      <c r="Y105" s="47"/>
      <c r="Z105" s="47"/>
      <c r="AA105" s="47"/>
      <c r="AB105" s="47"/>
      <c r="AC105" s="47"/>
      <c r="AD105" s="47"/>
      <c r="AE105" s="47"/>
      <c r="AF105" s="47"/>
      <c r="AG105" s="34"/>
      <c r="AH105" s="34"/>
      <c r="AI105" s="34"/>
      <c r="AJ105" s="34"/>
      <c r="AK105" s="34"/>
      <c r="AL105" s="34"/>
      <c r="AM105" s="34"/>
      <c r="AN105" s="34"/>
      <c r="AO105" s="34"/>
      <c r="AP105" s="34"/>
      <c r="AQ105" s="34"/>
      <c r="AR105" s="34"/>
      <c r="AS105" s="34"/>
      <c r="AT105" s="34"/>
      <c r="AU105" s="34"/>
      <c r="AV105" s="34"/>
      <c r="AW105" s="34"/>
      <c r="AX105" s="34"/>
      <c r="AY105" s="34"/>
      <c r="AZ105" s="34"/>
      <c r="BA105" s="34"/>
      <c r="BB105" s="34"/>
      <c r="BC105" s="34"/>
      <c r="BD105" s="34"/>
      <c r="BE105" s="34"/>
      <c r="BF105" s="34"/>
      <c r="BG105" s="34"/>
      <c r="BH105" s="34"/>
      <c r="BI105" s="34"/>
      <c r="BJ105" s="34"/>
      <c r="BK105" s="34"/>
      <c r="BL105" s="34"/>
      <c r="BM105" s="34"/>
      <c r="BN105" s="35"/>
      <c r="BO105" s="35"/>
      <c r="BP105" s="35"/>
      <c r="BQ105" s="35"/>
      <c r="BR105" s="35"/>
      <c r="BS105" s="35"/>
      <c r="BT105" s="35"/>
      <c r="BU105" s="35"/>
      <c r="BV105" s="35"/>
      <c r="BW105" s="35"/>
      <c r="BX105" s="35"/>
      <c r="BY105" s="35"/>
      <c r="BZ105" s="35"/>
      <c r="CA105" s="36"/>
      <c r="CB105" s="35"/>
      <c r="CC105" s="35"/>
      <c r="CD105" s="35"/>
    </row>
    <row r="106" spans="2:102" x14ac:dyDescent="0.25">
      <c r="B106" s="14"/>
      <c r="E106" t="s">
        <v>53</v>
      </c>
      <c r="G106" s="45"/>
      <c r="CA106" s="29"/>
    </row>
    <row r="107" spans="2:102" x14ac:dyDescent="0.25">
      <c r="B107" s="14"/>
      <c r="E107" t="s">
        <v>54</v>
      </c>
      <c r="CA107" s="29"/>
    </row>
    <row r="108" spans="2:102" x14ac:dyDescent="0.25">
      <c r="B108" s="14"/>
      <c r="E108" s="16" t="s">
        <v>55</v>
      </c>
      <c r="F108" s="16"/>
      <c r="G108" s="48"/>
      <c r="H108" s="16"/>
      <c r="I108" s="17">
        <f t="shared" ref="I108:V108" si="180">SUM(I103:I107)</f>
        <v>80.417500000000004</v>
      </c>
      <c r="J108" s="17">
        <f t="shared" si="180"/>
        <v>81.089600000000004</v>
      </c>
      <c r="K108" s="17">
        <f t="shared" si="180"/>
        <v>81.685599999999994</v>
      </c>
      <c r="L108" s="17">
        <f t="shared" si="180"/>
        <v>83.19</v>
      </c>
      <c r="M108" s="17">
        <f t="shared" si="180"/>
        <v>98.772999999999996</v>
      </c>
      <c r="N108" s="17">
        <f t="shared" si="180"/>
        <v>83.72</v>
      </c>
      <c r="O108" s="17">
        <f t="shared" si="180"/>
        <v>89.42</v>
      </c>
      <c r="P108" s="17">
        <f t="shared" si="180"/>
        <v>86.4</v>
      </c>
      <c r="Q108" s="17">
        <f t="shared" si="180"/>
        <v>76.010000000000005</v>
      </c>
      <c r="R108" s="17">
        <f t="shared" si="180"/>
        <v>77.87</v>
      </c>
      <c r="S108" s="17">
        <f t="shared" si="180"/>
        <v>95.38</v>
      </c>
      <c r="T108" s="17">
        <f t="shared" si="180"/>
        <v>79.91</v>
      </c>
      <c r="U108" s="17">
        <f t="shared" si="180"/>
        <v>81.66</v>
      </c>
      <c r="V108" s="17">
        <f t="shared" si="180"/>
        <v>82.06</v>
      </c>
      <c r="W108" s="17">
        <f t="shared" ref="W108" si="181">SUM(W103:W107)</f>
        <v>82.63</v>
      </c>
      <c r="X108" s="17">
        <f t="shared" ref="X108:AC108" si="182">SUM(X103:X107)</f>
        <v>84.1</v>
      </c>
      <c r="Y108" s="17">
        <f t="shared" si="182"/>
        <v>102.17</v>
      </c>
      <c r="Z108" s="17">
        <f t="shared" si="182"/>
        <v>85.210000000000008</v>
      </c>
      <c r="AA108" s="17">
        <f t="shared" si="182"/>
        <v>87.3</v>
      </c>
      <c r="AB108" s="17">
        <f t="shared" si="182"/>
        <v>89.4</v>
      </c>
      <c r="AC108" s="17">
        <f t="shared" si="182"/>
        <v>89.78</v>
      </c>
      <c r="AD108" s="17">
        <f t="shared" ref="AD108:AJ108" si="183">SUM(AD103:AD107)</f>
        <v>91.12</v>
      </c>
      <c r="AE108" s="17">
        <f t="shared" si="183"/>
        <v>110.2</v>
      </c>
      <c r="AF108" s="17">
        <f t="shared" si="183"/>
        <v>92.93</v>
      </c>
      <c r="AG108" s="17">
        <f t="shared" si="183"/>
        <v>91.94</v>
      </c>
      <c r="AH108" s="17">
        <f t="shared" si="183"/>
        <v>93.4</v>
      </c>
      <c r="AI108" s="17">
        <f t="shared" si="183"/>
        <v>92.89</v>
      </c>
      <c r="AJ108" s="17">
        <f t="shared" si="183"/>
        <v>94.39</v>
      </c>
      <c r="AK108" s="17">
        <f t="shared" ref="AK108" si="184">SUM(AK103:AK107)</f>
        <v>96.2</v>
      </c>
      <c r="AL108" s="17">
        <f t="shared" ref="AL108:AQ108" si="185">SUM(AL103:AL107)</f>
        <v>98.23</v>
      </c>
      <c r="AM108" s="17">
        <f t="shared" si="185"/>
        <v>98.7</v>
      </c>
      <c r="AN108" s="17">
        <f t="shared" si="185"/>
        <v>99.179999999999993</v>
      </c>
      <c r="AO108" s="17">
        <f t="shared" si="185"/>
        <v>78.680000000000007</v>
      </c>
      <c r="AP108" s="17">
        <f t="shared" si="185"/>
        <v>101.23</v>
      </c>
      <c r="AQ108" s="17">
        <f t="shared" si="185"/>
        <v>103.37</v>
      </c>
      <c r="AR108" s="17">
        <f>SUM(AR103:AR107)</f>
        <v>105.44000000000001</v>
      </c>
      <c r="AS108" s="17">
        <f>SUM(AS103:AS107)</f>
        <v>106.53999999999999</v>
      </c>
      <c r="AT108" s="17">
        <f>SUM(AT103:AT107)</f>
        <v>105.44</v>
      </c>
      <c r="AU108" s="17">
        <f t="shared" ref="AU108:AV108" si="186">SUM(AU103:AU107)</f>
        <v>107.02</v>
      </c>
      <c r="AV108" s="17">
        <f t="shared" si="186"/>
        <v>107.91</v>
      </c>
      <c r="AW108" s="17">
        <f t="shared" ref="AW108:AX108" si="187">SUM(AW103:AW107)</f>
        <v>109.42</v>
      </c>
      <c r="AX108" s="17">
        <f t="shared" si="187"/>
        <v>109.98</v>
      </c>
      <c r="AY108" s="17">
        <f t="shared" ref="AY108:AZ108" si="188">SUM(AY103:AY107)</f>
        <v>85.300000000000011</v>
      </c>
      <c r="AZ108" s="17">
        <f t="shared" si="188"/>
        <v>86.33</v>
      </c>
      <c r="BA108" s="17">
        <f t="shared" ref="BA108:BB108" si="189">SUM(BA103:BA107)</f>
        <v>86.9</v>
      </c>
      <c r="BB108" s="17">
        <f t="shared" si="189"/>
        <v>87.36</v>
      </c>
      <c r="BC108" s="17">
        <f t="shared" ref="BC108" si="190">SUM(BC103:BC107)</f>
        <v>88.88</v>
      </c>
      <c r="BD108" s="17">
        <f t="shared" ref="BD108:BJ108" si="191">SUM(BD103:BD107)</f>
        <v>90.32</v>
      </c>
      <c r="BE108" s="17">
        <f t="shared" si="191"/>
        <v>84.94</v>
      </c>
      <c r="BF108" s="17">
        <f t="shared" si="191"/>
        <v>92.43</v>
      </c>
      <c r="BG108" s="17">
        <f t="shared" si="191"/>
        <v>93.08</v>
      </c>
      <c r="BH108" s="17">
        <f t="shared" si="191"/>
        <v>93.66</v>
      </c>
      <c r="BI108" s="17">
        <f t="shared" si="191"/>
        <v>94.61</v>
      </c>
      <c r="BJ108" s="17">
        <f t="shared" si="191"/>
        <v>95.06</v>
      </c>
      <c r="BK108" s="17">
        <f>SUM(BK103:BK107)</f>
        <v>97.82</v>
      </c>
      <c r="BL108" s="17">
        <f>SUM(BL103:BL107)</f>
        <v>98.3</v>
      </c>
      <c r="BM108" s="16"/>
      <c r="BN108" s="17"/>
      <c r="BO108" s="17"/>
      <c r="BP108" s="17"/>
      <c r="BQ108" s="17"/>
      <c r="BR108" s="17"/>
      <c r="BS108" s="17"/>
      <c r="BT108" s="17"/>
      <c r="BU108" s="17"/>
      <c r="BV108" s="17"/>
      <c r="BW108" s="17"/>
      <c r="BX108" s="17"/>
      <c r="BY108" s="17"/>
      <c r="BZ108" s="17"/>
      <c r="CA108" s="18"/>
      <c r="CB108" s="17"/>
      <c r="CC108" s="17"/>
      <c r="CD108" s="17"/>
    </row>
    <row r="109" spans="2:102" x14ac:dyDescent="0.25">
      <c r="B109" s="19"/>
      <c r="C109" s="16"/>
      <c r="D109" s="16"/>
      <c r="E109" s="49" t="s">
        <v>57</v>
      </c>
      <c r="F109" s="16"/>
      <c r="G109" s="16">
        <f>(73+59)*0.8</f>
        <v>105.60000000000001</v>
      </c>
      <c r="H109" s="16"/>
      <c r="I109" s="17">
        <f>G109-I108</f>
        <v>25.182500000000005</v>
      </c>
      <c r="J109" s="17">
        <f>G109-J108</f>
        <v>24.510400000000004</v>
      </c>
      <c r="K109" s="17">
        <f>$G$109-K108</f>
        <v>23.914400000000015</v>
      </c>
      <c r="L109" s="17">
        <f t="shared" ref="L109:N109" si="192">$G$109-L108</f>
        <v>22.410000000000011</v>
      </c>
      <c r="M109" s="17">
        <f t="shared" si="192"/>
        <v>6.8270000000000124</v>
      </c>
      <c r="N109" s="17">
        <f t="shared" si="192"/>
        <v>21.88000000000001</v>
      </c>
      <c r="O109" s="17">
        <f>$G$109-O108</f>
        <v>16.180000000000007</v>
      </c>
      <c r="P109" s="17">
        <f>$G$109-P108</f>
        <v>19.200000000000003</v>
      </c>
      <c r="Q109" s="17">
        <f>$G$109-Q108</f>
        <v>29.590000000000003</v>
      </c>
      <c r="R109" s="17">
        <f>$G$109-R108</f>
        <v>27.730000000000004</v>
      </c>
      <c r="S109" s="17">
        <f t="shared" ref="S109:T109" si="193">$G$109-S108</f>
        <v>10.220000000000013</v>
      </c>
      <c r="T109" s="17">
        <f t="shared" si="193"/>
        <v>25.690000000000012</v>
      </c>
      <c r="U109" s="17">
        <f t="shared" ref="U109" si="194">$G$109-U108</f>
        <v>23.940000000000012</v>
      </c>
      <c r="V109" s="17">
        <f t="shared" ref="V109:AB109" si="195">$G$109-V108</f>
        <v>23.540000000000006</v>
      </c>
      <c r="W109" s="17">
        <f t="shared" si="195"/>
        <v>22.970000000000013</v>
      </c>
      <c r="X109" s="17">
        <f t="shared" si="195"/>
        <v>21.500000000000014</v>
      </c>
      <c r="Y109" s="17">
        <f t="shared" si="195"/>
        <v>3.4300000000000068</v>
      </c>
      <c r="Z109" s="17">
        <f t="shared" si="195"/>
        <v>20.39</v>
      </c>
      <c r="AA109" s="17">
        <f t="shared" si="195"/>
        <v>18.300000000000011</v>
      </c>
      <c r="AB109" s="17">
        <f t="shared" si="195"/>
        <v>16.200000000000003</v>
      </c>
      <c r="AC109" s="17">
        <f t="shared" ref="AC109" si="196">$G$109-AC108</f>
        <v>15.820000000000007</v>
      </c>
      <c r="AD109" s="17">
        <f t="shared" ref="AD109:AJ109" si="197">$G$109-AD108</f>
        <v>14.480000000000004</v>
      </c>
      <c r="AE109" s="17">
        <f t="shared" si="197"/>
        <v>-4.5999999999999943</v>
      </c>
      <c r="AF109" s="17">
        <f t="shared" si="197"/>
        <v>12.670000000000002</v>
      </c>
      <c r="AG109" s="17">
        <f t="shared" si="197"/>
        <v>13.660000000000011</v>
      </c>
      <c r="AH109" s="17">
        <f t="shared" si="197"/>
        <v>12.200000000000003</v>
      </c>
      <c r="AI109" s="17">
        <f t="shared" si="197"/>
        <v>12.710000000000008</v>
      </c>
      <c r="AJ109" s="17">
        <f t="shared" si="197"/>
        <v>11.210000000000008</v>
      </c>
      <c r="AK109" s="17">
        <f t="shared" ref="AK109" si="198">$G$109-AK108</f>
        <v>9.4000000000000057</v>
      </c>
      <c r="AL109" s="17">
        <f t="shared" ref="AL109:AQ109" si="199">$G$109-AL108</f>
        <v>7.3700000000000045</v>
      </c>
      <c r="AM109" s="17">
        <f t="shared" si="199"/>
        <v>6.9000000000000057</v>
      </c>
      <c r="AN109" s="17">
        <f t="shared" si="199"/>
        <v>6.4200000000000159</v>
      </c>
      <c r="AO109" s="17">
        <f t="shared" si="199"/>
        <v>26.92</v>
      </c>
      <c r="AP109" s="17">
        <f t="shared" si="199"/>
        <v>4.3700000000000045</v>
      </c>
      <c r="AQ109" s="17">
        <f t="shared" si="199"/>
        <v>2.230000000000004</v>
      </c>
      <c r="AR109" s="17">
        <f>$G$109-AR108</f>
        <v>0.15999999999999659</v>
      </c>
      <c r="AS109" s="17">
        <f>$G$109-AS108</f>
        <v>-0.93999999999998352</v>
      </c>
      <c r="AT109" s="17">
        <f>$G$109-AT108</f>
        <v>0.1600000000000108</v>
      </c>
      <c r="AU109" s="17">
        <f t="shared" ref="AU109:AV109" si="200">$G$109-AU108</f>
        <v>-1.4199999999999875</v>
      </c>
      <c r="AV109" s="17">
        <f t="shared" si="200"/>
        <v>-2.3099999999999881</v>
      </c>
      <c r="AW109" s="17">
        <f t="shared" ref="AW109:AX109" si="201">$G$109-AW108</f>
        <v>-3.8199999999999932</v>
      </c>
      <c r="AX109" s="17">
        <f t="shared" si="201"/>
        <v>-4.3799999999999955</v>
      </c>
      <c r="AY109" s="17">
        <f t="shared" ref="AY109:AZ109" si="202">$G$109-AY108</f>
        <v>20.299999999999997</v>
      </c>
      <c r="AZ109" s="17">
        <f t="shared" si="202"/>
        <v>19.27000000000001</v>
      </c>
      <c r="BA109" s="17">
        <f t="shared" ref="BA109:BB109" si="203">$G$109-BA108</f>
        <v>18.700000000000003</v>
      </c>
      <c r="BB109" s="17">
        <f t="shared" si="203"/>
        <v>18.240000000000009</v>
      </c>
      <c r="BC109" s="17">
        <f t="shared" ref="BC109" si="204">$G$109-BC108</f>
        <v>16.720000000000013</v>
      </c>
      <c r="BD109" s="17">
        <f t="shared" ref="BD109:BJ109" si="205">$G$109-BD108</f>
        <v>15.280000000000015</v>
      </c>
      <c r="BE109" s="17">
        <f t="shared" si="205"/>
        <v>20.660000000000011</v>
      </c>
      <c r="BF109" s="17">
        <f t="shared" si="205"/>
        <v>13.170000000000002</v>
      </c>
      <c r="BG109" s="17">
        <f t="shared" si="205"/>
        <v>12.52000000000001</v>
      </c>
      <c r="BH109" s="17">
        <f t="shared" si="205"/>
        <v>11.940000000000012</v>
      </c>
      <c r="BI109" s="17">
        <f t="shared" si="205"/>
        <v>10.990000000000009</v>
      </c>
      <c r="BJ109" s="17">
        <f t="shared" si="205"/>
        <v>10.540000000000006</v>
      </c>
      <c r="BK109" s="17">
        <f>$G$109-BK108</f>
        <v>7.7800000000000153</v>
      </c>
      <c r="BL109" s="17">
        <f>$G$109-BL108</f>
        <v>7.3000000000000114</v>
      </c>
      <c r="BM109" s="16"/>
      <c r="BN109" s="17"/>
      <c r="BO109" s="17"/>
      <c r="BP109" s="17"/>
      <c r="BQ109" s="17"/>
      <c r="BR109" s="17"/>
      <c r="BS109" s="17"/>
      <c r="BT109" s="17"/>
      <c r="BU109" s="17"/>
      <c r="BV109" s="17"/>
      <c r="BW109" s="17"/>
      <c r="BX109" s="17"/>
      <c r="BY109" s="17"/>
      <c r="BZ109" s="17"/>
      <c r="CA109" s="18"/>
      <c r="CB109" s="17"/>
      <c r="CC109" s="17"/>
      <c r="CD109" s="17"/>
    </row>
    <row r="110" spans="2:102" ht="15.75" thickBot="1" x14ac:dyDescent="0.3">
      <c r="B110" s="20"/>
      <c r="C110" s="21"/>
      <c r="D110" s="21"/>
      <c r="E110" s="22" t="s">
        <v>59</v>
      </c>
      <c r="F110" s="22"/>
      <c r="G110" s="22"/>
      <c r="H110" s="22"/>
      <c r="I110" s="23">
        <f>I108/G109</f>
        <v>0.76152935606060601</v>
      </c>
      <c r="J110" s="23">
        <f>J108/G109</f>
        <v>0.76789393939393935</v>
      </c>
      <c r="K110" s="23">
        <f>K108/$G$109</f>
        <v>0.77353787878787872</v>
      </c>
      <c r="L110" s="23">
        <f t="shared" ref="L110:N110" si="206">L108/$G$109</f>
        <v>0.78778409090909085</v>
      </c>
      <c r="M110" s="23">
        <f t="shared" si="206"/>
        <v>0.93535037878787863</v>
      </c>
      <c r="N110" s="23">
        <f t="shared" si="206"/>
        <v>0.79280303030303023</v>
      </c>
      <c r="O110" s="23">
        <f>O108/$G$109</f>
        <v>0.84678030303030294</v>
      </c>
      <c r="P110" s="23">
        <f>P108/$G$109</f>
        <v>0.81818181818181812</v>
      </c>
      <c r="Q110" s="23">
        <f>Q108/$G$109</f>
        <v>0.71979166666666661</v>
      </c>
      <c r="R110" s="23">
        <f>R108/$G$109</f>
        <v>0.73740530303030305</v>
      </c>
      <c r="S110" s="23">
        <f t="shared" ref="S110:T110" si="207">S108/$G$109</f>
        <v>0.90321969696969684</v>
      </c>
      <c r="T110" s="23">
        <f t="shared" si="207"/>
        <v>0.75672348484848473</v>
      </c>
      <c r="U110" s="23">
        <f t="shared" ref="U110" si="208">U108/$G$109</f>
        <v>0.77329545454545445</v>
      </c>
      <c r="V110" s="23">
        <f t="shared" ref="V110:AA110" si="209">V108/$G$109</f>
        <v>0.77708333333333324</v>
      </c>
      <c r="W110" s="23">
        <f t="shared" si="209"/>
        <v>0.78248106060606049</v>
      </c>
      <c r="X110" s="23">
        <f t="shared" si="209"/>
        <v>0.79640151515151503</v>
      </c>
      <c r="Y110" s="23">
        <f t="shared" si="209"/>
        <v>0.96751893939393929</v>
      </c>
      <c r="Z110" s="23">
        <f t="shared" si="209"/>
        <v>0.80691287878787876</v>
      </c>
      <c r="AA110" s="23">
        <f t="shared" si="209"/>
        <v>0.82670454545454541</v>
      </c>
      <c r="AB110" s="23">
        <f t="shared" ref="AB110:AC110" si="210">AB108/$G$109</f>
        <v>0.84659090909090906</v>
      </c>
      <c r="AC110" s="23">
        <f t="shared" si="210"/>
        <v>0.85018939393939386</v>
      </c>
      <c r="AD110" s="23">
        <f t="shared" ref="AD110:AI110" si="211">AD108/$G$109</f>
        <v>0.8628787878787878</v>
      </c>
      <c r="AE110" s="23">
        <f t="shared" si="211"/>
        <v>1.043560606060606</v>
      </c>
      <c r="AF110" s="23">
        <f t="shared" si="211"/>
        <v>0.88001893939393938</v>
      </c>
      <c r="AG110" s="23">
        <f t="shared" si="211"/>
        <v>0.87064393939393925</v>
      </c>
      <c r="AH110" s="23">
        <f t="shared" si="211"/>
        <v>0.88446969696969691</v>
      </c>
      <c r="AI110" s="23">
        <f t="shared" si="211"/>
        <v>0.8796401515151514</v>
      </c>
      <c r="AJ110" s="23">
        <f t="shared" ref="AJ110:AK110" si="212">AJ108/$G$109</f>
        <v>0.89384469696969693</v>
      </c>
      <c r="AK110" s="23">
        <f t="shared" si="212"/>
        <v>0.9109848484848484</v>
      </c>
      <c r="AL110" s="23">
        <f t="shared" ref="AL110:AQ110" si="213">AL108/$G$109</f>
        <v>0.9302083333333333</v>
      </c>
      <c r="AM110" s="23">
        <f t="shared" si="213"/>
        <v>0.93465909090909083</v>
      </c>
      <c r="AN110" s="23">
        <f t="shared" si="213"/>
        <v>0.93920454545454535</v>
      </c>
      <c r="AO110" s="23">
        <f t="shared" si="213"/>
        <v>0.74507575757575761</v>
      </c>
      <c r="AP110" s="23">
        <f t="shared" si="213"/>
        <v>0.95861742424242424</v>
      </c>
      <c r="AQ110" s="23">
        <f t="shared" si="213"/>
        <v>0.97888257575757576</v>
      </c>
      <c r="AR110" s="23">
        <f>AR108/$G$109</f>
        <v>0.99848484848484853</v>
      </c>
      <c r="AS110" s="23">
        <f>AS108/$G$109</f>
        <v>1.008901515151515</v>
      </c>
      <c r="AT110" s="23">
        <f>AT108/$G$109</f>
        <v>0.99848484848484842</v>
      </c>
      <c r="AU110" s="23">
        <f t="shared" ref="AU110:AV110" si="214">AU108/$G$109</f>
        <v>1.0134469696969697</v>
      </c>
      <c r="AV110" s="23">
        <f t="shared" si="214"/>
        <v>1.0218749999999999</v>
      </c>
      <c r="AW110" s="23">
        <f t="shared" ref="AW110:AX110" si="215">AW108/$G$109</f>
        <v>1.0361742424242424</v>
      </c>
      <c r="AX110" s="23">
        <f t="shared" si="215"/>
        <v>1.0414772727272728</v>
      </c>
      <c r="AY110" s="23">
        <f t="shared" ref="AY110:AZ110" si="216">AY108/$G$109</f>
        <v>0.8077651515151516</v>
      </c>
      <c r="AZ110" s="23">
        <f t="shared" si="216"/>
        <v>0.81751893939393927</v>
      </c>
      <c r="BA110" s="23">
        <f t="shared" ref="BA110:BB110" si="217">BA108/$G$109</f>
        <v>0.82291666666666663</v>
      </c>
      <c r="BB110" s="23">
        <f t="shared" si="217"/>
        <v>0.82727272727272716</v>
      </c>
      <c r="BC110" s="23">
        <f t="shared" ref="BC110" si="218">BC108/$G$109</f>
        <v>0.84166666666666656</v>
      </c>
      <c r="BD110" s="23">
        <f t="shared" ref="BD110:BI110" si="219">BD108/$G$109</f>
        <v>0.85530303030303012</v>
      </c>
      <c r="BE110" s="23">
        <f t="shared" si="219"/>
        <v>0.80435606060606057</v>
      </c>
      <c r="BF110" s="23">
        <f t="shared" si="219"/>
        <v>0.87528409090909087</v>
      </c>
      <c r="BG110" s="23">
        <f t="shared" si="219"/>
        <v>0.88143939393939386</v>
      </c>
      <c r="BH110" s="23">
        <f t="shared" si="219"/>
        <v>0.8869318181818181</v>
      </c>
      <c r="BI110" s="23">
        <f t="shared" si="219"/>
        <v>0.89592803030303025</v>
      </c>
      <c r="BJ110" s="23">
        <f t="shared" ref="BJ110" si="220">BJ108/$G$109</f>
        <v>0.9001893939393939</v>
      </c>
      <c r="BK110" s="23">
        <f>BK108/$G$109</f>
        <v>0.92632575757575741</v>
      </c>
      <c r="BL110" s="23">
        <f>BL108/$G$109</f>
        <v>0.93087121212121204</v>
      </c>
      <c r="BM110" s="22"/>
      <c r="BN110" s="24"/>
      <c r="BO110" s="24"/>
      <c r="BP110" s="24"/>
      <c r="BQ110" s="24"/>
      <c r="BR110" s="24"/>
      <c r="BS110" s="24"/>
      <c r="BT110" s="24"/>
      <c r="BU110" s="24"/>
      <c r="BV110" s="24"/>
      <c r="BW110" s="24"/>
      <c r="BX110" s="24"/>
      <c r="BY110" s="24"/>
      <c r="BZ110" s="24"/>
      <c r="CA110" s="25"/>
      <c r="CB110" s="17"/>
      <c r="CC110" s="17"/>
      <c r="CD110" s="17"/>
    </row>
    <row r="111" spans="2:102" ht="15.75" thickBot="1" x14ac:dyDescent="0.3"/>
    <row r="112" spans="2:102" ht="15.75" thickBot="1" x14ac:dyDescent="0.3">
      <c r="B112" s="43" t="s">
        <v>103</v>
      </c>
      <c r="C112" s="10" t="s">
        <v>104</v>
      </c>
      <c r="D112" s="10" t="s">
        <v>105</v>
      </c>
      <c r="E112" s="10" t="s">
        <v>106</v>
      </c>
      <c r="F112" s="10"/>
      <c r="G112" s="27"/>
      <c r="H112" s="10"/>
      <c r="I112" s="10">
        <f>1.1+7.3</f>
        <v>8.4</v>
      </c>
      <c r="J112" s="10">
        <f>1.2+7.3</f>
        <v>8.5</v>
      </c>
      <c r="K112" s="10">
        <f>1.3+7.3</f>
        <v>8.6</v>
      </c>
      <c r="L112" s="10">
        <f>0.7+6.8</f>
        <v>7.5</v>
      </c>
      <c r="M112" s="10">
        <v>7.6</v>
      </c>
      <c r="N112" s="10">
        <v>7.6</v>
      </c>
      <c r="O112" s="10">
        <v>7.6</v>
      </c>
      <c r="P112" s="10">
        <v>7.6</v>
      </c>
      <c r="Q112" s="10">
        <v>7.6</v>
      </c>
      <c r="R112" s="10">
        <v>7.6</v>
      </c>
      <c r="S112" s="10">
        <v>7.6</v>
      </c>
      <c r="T112" s="10">
        <v>7.6</v>
      </c>
      <c r="U112" s="10">
        <v>7.68</v>
      </c>
      <c r="V112" s="10">
        <v>7.73</v>
      </c>
      <c r="W112" s="10">
        <v>7.79</v>
      </c>
      <c r="X112" s="10">
        <v>7.95</v>
      </c>
      <c r="Y112" s="10">
        <v>8.09</v>
      </c>
      <c r="Z112" s="10">
        <v>8.15</v>
      </c>
      <c r="AA112" s="10">
        <v>8.1999999999999993</v>
      </c>
      <c r="AB112" s="10">
        <v>8.32</v>
      </c>
      <c r="AC112" s="10">
        <v>8.26</v>
      </c>
      <c r="AD112" s="10">
        <v>8.4499999999999993</v>
      </c>
      <c r="AE112" s="10">
        <v>8.4499999999999993</v>
      </c>
      <c r="AF112" s="10">
        <v>8.48</v>
      </c>
      <c r="AG112" s="10">
        <v>8.51</v>
      </c>
      <c r="AH112" s="10">
        <v>8.81</v>
      </c>
      <c r="AI112" s="10">
        <v>8.82</v>
      </c>
      <c r="AJ112" s="10">
        <v>8.8800000000000008</v>
      </c>
      <c r="AK112" s="10">
        <v>8.8800000000000008</v>
      </c>
      <c r="AL112" s="10">
        <v>9.3000000000000007</v>
      </c>
      <c r="AM112" s="10">
        <v>9.77</v>
      </c>
      <c r="AN112" s="10">
        <v>9.93</v>
      </c>
      <c r="AO112" s="10">
        <v>9.93</v>
      </c>
      <c r="AP112" s="10">
        <v>9.93</v>
      </c>
      <c r="AQ112" s="10">
        <v>10.039999999999999</v>
      </c>
      <c r="AR112" s="10">
        <v>10.039999999999999</v>
      </c>
      <c r="AS112" s="10">
        <v>10.039999999999999</v>
      </c>
      <c r="AT112" s="10">
        <v>10.130000000000001</v>
      </c>
      <c r="AU112" s="10">
        <v>10.199999999999999</v>
      </c>
      <c r="AV112" s="10">
        <v>10.34</v>
      </c>
      <c r="AW112" s="10">
        <v>10.47</v>
      </c>
      <c r="AX112" s="10">
        <v>10.89</v>
      </c>
      <c r="AY112" s="10">
        <v>10.89</v>
      </c>
      <c r="AZ112" s="10">
        <v>10.98</v>
      </c>
      <c r="BA112" s="10">
        <v>11.09</v>
      </c>
      <c r="BB112" s="10">
        <v>11.09</v>
      </c>
      <c r="BC112" s="10">
        <v>11.22</v>
      </c>
      <c r="BD112">
        <v>11.21</v>
      </c>
      <c r="BE112">
        <v>11.24</v>
      </c>
      <c r="BF112">
        <v>11.22</v>
      </c>
      <c r="BG112">
        <v>11.21</v>
      </c>
      <c r="BH112">
        <v>11.21</v>
      </c>
      <c r="BI112">
        <v>11.21</v>
      </c>
      <c r="BJ112">
        <v>11.21</v>
      </c>
      <c r="BK112">
        <v>11.2</v>
      </c>
      <c r="BL112">
        <v>11.18</v>
      </c>
    </row>
    <row r="113" spans="2:64" x14ac:dyDescent="0.25">
      <c r="B113" s="55"/>
      <c r="C113" s="10"/>
      <c r="D113" s="10"/>
      <c r="E113" s="10" t="s">
        <v>107</v>
      </c>
      <c r="F113" s="10"/>
      <c r="G113" s="27"/>
      <c r="H113" s="10"/>
      <c r="I113" s="10">
        <v>6.3</v>
      </c>
      <c r="J113" s="10">
        <v>6.3</v>
      </c>
      <c r="K113" s="10">
        <v>6.3</v>
      </c>
      <c r="L113" s="10">
        <v>6.74</v>
      </c>
      <c r="M113" s="10">
        <v>6.9</v>
      </c>
      <c r="N113" s="10">
        <v>6.9</v>
      </c>
      <c r="O113" s="10">
        <v>6.8</v>
      </c>
      <c r="P113" s="10">
        <v>7.1</v>
      </c>
      <c r="Q113" s="10">
        <v>7.3</v>
      </c>
      <c r="R113" s="10">
        <v>7.3</v>
      </c>
      <c r="S113" s="10">
        <v>7.6</v>
      </c>
      <c r="T113" s="10">
        <v>7.7</v>
      </c>
      <c r="U113" s="10">
        <v>7.78</v>
      </c>
      <c r="V113" s="10">
        <v>7.81</v>
      </c>
      <c r="W113" s="10">
        <v>7.84</v>
      </c>
      <c r="X113" s="10">
        <v>7.91</v>
      </c>
      <c r="Y113" s="10">
        <v>7.99</v>
      </c>
      <c r="Z113" s="10">
        <v>8.08</v>
      </c>
      <c r="AA113" s="10">
        <v>8.14</v>
      </c>
      <c r="AB113" s="10">
        <v>8.2200000000000006</v>
      </c>
      <c r="AC113" s="10">
        <v>8.27</v>
      </c>
      <c r="AD113" s="10">
        <v>8.34</v>
      </c>
      <c r="AE113" s="10">
        <v>8.4</v>
      </c>
      <c r="AF113" s="10">
        <v>8.73</v>
      </c>
      <c r="AG113" s="10">
        <v>8.75</v>
      </c>
      <c r="AH113" s="10">
        <v>8.56</v>
      </c>
      <c r="AI113" s="10">
        <v>8.56</v>
      </c>
      <c r="AJ113" s="10">
        <v>8.6300000000000008</v>
      </c>
      <c r="AK113" s="10">
        <v>8.67</v>
      </c>
      <c r="AL113" s="10">
        <v>8.74</v>
      </c>
      <c r="AM113" s="10">
        <v>8.7899999999999991</v>
      </c>
      <c r="AN113" s="10">
        <v>8.8800000000000008</v>
      </c>
      <c r="AO113" s="10">
        <v>8.94</v>
      </c>
      <c r="AP113" s="10">
        <v>8.99</v>
      </c>
      <c r="AQ113" s="10">
        <v>9.0299999999999994</v>
      </c>
      <c r="AR113" s="10">
        <v>9.1</v>
      </c>
      <c r="AS113" s="10">
        <v>9.15</v>
      </c>
      <c r="AT113" s="10">
        <v>9.1999999999999993</v>
      </c>
      <c r="AU113" s="10">
        <v>9.1999999999999993</v>
      </c>
      <c r="AV113" s="10">
        <v>9.3000000000000007</v>
      </c>
      <c r="AW113" s="10">
        <v>9.34</v>
      </c>
      <c r="AX113" s="10">
        <v>9.3800000000000008</v>
      </c>
      <c r="AY113" s="10">
        <v>9.43</v>
      </c>
      <c r="AZ113" s="10">
        <v>9.4700000000000006</v>
      </c>
      <c r="BA113" s="10">
        <v>9.5399999999999991</v>
      </c>
      <c r="BB113" s="10">
        <v>9.57</v>
      </c>
      <c r="BC113" s="10">
        <v>9.6300000000000008</v>
      </c>
      <c r="BD113">
        <v>9.61</v>
      </c>
      <c r="BE113">
        <v>9.6300000000000008</v>
      </c>
      <c r="BF113">
        <v>9.73</v>
      </c>
      <c r="BG113">
        <v>9.7200000000000006</v>
      </c>
      <c r="BH113">
        <v>9.7200000000000006</v>
      </c>
      <c r="BI113">
        <v>9.76</v>
      </c>
      <c r="BJ113">
        <v>9.7899999999999991</v>
      </c>
      <c r="BK113">
        <v>9.8800000000000008</v>
      </c>
      <c r="BL113">
        <v>9.98</v>
      </c>
    </row>
    <row r="114" spans="2:64" ht="15" customHeight="1" x14ac:dyDescent="0.25">
      <c r="B114" s="33"/>
      <c r="C114" s="34"/>
      <c r="D114" s="34"/>
      <c r="E114" s="34"/>
      <c r="F114" s="34"/>
      <c r="G114" s="34"/>
      <c r="H114" s="34"/>
      <c r="I114" s="47"/>
      <c r="J114" s="47"/>
      <c r="K114" s="47"/>
      <c r="L114" s="47"/>
      <c r="M114" s="47"/>
      <c r="N114" s="47"/>
      <c r="O114" s="47"/>
      <c r="P114" s="47"/>
      <c r="Q114" s="47"/>
      <c r="R114" s="47"/>
      <c r="S114" s="47"/>
      <c r="T114" s="47"/>
      <c r="U114" s="47"/>
      <c r="V114" s="47"/>
      <c r="W114" s="47"/>
      <c r="X114" s="47"/>
      <c r="Y114" s="47"/>
      <c r="Z114" s="47"/>
      <c r="AA114" s="47"/>
      <c r="AB114" s="47"/>
      <c r="AC114" s="47"/>
      <c r="AD114" s="47"/>
      <c r="AE114" s="47"/>
      <c r="AF114" s="47"/>
      <c r="AG114" s="34"/>
      <c r="AH114" s="34"/>
      <c r="AI114" s="34"/>
      <c r="AJ114" s="34"/>
      <c r="AK114" s="34"/>
      <c r="AL114" s="34"/>
      <c r="AM114" s="34"/>
      <c r="AN114" s="34"/>
      <c r="AO114" s="34"/>
      <c r="AP114" s="34"/>
      <c r="AQ114" s="34"/>
      <c r="AR114" s="34"/>
      <c r="AS114" s="34"/>
      <c r="AT114" s="34"/>
      <c r="AU114" s="34"/>
      <c r="AV114" s="34"/>
      <c r="AW114" s="34"/>
      <c r="AX114" s="34"/>
      <c r="AY114" s="34"/>
      <c r="AZ114" s="34"/>
      <c r="BA114" s="34"/>
      <c r="BB114" s="34"/>
      <c r="BC114" s="34"/>
      <c r="BD114" s="34"/>
      <c r="BE114" s="34"/>
      <c r="BF114" s="34"/>
      <c r="BG114" s="34"/>
      <c r="BH114" s="34"/>
      <c r="BI114" s="34"/>
      <c r="BJ114" s="34"/>
      <c r="BK114" s="34"/>
      <c r="BL114" s="34"/>
    </row>
    <row r="115" spans="2:64" x14ac:dyDescent="0.25">
      <c r="B115" s="14"/>
      <c r="E115" t="s">
        <v>53</v>
      </c>
      <c r="G115" s="45"/>
    </row>
    <row r="116" spans="2:64" x14ac:dyDescent="0.25">
      <c r="B116" s="14"/>
      <c r="E116" t="s">
        <v>54</v>
      </c>
    </row>
    <row r="117" spans="2:64" x14ac:dyDescent="0.25">
      <c r="B117" s="14"/>
      <c r="E117" s="16" t="s">
        <v>55</v>
      </c>
      <c r="F117" s="16"/>
      <c r="G117" s="48"/>
      <c r="H117" s="16"/>
      <c r="I117" s="17">
        <f t="shared" ref="I117:N117" si="221">SUM(I112:I116)</f>
        <v>14.7</v>
      </c>
      <c r="J117" s="17">
        <f t="shared" si="221"/>
        <v>14.8</v>
      </c>
      <c r="K117" s="17">
        <f t="shared" si="221"/>
        <v>14.899999999999999</v>
      </c>
      <c r="L117" s="17">
        <f t="shared" si="221"/>
        <v>14.24</v>
      </c>
      <c r="M117" s="17">
        <f t="shared" si="221"/>
        <v>14.5</v>
      </c>
      <c r="N117" s="17">
        <f t="shared" si="221"/>
        <v>14.5</v>
      </c>
      <c r="O117" s="17">
        <f t="shared" ref="O117:T117" si="222">SUM(O112:O116)</f>
        <v>14.399999999999999</v>
      </c>
      <c r="P117" s="17">
        <f t="shared" si="222"/>
        <v>14.7</v>
      </c>
      <c r="Q117" s="17">
        <f t="shared" si="222"/>
        <v>14.899999999999999</v>
      </c>
      <c r="R117" s="17">
        <f t="shared" si="222"/>
        <v>14.899999999999999</v>
      </c>
      <c r="S117" s="17">
        <f t="shared" si="222"/>
        <v>15.2</v>
      </c>
      <c r="T117" s="17">
        <f t="shared" si="222"/>
        <v>15.3</v>
      </c>
      <c r="U117" s="17">
        <f t="shared" ref="U117" si="223">SUM(U112:U116)</f>
        <v>15.46</v>
      </c>
      <c r="V117" s="17">
        <f t="shared" ref="V117:AB117" si="224">SUM(V112:V116)</f>
        <v>15.54</v>
      </c>
      <c r="W117" s="17">
        <f t="shared" si="224"/>
        <v>15.629999999999999</v>
      </c>
      <c r="X117" s="17">
        <f t="shared" si="224"/>
        <v>15.86</v>
      </c>
      <c r="Y117" s="17">
        <f t="shared" si="224"/>
        <v>16.079999999999998</v>
      </c>
      <c r="Z117" s="17">
        <f t="shared" si="224"/>
        <v>16.23</v>
      </c>
      <c r="AA117" s="17">
        <f t="shared" si="224"/>
        <v>16.34</v>
      </c>
      <c r="AB117" s="17">
        <f t="shared" si="224"/>
        <v>16.54</v>
      </c>
      <c r="AC117" s="17">
        <f t="shared" ref="AC117" si="225">SUM(AC112:AC116)</f>
        <v>16.53</v>
      </c>
      <c r="AD117" s="17">
        <f t="shared" ref="AD117:AJ117" si="226">SUM(AD112:AD116)</f>
        <v>16.79</v>
      </c>
      <c r="AE117" s="17">
        <f t="shared" si="226"/>
        <v>16.850000000000001</v>
      </c>
      <c r="AF117" s="17">
        <f t="shared" si="226"/>
        <v>17.21</v>
      </c>
      <c r="AG117" s="17">
        <f t="shared" si="226"/>
        <v>17.259999999999998</v>
      </c>
      <c r="AH117" s="17">
        <f t="shared" si="226"/>
        <v>17.37</v>
      </c>
      <c r="AI117" s="17">
        <f t="shared" si="226"/>
        <v>17.380000000000003</v>
      </c>
      <c r="AJ117" s="17">
        <f t="shared" si="226"/>
        <v>17.510000000000002</v>
      </c>
      <c r="AK117" s="17">
        <f t="shared" ref="AK117" si="227">SUM(AK112:AK116)</f>
        <v>17.55</v>
      </c>
      <c r="AL117" s="17">
        <f t="shared" ref="AL117:AQ117" si="228">SUM(AL112:AL116)</f>
        <v>18.04</v>
      </c>
      <c r="AM117" s="17">
        <f t="shared" si="228"/>
        <v>18.559999999999999</v>
      </c>
      <c r="AN117" s="17">
        <f t="shared" si="228"/>
        <v>18.810000000000002</v>
      </c>
      <c r="AO117" s="17">
        <f t="shared" si="228"/>
        <v>18.869999999999997</v>
      </c>
      <c r="AP117" s="17">
        <f t="shared" si="228"/>
        <v>18.920000000000002</v>
      </c>
      <c r="AQ117" s="17">
        <f t="shared" si="228"/>
        <v>19.07</v>
      </c>
      <c r="AR117" s="17">
        <f>SUM(AR112:AR116)</f>
        <v>19.14</v>
      </c>
      <c r="AS117" s="17">
        <f>SUM(AS112:AS116)</f>
        <v>19.189999999999998</v>
      </c>
      <c r="AT117" s="17">
        <f>SUM(AT112:AT116)</f>
        <v>19.329999999999998</v>
      </c>
      <c r="AU117" s="17">
        <f t="shared" ref="AU117:AV117" si="229">SUM(AU112:AU116)</f>
        <v>19.399999999999999</v>
      </c>
      <c r="AV117" s="17">
        <f t="shared" si="229"/>
        <v>19.64</v>
      </c>
      <c r="AW117" s="17">
        <f t="shared" ref="AW117:AX117" si="230">SUM(AW112:AW116)</f>
        <v>19.810000000000002</v>
      </c>
      <c r="AX117" s="17">
        <f t="shared" si="230"/>
        <v>20.270000000000003</v>
      </c>
      <c r="AY117" s="17">
        <f t="shared" ref="AY117:AZ117" si="231">SUM(AY112:AY116)</f>
        <v>20.32</v>
      </c>
      <c r="AZ117" s="17">
        <f t="shared" si="231"/>
        <v>20.450000000000003</v>
      </c>
      <c r="BA117" s="17">
        <f t="shared" ref="BA117:BB117" si="232">SUM(BA112:BA116)</f>
        <v>20.63</v>
      </c>
      <c r="BB117" s="17">
        <f t="shared" si="232"/>
        <v>20.66</v>
      </c>
      <c r="BC117" s="17">
        <f t="shared" ref="BC117" si="233">SUM(BC112:BC116)</f>
        <v>20.85</v>
      </c>
      <c r="BD117" s="17">
        <f t="shared" ref="BD117:BJ117" si="234">SUM(BD112:BD116)</f>
        <v>20.82</v>
      </c>
      <c r="BE117" s="17">
        <f t="shared" si="234"/>
        <v>20.87</v>
      </c>
      <c r="BF117" s="17">
        <f t="shared" si="234"/>
        <v>20.950000000000003</v>
      </c>
      <c r="BG117" s="17">
        <f t="shared" si="234"/>
        <v>20.93</v>
      </c>
      <c r="BH117" s="17">
        <f t="shared" si="234"/>
        <v>20.93</v>
      </c>
      <c r="BI117" s="17">
        <f t="shared" si="234"/>
        <v>20.97</v>
      </c>
      <c r="BJ117" s="17">
        <f t="shared" si="234"/>
        <v>21</v>
      </c>
      <c r="BK117" s="17">
        <f>SUM(BK112:BK116)</f>
        <v>21.08</v>
      </c>
      <c r="BL117" s="17">
        <f>SUM(BL112:BL116)</f>
        <v>21.16</v>
      </c>
    </row>
    <row r="118" spans="2:64" x14ac:dyDescent="0.25">
      <c r="B118" s="19"/>
      <c r="C118" s="16"/>
      <c r="D118" s="16"/>
      <c r="E118" s="49" t="s">
        <v>57</v>
      </c>
      <c r="F118" s="16"/>
      <c r="G118" s="16">
        <v>25.7</v>
      </c>
      <c r="H118" s="16"/>
      <c r="I118" s="17">
        <f>G118-I117</f>
        <v>11</v>
      </c>
      <c r="J118" s="17">
        <f>G118-J117</f>
        <v>10.899999999999999</v>
      </c>
      <c r="K118" s="17">
        <f>$G$118-K117</f>
        <v>10.8</v>
      </c>
      <c r="L118" s="17">
        <f t="shared" ref="L118:N118" si="235">$G$118-L117</f>
        <v>11.459999999999999</v>
      </c>
      <c r="M118" s="17">
        <f t="shared" si="235"/>
        <v>11.2</v>
      </c>
      <c r="N118" s="17">
        <f t="shared" si="235"/>
        <v>11.2</v>
      </c>
      <c r="O118" s="17">
        <f t="shared" ref="O118:T118" si="236">$G$118-O117</f>
        <v>11.3</v>
      </c>
      <c r="P118" s="17">
        <f t="shared" si="236"/>
        <v>11</v>
      </c>
      <c r="Q118" s="17">
        <f t="shared" si="236"/>
        <v>10.8</v>
      </c>
      <c r="R118" s="17">
        <f t="shared" si="236"/>
        <v>10.8</v>
      </c>
      <c r="S118" s="17">
        <f t="shared" si="236"/>
        <v>10.5</v>
      </c>
      <c r="T118" s="17">
        <f t="shared" si="236"/>
        <v>10.399999999999999</v>
      </c>
      <c r="U118" s="17">
        <f t="shared" ref="U118" si="237">$G$118-U117</f>
        <v>10.239999999999998</v>
      </c>
      <c r="V118" s="17">
        <f t="shared" ref="V118:AB118" si="238">$G$118-V117</f>
        <v>10.16</v>
      </c>
      <c r="W118" s="17">
        <f t="shared" si="238"/>
        <v>10.07</v>
      </c>
      <c r="X118" s="17">
        <f t="shared" si="238"/>
        <v>9.84</v>
      </c>
      <c r="Y118" s="17">
        <f t="shared" si="238"/>
        <v>9.620000000000001</v>
      </c>
      <c r="Z118" s="17">
        <f t="shared" si="238"/>
        <v>9.4699999999999989</v>
      </c>
      <c r="AA118" s="17">
        <f t="shared" si="238"/>
        <v>9.36</v>
      </c>
      <c r="AB118" s="17">
        <f t="shared" si="238"/>
        <v>9.16</v>
      </c>
      <c r="AC118" s="17">
        <f t="shared" ref="AC118" si="239">$G$118-AC117</f>
        <v>9.1699999999999982</v>
      </c>
      <c r="AD118" s="17">
        <f t="shared" ref="AD118:AJ118" si="240">$G$118-AD117</f>
        <v>8.91</v>
      </c>
      <c r="AE118" s="17">
        <f t="shared" si="240"/>
        <v>8.8499999999999979</v>
      </c>
      <c r="AF118" s="17">
        <f t="shared" si="240"/>
        <v>8.4899999999999984</v>
      </c>
      <c r="AG118" s="17">
        <f t="shared" si="240"/>
        <v>8.4400000000000013</v>
      </c>
      <c r="AH118" s="17">
        <f t="shared" si="240"/>
        <v>8.3299999999999983</v>
      </c>
      <c r="AI118" s="17">
        <f t="shared" si="240"/>
        <v>8.3199999999999967</v>
      </c>
      <c r="AJ118" s="17">
        <f t="shared" si="240"/>
        <v>8.1899999999999977</v>
      </c>
      <c r="AK118" s="17">
        <f t="shared" ref="AK118" si="241">$G$118-AK117</f>
        <v>8.1499999999999986</v>
      </c>
      <c r="AL118" s="17">
        <f t="shared" ref="AL118:AQ118" si="242">$G$118-AL117</f>
        <v>7.66</v>
      </c>
      <c r="AM118" s="17">
        <f t="shared" si="242"/>
        <v>7.1400000000000006</v>
      </c>
      <c r="AN118" s="17">
        <f t="shared" si="242"/>
        <v>6.889999999999997</v>
      </c>
      <c r="AO118" s="17">
        <f t="shared" si="242"/>
        <v>6.8300000000000018</v>
      </c>
      <c r="AP118" s="17">
        <f t="shared" si="242"/>
        <v>6.7799999999999976</v>
      </c>
      <c r="AQ118" s="17">
        <f t="shared" si="242"/>
        <v>6.629999999999999</v>
      </c>
      <c r="AR118" s="17">
        <f>$G$118-AR117</f>
        <v>6.5599999999999987</v>
      </c>
      <c r="AS118" s="17">
        <f>$G$118-AS117</f>
        <v>6.5100000000000016</v>
      </c>
      <c r="AT118" s="17">
        <f>$G$118-AT117</f>
        <v>6.370000000000001</v>
      </c>
      <c r="AU118" s="17">
        <f t="shared" ref="AU118:AV118" si="243">$G$118-AU117</f>
        <v>6.3000000000000007</v>
      </c>
      <c r="AV118" s="17">
        <f t="shared" si="243"/>
        <v>6.0599999999999987</v>
      </c>
      <c r="AW118" s="17">
        <f t="shared" ref="AW118:AX118" si="244">$G$118-AW117</f>
        <v>5.889999999999997</v>
      </c>
      <c r="AX118" s="17">
        <f t="shared" si="244"/>
        <v>5.4299999999999962</v>
      </c>
      <c r="AY118" s="17">
        <f t="shared" ref="AY118:AZ118" si="245">$G$118-AY117</f>
        <v>5.379999999999999</v>
      </c>
      <c r="AZ118" s="17">
        <f t="shared" si="245"/>
        <v>5.2499999999999964</v>
      </c>
      <c r="BA118" s="17">
        <f t="shared" ref="BA118:BB118" si="246">$G$118-BA117</f>
        <v>5.07</v>
      </c>
      <c r="BB118" s="17">
        <f t="shared" si="246"/>
        <v>5.0399999999999991</v>
      </c>
      <c r="BC118" s="17">
        <f t="shared" ref="BC118" si="247">$G$118-BC117</f>
        <v>4.8499999999999979</v>
      </c>
      <c r="BD118" s="17">
        <f t="shared" ref="BD118:BJ118" si="248">$G$118-BD117</f>
        <v>4.879999999999999</v>
      </c>
      <c r="BE118" s="17">
        <f t="shared" si="248"/>
        <v>4.8299999999999983</v>
      </c>
      <c r="BF118" s="17">
        <f t="shared" si="248"/>
        <v>4.7499999999999964</v>
      </c>
      <c r="BG118" s="17">
        <f t="shared" si="248"/>
        <v>4.7699999999999996</v>
      </c>
      <c r="BH118" s="17">
        <f t="shared" si="248"/>
        <v>4.7699999999999996</v>
      </c>
      <c r="BI118" s="17">
        <f t="shared" si="248"/>
        <v>4.7300000000000004</v>
      </c>
      <c r="BJ118" s="17">
        <f t="shared" si="248"/>
        <v>4.6999999999999993</v>
      </c>
      <c r="BK118" s="17">
        <f>$G$118-BK117</f>
        <v>4.620000000000001</v>
      </c>
      <c r="BL118" s="17">
        <f>$G$118-BL117</f>
        <v>4.5399999999999991</v>
      </c>
    </row>
    <row r="119" spans="2:64" x14ac:dyDescent="0.25">
      <c r="B119" s="14"/>
      <c r="E119" s="16" t="s">
        <v>268</v>
      </c>
      <c r="F119" s="16"/>
      <c r="G119" s="16"/>
      <c r="H119" s="16"/>
      <c r="I119" s="81">
        <f t="shared" ref="I119:AG119" si="249">I117/$G$118</f>
        <v>0.57198443579766534</v>
      </c>
      <c r="J119" s="81">
        <f t="shared" si="249"/>
        <v>0.57587548638132302</v>
      </c>
      <c r="K119" s="81">
        <f t="shared" si="249"/>
        <v>0.57976653696498048</v>
      </c>
      <c r="L119" s="81">
        <f t="shared" si="249"/>
        <v>0.5540856031128405</v>
      </c>
      <c r="M119" s="81">
        <f t="shared" si="249"/>
        <v>0.56420233463035019</v>
      </c>
      <c r="N119" s="81">
        <f t="shared" si="249"/>
        <v>0.56420233463035019</v>
      </c>
      <c r="O119" s="81">
        <f t="shared" si="249"/>
        <v>0.56031128404669261</v>
      </c>
      <c r="P119" s="81">
        <f t="shared" si="249"/>
        <v>0.57198443579766534</v>
      </c>
      <c r="Q119" s="81">
        <f t="shared" si="249"/>
        <v>0.57976653696498048</v>
      </c>
      <c r="R119" s="81">
        <f t="shared" si="249"/>
        <v>0.57976653696498048</v>
      </c>
      <c r="S119" s="81">
        <f t="shared" si="249"/>
        <v>0.59143968871595332</v>
      </c>
      <c r="T119" s="81">
        <f t="shared" si="249"/>
        <v>0.59533073929961089</v>
      </c>
      <c r="U119" s="81">
        <f t="shared" si="249"/>
        <v>0.60155642023346312</v>
      </c>
      <c r="V119" s="81">
        <f t="shared" si="249"/>
        <v>0.60466926070038907</v>
      </c>
      <c r="W119" s="81">
        <f t="shared" si="249"/>
        <v>0.60817120622568088</v>
      </c>
      <c r="X119" s="81">
        <f t="shared" si="249"/>
        <v>0.61712062256809341</v>
      </c>
      <c r="Y119" s="81">
        <f t="shared" si="249"/>
        <v>0.62568093385214008</v>
      </c>
      <c r="Z119" s="81">
        <f t="shared" si="249"/>
        <v>0.63151750972762655</v>
      </c>
      <c r="AA119" s="81">
        <f t="shared" si="249"/>
        <v>0.63579766536964977</v>
      </c>
      <c r="AB119" s="81">
        <f t="shared" si="249"/>
        <v>0.64357976653696491</v>
      </c>
      <c r="AC119" s="81">
        <f t="shared" si="249"/>
        <v>0.64319066147859927</v>
      </c>
      <c r="AD119" s="81">
        <f t="shared" si="249"/>
        <v>0.65330739299610896</v>
      </c>
      <c r="AE119" s="81">
        <f t="shared" si="249"/>
        <v>0.65564202334630362</v>
      </c>
      <c r="AF119" s="81">
        <f t="shared" si="249"/>
        <v>0.66964980544747088</v>
      </c>
      <c r="AG119" s="81">
        <f t="shared" si="249"/>
        <v>0.67159533073929956</v>
      </c>
      <c r="AH119" s="81">
        <f t="shared" ref="AH119:AM119" si="250">AH117/$G$118</f>
        <v>0.675875486381323</v>
      </c>
      <c r="AI119" s="81">
        <f t="shared" si="250"/>
        <v>0.67626459143968887</v>
      </c>
      <c r="AJ119" s="81">
        <f t="shared" si="250"/>
        <v>0.68132295719844371</v>
      </c>
      <c r="AK119" s="81">
        <f t="shared" si="250"/>
        <v>0.68287937743190663</v>
      </c>
      <c r="AL119" s="81">
        <f t="shared" si="250"/>
        <v>0.70194552529182874</v>
      </c>
      <c r="AM119" s="81">
        <f t="shared" si="250"/>
        <v>0.72217898832684824</v>
      </c>
      <c r="AN119" s="81">
        <f t="shared" ref="AN119:AO119" si="251">AN117/$G$118</f>
        <v>0.73190661478599228</v>
      </c>
      <c r="AO119" s="81">
        <f t="shared" si="251"/>
        <v>0.73424124513618672</v>
      </c>
      <c r="AP119" s="81">
        <f t="shared" ref="AP119:AQ119" si="252">AP117/$G$118</f>
        <v>0.73618677042801561</v>
      </c>
      <c r="AQ119" s="81">
        <f t="shared" si="252"/>
        <v>0.74202334630350197</v>
      </c>
      <c r="AR119" s="81">
        <f>AR117/$G$118</f>
        <v>0.74474708171206228</v>
      </c>
      <c r="AS119" s="81">
        <f>AS117/$G$118</f>
        <v>0.74669260700389095</v>
      </c>
      <c r="AT119" s="81">
        <f>AT117/$G$118</f>
        <v>0.75214007782101167</v>
      </c>
      <c r="AU119" s="81">
        <f t="shared" ref="AU119:AV119" si="253">AU117/$G$118</f>
        <v>0.75486381322957197</v>
      </c>
      <c r="AV119" s="81">
        <f t="shared" si="253"/>
        <v>0.76420233463035026</v>
      </c>
      <c r="AW119" s="81">
        <f t="shared" ref="AW119:AX119" si="254">AW117/$G$118</f>
        <v>0.77081712062256824</v>
      </c>
      <c r="AX119" s="81">
        <f t="shared" si="254"/>
        <v>0.78871595330739319</v>
      </c>
      <c r="AY119" s="81">
        <f t="shared" ref="AY119:AZ119" si="255">AY117/$G$118</f>
        <v>0.79066147859922187</v>
      </c>
      <c r="AZ119" s="81">
        <f t="shared" si="255"/>
        <v>0.79571984435797682</v>
      </c>
      <c r="BA119" s="81">
        <f t="shared" ref="BA119:BB119" si="256">BA117/$G$118</f>
        <v>0.80272373540856035</v>
      </c>
      <c r="BB119" s="81">
        <f t="shared" si="256"/>
        <v>0.80389105058365762</v>
      </c>
      <c r="BC119" s="81">
        <f t="shared" ref="BC119" si="257">BC117/$G$118</f>
        <v>0.81128404669260712</v>
      </c>
      <c r="BD119" s="81">
        <f t="shared" ref="BD119:BI119" si="258">BD117/$G$118</f>
        <v>0.81011673151750974</v>
      </c>
      <c r="BE119" s="81">
        <f t="shared" si="258"/>
        <v>0.81206225680933863</v>
      </c>
      <c r="BF119" s="81">
        <f t="shared" si="258"/>
        <v>0.81517509727626469</v>
      </c>
      <c r="BG119" s="81">
        <f t="shared" si="258"/>
        <v>0.81439688715953307</v>
      </c>
      <c r="BH119" s="81">
        <f t="shared" si="258"/>
        <v>0.81439688715953307</v>
      </c>
      <c r="BI119" s="81">
        <f t="shared" si="258"/>
        <v>0.8159533073929961</v>
      </c>
      <c r="BJ119" s="81">
        <f t="shared" ref="BJ119" si="259">BJ117/$G$118</f>
        <v>0.81712062256809337</v>
      </c>
      <c r="BK119" s="81">
        <f>BK117/$G$118</f>
        <v>0.82023346303501943</v>
      </c>
      <c r="BL119" s="81">
        <f>BL117/$G$118</f>
        <v>0.8233463035019456</v>
      </c>
    </row>
    <row r="120" spans="2:64" ht="15.75" thickBot="1" x14ac:dyDescent="0.3">
      <c r="B120" s="20"/>
      <c r="C120" s="21"/>
      <c r="D120" s="21"/>
      <c r="E120" s="16" t="s">
        <v>269</v>
      </c>
      <c r="F120" s="22"/>
      <c r="G120" s="22"/>
      <c r="H120" s="22"/>
      <c r="I120" s="23">
        <v>0</v>
      </c>
      <c r="J120" s="23">
        <v>0</v>
      </c>
      <c r="K120" s="23">
        <v>0</v>
      </c>
      <c r="L120" s="23">
        <v>0</v>
      </c>
      <c r="M120" s="23">
        <v>0</v>
      </c>
      <c r="N120" s="23">
        <v>0</v>
      </c>
      <c r="O120" s="23">
        <v>0</v>
      </c>
      <c r="P120" s="23">
        <v>0</v>
      </c>
      <c r="Q120" s="23">
        <v>0</v>
      </c>
      <c r="R120" s="23">
        <v>0</v>
      </c>
      <c r="S120" s="23">
        <v>0</v>
      </c>
      <c r="T120" s="23">
        <v>0</v>
      </c>
      <c r="U120" s="23">
        <v>0</v>
      </c>
      <c r="V120" s="23">
        <v>0</v>
      </c>
      <c r="W120" s="23">
        <v>0</v>
      </c>
      <c r="X120" s="23">
        <v>0</v>
      </c>
      <c r="Y120" s="23">
        <v>0</v>
      </c>
      <c r="Z120" s="23">
        <v>0</v>
      </c>
      <c r="AA120" s="23">
        <v>0</v>
      </c>
      <c r="AB120" s="23">
        <v>0</v>
      </c>
      <c r="AC120" s="23">
        <v>0</v>
      </c>
      <c r="AD120" s="23">
        <v>0</v>
      </c>
      <c r="AE120" s="23">
        <v>0</v>
      </c>
      <c r="AF120" s="23">
        <v>0</v>
      </c>
      <c r="AG120" s="23">
        <v>0</v>
      </c>
      <c r="AH120" s="23">
        <v>0</v>
      </c>
      <c r="AI120" s="23">
        <v>0</v>
      </c>
      <c r="AJ120" s="23">
        <v>0</v>
      </c>
      <c r="AK120" s="23">
        <v>0</v>
      </c>
      <c r="AL120" s="23">
        <v>0</v>
      </c>
      <c r="AM120" s="23">
        <v>0</v>
      </c>
      <c r="AN120" s="23">
        <v>0</v>
      </c>
      <c r="AO120" s="23">
        <v>0</v>
      </c>
      <c r="AP120" s="23">
        <v>0</v>
      </c>
      <c r="AQ120" s="23">
        <v>0</v>
      </c>
      <c r="AR120" s="23">
        <v>0</v>
      </c>
      <c r="AS120" s="23">
        <v>0</v>
      </c>
      <c r="AT120" s="23">
        <v>0</v>
      </c>
      <c r="AU120" s="23">
        <v>0</v>
      </c>
      <c r="AV120" s="23">
        <v>0</v>
      </c>
      <c r="AW120" s="23">
        <v>0</v>
      </c>
      <c r="AX120" s="23">
        <v>0</v>
      </c>
      <c r="AY120" s="23">
        <v>0</v>
      </c>
      <c r="AZ120" s="23">
        <v>0</v>
      </c>
      <c r="BA120" s="23">
        <v>0</v>
      </c>
      <c r="BB120" s="23">
        <v>0</v>
      </c>
      <c r="BC120" s="23">
        <v>0</v>
      </c>
      <c r="BD120" s="23">
        <v>0</v>
      </c>
      <c r="BE120" s="23">
        <v>0</v>
      </c>
      <c r="BF120" s="23">
        <v>0</v>
      </c>
      <c r="BG120" s="23">
        <v>0</v>
      </c>
      <c r="BH120" s="23">
        <v>0</v>
      </c>
      <c r="BI120" s="23">
        <v>0</v>
      </c>
      <c r="BJ120" s="23">
        <v>0</v>
      </c>
      <c r="BK120" s="23">
        <v>0</v>
      </c>
      <c r="BL120" s="23">
        <v>0</v>
      </c>
    </row>
    <row r="121" spans="2:64" ht="15.75" thickBot="1" x14ac:dyDescent="0.3"/>
    <row r="122" spans="2:64" x14ac:dyDescent="0.25">
      <c r="B122" s="43" t="s">
        <v>103</v>
      </c>
      <c r="C122" s="10" t="s">
        <v>108</v>
      </c>
      <c r="D122" s="10" t="s">
        <v>105</v>
      </c>
      <c r="E122" s="10" t="s">
        <v>109</v>
      </c>
      <c r="F122" s="10"/>
      <c r="G122" s="27"/>
      <c r="H122" s="10"/>
      <c r="I122" s="10">
        <f>25.3*0.5</f>
        <v>12.65</v>
      </c>
      <c r="J122" s="10">
        <f>25.5*0.5</f>
        <v>12.75</v>
      </c>
      <c r="K122" s="10">
        <f>25.7*0.5</f>
        <v>12.85</v>
      </c>
      <c r="L122" s="10">
        <f>25.7*0.482</f>
        <v>12.3874</v>
      </c>
      <c r="M122" s="10">
        <v>12.4</v>
      </c>
      <c r="N122" s="10">
        <v>12.6</v>
      </c>
      <c r="O122" s="10">
        <v>12.8</v>
      </c>
      <c r="P122" s="10">
        <v>11.4</v>
      </c>
      <c r="Q122" s="10">
        <v>11.8</v>
      </c>
      <c r="R122" s="10">
        <v>12</v>
      </c>
      <c r="S122" s="10">
        <v>12.1</v>
      </c>
      <c r="T122" s="10">
        <v>12.5</v>
      </c>
      <c r="U122" s="10">
        <v>12.2</v>
      </c>
      <c r="V122" s="10">
        <v>12.3</v>
      </c>
      <c r="W122" s="10">
        <v>12</v>
      </c>
      <c r="X122" s="10">
        <v>11.9</v>
      </c>
      <c r="Y122" s="10">
        <v>12.1</v>
      </c>
      <c r="Z122" s="10">
        <v>11.2</v>
      </c>
      <c r="AA122" s="10">
        <v>11.5</v>
      </c>
      <c r="AB122" s="10">
        <v>11.7</v>
      </c>
      <c r="AC122" s="10">
        <v>12</v>
      </c>
      <c r="AD122" s="10">
        <v>12.2</v>
      </c>
      <c r="AE122" s="10">
        <v>12.5</v>
      </c>
      <c r="AF122" s="10">
        <v>12.6</v>
      </c>
      <c r="AG122" s="10">
        <v>12.2</v>
      </c>
      <c r="AH122" s="10">
        <v>12.5</v>
      </c>
      <c r="AI122" s="10">
        <v>12.4</v>
      </c>
      <c r="AJ122" s="10">
        <v>12.3</v>
      </c>
      <c r="AK122" s="10">
        <v>11.9</v>
      </c>
      <c r="AL122" s="10">
        <v>11.6</v>
      </c>
      <c r="AM122" s="10">
        <v>11.7</v>
      </c>
      <c r="AN122" s="10">
        <v>11.9</v>
      </c>
      <c r="AO122" s="10">
        <v>11.9</v>
      </c>
      <c r="AP122" s="10">
        <v>12.3</v>
      </c>
      <c r="AQ122" s="10">
        <v>12.4</v>
      </c>
      <c r="AR122" s="10">
        <v>12.6</v>
      </c>
      <c r="AS122" s="10">
        <v>12.6</v>
      </c>
      <c r="AT122" s="10">
        <v>12.8</v>
      </c>
      <c r="AU122" s="10">
        <v>12.8</v>
      </c>
      <c r="AV122" s="10">
        <v>12.7</v>
      </c>
      <c r="AW122" s="10">
        <v>12.9</v>
      </c>
      <c r="AX122" s="10">
        <v>12.8</v>
      </c>
      <c r="AY122" s="10">
        <v>12.3</v>
      </c>
      <c r="AZ122" s="10">
        <v>12.2</v>
      </c>
      <c r="BA122" s="10">
        <v>12.3</v>
      </c>
      <c r="BB122" s="10">
        <v>12.6</v>
      </c>
      <c r="BC122" s="10">
        <v>12.6</v>
      </c>
      <c r="BD122">
        <v>12.8</v>
      </c>
      <c r="BE122">
        <v>12.8</v>
      </c>
      <c r="BF122">
        <v>12.8</v>
      </c>
      <c r="BG122">
        <v>12.8</v>
      </c>
      <c r="BH122">
        <v>12.8</v>
      </c>
      <c r="BI122">
        <v>12.8</v>
      </c>
      <c r="BJ122">
        <v>12.8</v>
      </c>
      <c r="BK122">
        <v>12.9</v>
      </c>
      <c r="BL122">
        <v>12.8</v>
      </c>
    </row>
    <row r="123" spans="2:64" ht="5.25" customHeight="1" x14ac:dyDescent="0.25">
      <c r="B123" s="33"/>
      <c r="C123" s="34"/>
      <c r="D123" s="34"/>
      <c r="E123" s="34"/>
      <c r="F123" s="34"/>
      <c r="G123" s="34"/>
      <c r="H123" s="34"/>
      <c r="I123" s="47"/>
      <c r="J123" s="47"/>
      <c r="K123" s="47"/>
      <c r="L123" s="47"/>
      <c r="M123" s="47"/>
      <c r="N123" s="47"/>
      <c r="O123" s="47"/>
      <c r="P123" s="47"/>
      <c r="Q123" s="47"/>
      <c r="R123" s="47"/>
      <c r="S123" s="47"/>
      <c r="T123" s="47"/>
      <c r="U123" s="47"/>
      <c r="V123" s="47"/>
      <c r="W123" s="47"/>
      <c r="X123" s="47"/>
      <c r="Y123" s="47"/>
      <c r="Z123" s="47"/>
      <c r="AA123" s="47"/>
      <c r="AB123" s="47"/>
      <c r="AC123" s="47"/>
      <c r="AD123" s="47"/>
      <c r="AE123" s="47"/>
      <c r="AF123" s="47"/>
      <c r="AG123" s="34"/>
      <c r="AH123" s="34"/>
      <c r="AI123" s="34"/>
      <c r="AJ123" s="34"/>
      <c r="AK123" s="34"/>
      <c r="AL123" s="34"/>
      <c r="AM123" s="34"/>
      <c r="AN123" s="34"/>
      <c r="AO123" s="34"/>
      <c r="AP123" s="34"/>
      <c r="AQ123" s="34"/>
      <c r="AR123" s="34"/>
      <c r="AS123" s="34"/>
      <c r="AT123" s="34"/>
      <c r="AU123" s="34"/>
      <c r="AV123" s="34"/>
      <c r="AW123" s="34"/>
      <c r="AX123" s="34"/>
      <c r="AY123" s="34"/>
      <c r="AZ123" s="34"/>
      <c r="BA123" s="34"/>
      <c r="BB123" s="34"/>
      <c r="BC123" s="34"/>
      <c r="BD123" s="34"/>
      <c r="BE123" s="34"/>
    </row>
    <row r="124" spans="2:64" x14ac:dyDescent="0.25">
      <c r="B124" s="14"/>
      <c r="E124" s="16" t="s">
        <v>55</v>
      </c>
      <c r="F124" s="16"/>
      <c r="G124" s="48"/>
      <c r="H124" s="16"/>
      <c r="I124" s="17">
        <f t="shared" ref="I124:N124" si="260">SUM(I122:I123)</f>
        <v>12.65</v>
      </c>
      <c r="J124" s="17">
        <f t="shared" si="260"/>
        <v>12.75</v>
      </c>
      <c r="K124" s="17">
        <f t="shared" si="260"/>
        <v>12.85</v>
      </c>
      <c r="L124" s="17">
        <f t="shared" si="260"/>
        <v>12.3874</v>
      </c>
      <c r="M124" s="17">
        <f t="shared" si="260"/>
        <v>12.4</v>
      </c>
      <c r="N124" s="17">
        <f t="shared" si="260"/>
        <v>12.6</v>
      </c>
      <c r="O124" s="17">
        <f t="shared" ref="O124:T124" si="261">SUM(O122:O123)</f>
        <v>12.8</v>
      </c>
      <c r="P124" s="17">
        <f t="shared" si="261"/>
        <v>11.4</v>
      </c>
      <c r="Q124" s="17">
        <f t="shared" si="261"/>
        <v>11.8</v>
      </c>
      <c r="R124" s="17">
        <f t="shared" si="261"/>
        <v>12</v>
      </c>
      <c r="S124" s="17">
        <f t="shared" si="261"/>
        <v>12.1</v>
      </c>
      <c r="T124" s="17">
        <f t="shared" si="261"/>
        <v>12.5</v>
      </c>
      <c r="U124" s="17">
        <f t="shared" ref="U124" si="262">SUM(U122:U123)</f>
        <v>12.2</v>
      </c>
      <c r="V124" s="17">
        <f t="shared" ref="V124:AB124" si="263">SUM(V122:V123)</f>
        <v>12.3</v>
      </c>
      <c r="W124" s="17">
        <f t="shared" si="263"/>
        <v>12</v>
      </c>
      <c r="X124" s="17">
        <f t="shared" si="263"/>
        <v>11.9</v>
      </c>
      <c r="Y124" s="17">
        <f t="shared" si="263"/>
        <v>12.1</v>
      </c>
      <c r="Z124" s="17">
        <f t="shared" si="263"/>
        <v>11.2</v>
      </c>
      <c r="AA124" s="17">
        <f t="shared" si="263"/>
        <v>11.5</v>
      </c>
      <c r="AB124" s="17">
        <f t="shared" si="263"/>
        <v>11.7</v>
      </c>
      <c r="AC124" s="17">
        <f t="shared" ref="AC124" si="264">SUM(AC122:AC123)</f>
        <v>12</v>
      </c>
      <c r="AD124" s="17">
        <f t="shared" ref="AD124:AJ124" si="265">SUM(AD122:AD123)</f>
        <v>12.2</v>
      </c>
      <c r="AE124" s="17">
        <f t="shared" si="265"/>
        <v>12.5</v>
      </c>
      <c r="AF124" s="17">
        <f t="shared" si="265"/>
        <v>12.6</v>
      </c>
      <c r="AG124" s="17">
        <f t="shared" si="265"/>
        <v>12.2</v>
      </c>
      <c r="AH124" s="17">
        <f t="shared" si="265"/>
        <v>12.5</v>
      </c>
      <c r="AI124" s="17">
        <f t="shared" si="265"/>
        <v>12.4</v>
      </c>
      <c r="AJ124" s="17">
        <f t="shared" si="265"/>
        <v>12.3</v>
      </c>
      <c r="AK124" s="17">
        <f t="shared" ref="AK124" si="266">SUM(AK122:AK123)</f>
        <v>11.9</v>
      </c>
      <c r="AL124" s="17">
        <f t="shared" ref="AL124:AQ124" si="267">SUM(AL122:AL123)</f>
        <v>11.6</v>
      </c>
      <c r="AM124" s="17">
        <f t="shared" si="267"/>
        <v>11.7</v>
      </c>
      <c r="AN124" s="17">
        <f t="shared" si="267"/>
        <v>11.9</v>
      </c>
      <c r="AO124" s="17">
        <f t="shared" si="267"/>
        <v>11.9</v>
      </c>
      <c r="AP124" s="17">
        <f t="shared" si="267"/>
        <v>12.3</v>
      </c>
      <c r="AQ124" s="17">
        <f t="shared" si="267"/>
        <v>12.4</v>
      </c>
      <c r="AR124" s="17">
        <f>SUM(AR122:AR123)</f>
        <v>12.6</v>
      </c>
      <c r="AS124" s="17">
        <f>SUM(AS122:AS123)</f>
        <v>12.6</v>
      </c>
      <c r="AT124" s="17">
        <f>SUM(AT122:AT123)</f>
        <v>12.8</v>
      </c>
      <c r="AU124" s="17">
        <f t="shared" ref="AU124:AV124" si="268">SUM(AU122:AU123)</f>
        <v>12.8</v>
      </c>
      <c r="AV124" s="17">
        <f t="shared" si="268"/>
        <v>12.7</v>
      </c>
      <c r="AW124" s="17">
        <f t="shared" ref="AW124:AX124" si="269">SUM(AW122:AW123)</f>
        <v>12.9</v>
      </c>
      <c r="AX124" s="17">
        <f t="shared" si="269"/>
        <v>12.8</v>
      </c>
      <c r="AY124" s="17">
        <f t="shared" ref="AY124:AZ124" si="270">SUM(AY122:AY123)</f>
        <v>12.3</v>
      </c>
      <c r="AZ124" s="17">
        <f t="shared" si="270"/>
        <v>12.2</v>
      </c>
      <c r="BA124" s="17">
        <f t="shared" ref="BA124:BB124" si="271">SUM(BA122:BA123)</f>
        <v>12.3</v>
      </c>
      <c r="BB124" s="17">
        <f t="shared" si="271"/>
        <v>12.6</v>
      </c>
      <c r="BC124" s="17">
        <f t="shared" ref="BC124" si="272">SUM(BC122:BC123)</f>
        <v>12.6</v>
      </c>
      <c r="BD124" s="17">
        <f t="shared" ref="BD124:BJ124" si="273">SUM(BD122:BD123)</f>
        <v>12.8</v>
      </c>
      <c r="BE124" s="17">
        <f t="shared" si="273"/>
        <v>12.8</v>
      </c>
      <c r="BF124" s="17">
        <f t="shared" si="273"/>
        <v>12.8</v>
      </c>
      <c r="BG124" s="17">
        <f t="shared" si="273"/>
        <v>12.8</v>
      </c>
      <c r="BH124" s="17">
        <f t="shared" si="273"/>
        <v>12.8</v>
      </c>
      <c r="BI124" s="17">
        <f t="shared" si="273"/>
        <v>12.8</v>
      </c>
      <c r="BJ124" s="17">
        <f t="shared" si="273"/>
        <v>12.8</v>
      </c>
      <c r="BK124" s="17">
        <f>SUM(BK122:BK123)</f>
        <v>12.9</v>
      </c>
      <c r="BL124" s="17">
        <f>SUM(BL122:BL123)</f>
        <v>12.8</v>
      </c>
    </row>
    <row r="125" spans="2:64" x14ac:dyDescent="0.25">
      <c r="B125" s="19"/>
      <c r="C125" s="16"/>
      <c r="D125" s="16"/>
      <c r="E125" s="49" t="s">
        <v>57</v>
      </c>
      <c r="F125" s="16"/>
      <c r="G125" s="16">
        <v>25.7</v>
      </c>
      <c r="H125" s="16"/>
      <c r="I125" s="17">
        <f>G125-I124</f>
        <v>13.049999999999999</v>
      </c>
      <c r="J125" s="17">
        <f>G125-J124</f>
        <v>12.95</v>
      </c>
      <c r="K125" s="17">
        <f>$G$118-K124</f>
        <v>12.85</v>
      </c>
      <c r="L125" s="17">
        <f t="shared" ref="L125" si="274">$G$118-L124</f>
        <v>13.3126</v>
      </c>
      <c r="M125" s="17">
        <f t="shared" ref="M125" si="275">$G$118-M124</f>
        <v>13.299999999999999</v>
      </c>
      <c r="N125" s="17">
        <f t="shared" ref="N125" si="276">$G$118-N124</f>
        <v>13.1</v>
      </c>
      <c r="O125" s="17">
        <f t="shared" ref="O125:T125" si="277">$G$118-O124</f>
        <v>12.899999999999999</v>
      </c>
      <c r="P125" s="17">
        <f t="shared" si="277"/>
        <v>14.299999999999999</v>
      </c>
      <c r="Q125" s="17">
        <f t="shared" si="277"/>
        <v>13.899999999999999</v>
      </c>
      <c r="R125" s="17">
        <f t="shared" si="277"/>
        <v>13.7</v>
      </c>
      <c r="S125" s="17">
        <f t="shared" si="277"/>
        <v>13.6</v>
      </c>
      <c r="T125" s="17">
        <f t="shared" si="277"/>
        <v>13.2</v>
      </c>
      <c r="U125" s="17">
        <f t="shared" ref="U125" si="278">$G$118-U124</f>
        <v>13.5</v>
      </c>
      <c r="V125" s="17">
        <f t="shared" ref="V125:AB125" si="279">$G$118-V124</f>
        <v>13.399999999999999</v>
      </c>
      <c r="W125" s="17">
        <f t="shared" si="279"/>
        <v>13.7</v>
      </c>
      <c r="X125" s="17">
        <f t="shared" si="279"/>
        <v>13.799999999999999</v>
      </c>
      <c r="Y125" s="17">
        <f t="shared" si="279"/>
        <v>13.6</v>
      </c>
      <c r="Z125" s="17">
        <f t="shared" si="279"/>
        <v>14.5</v>
      </c>
      <c r="AA125" s="17">
        <f t="shared" si="279"/>
        <v>14.2</v>
      </c>
      <c r="AB125" s="17">
        <f t="shared" si="279"/>
        <v>14</v>
      </c>
      <c r="AC125" s="17">
        <f t="shared" ref="AC125" si="280">$G$118-AC124</f>
        <v>13.7</v>
      </c>
      <c r="AD125" s="17">
        <f t="shared" ref="AD125:AJ125" si="281">$G$118-AD124</f>
        <v>13.5</v>
      </c>
      <c r="AE125" s="17">
        <f t="shared" si="281"/>
        <v>13.2</v>
      </c>
      <c r="AF125" s="17">
        <f t="shared" si="281"/>
        <v>13.1</v>
      </c>
      <c r="AG125" s="17">
        <f t="shared" si="281"/>
        <v>13.5</v>
      </c>
      <c r="AH125" s="17">
        <f t="shared" si="281"/>
        <v>13.2</v>
      </c>
      <c r="AI125" s="17">
        <f t="shared" si="281"/>
        <v>13.299999999999999</v>
      </c>
      <c r="AJ125" s="17">
        <f t="shared" si="281"/>
        <v>13.399999999999999</v>
      </c>
      <c r="AK125" s="17">
        <f t="shared" ref="AK125" si="282">$G$118-AK124</f>
        <v>13.799999999999999</v>
      </c>
      <c r="AL125" s="17">
        <f t="shared" ref="AL125:AQ125" si="283">$G$118-AL124</f>
        <v>14.1</v>
      </c>
      <c r="AM125" s="17">
        <f t="shared" si="283"/>
        <v>14</v>
      </c>
      <c r="AN125" s="17">
        <f t="shared" si="283"/>
        <v>13.799999999999999</v>
      </c>
      <c r="AO125" s="17">
        <f t="shared" si="283"/>
        <v>13.799999999999999</v>
      </c>
      <c r="AP125" s="17">
        <f t="shared" si="283"/>
        <v>13.399999999999999</v>
      </c>
      <c r="AQ125" s="17">
        <f t="shared" si="283"/>
        <v>13.299999999999999</v>
      </c>
      <c r="AR125" s="17">
        <f>$G$118-AR124</f>
        <v>13.1</v>
      </c>
      <c r="AS125" s="17">
        <f>$G$118-AS124</f>
        <v>13.1</v>
      </c>
      <c r="AT125" s="17">
        <f>$G$118-AT124</f>
        <v>12.899999999999999</v>
      </c>
      <c r="AU125" s="17">
        <f t="shared" ref="AU125:AV125" si="284">$G$118-AU124</f>
        <v>12.899999999999999</v>
      </c>
      <c r="AV125" s="17">
        <f t="shared" si="284"/>
        <v>13</v>
      </c>
      <c r="AW125" s="17">
        <f t="shared" ref="AW125:AX125" si="285">$G$118-AW124</f>
        <v>12.799999999999999</v>
      </c>
      <c r="AX125" s="17">
        <f t="shared" si="285"/>
        <v>12.899999999999999</v>
      </c>
      <c r="AY125" s="17">
        <f t="shared" ref="AY125:AZ125" si="286">$G$118-AY124</f>
        <v>13.399999999999999</v>
      </c>
      <c r="AZ125" s="17">
        <f t="shared" si="286"/>
        <v>13.5</v>
      </c>
      <c r="BA125" s="17">
        <f t="shared" ref="BA125:BB125" si="287">$G$118-BA124</f>
        <v>13.399999999999999</v>
      </c>
      <c r="BB125" s="17">
        <f t="shared" si="287"/>
        <v>13.1</v>
      </c>
      <c r="BC125" s="17">
        <f t="shared" ref="BC125" si="288">$G$118-BC124</f>
        <v>13.1</v>
      </c>
      <c r="BD125" s="17">
        <f t="shared" ref="BD125:BJ125" si="289">$G$118-BD124</f>
        <v>12.899999999999999</v>
      </c>
      <c r="BE125" s="17">
        <f t="shared" si="289"/>
        <v>12.899999999999999</v>
      </c>
      <c r="BF125" s="17">
        <f t="shared" si="289"/>
        <v>12.899999999999999</v>
      </c>
      <c r="BG125" s="17">
        <f t="shared" si="289"/>
        <v>12.899999999999999</v>
      </c>
      <c r="BH125" s="17">
        <f t="shared" si="289"/>
        <v>12.899999999999999</v>
      </c>
      <c r="BI125" s="17">
        <f t="shared" si="289"/>
        <v>12.899999999999999</v>
      </c>
      <c r="BJ125" s="17">
        <f t="shared" si="289"/>
        <v>12.899999999999999</v>
      </c>
      <c r="BK125" s="17">
        <f>$G$118-BK124</f>
        <v>12.799999999999999</v>
      </c>
      <c r="BL125" s="17">
        <f>$G$118-BL124</f>
        <v>12.899999999999999</v>
      </c>
    </row>
    <row r="126" spans="2:64" ht="15.75" thickBot="1" x14ac:dyDescent="0.3">
      <c r="B126" s="20"/>
      <c r="C126" s="21"/>
      <c r="D126" s="21"/>
      <c r="E126" s="22" t="s">
        <v>59</v>
      </c>
      <c r="F126" s="22"/>
      <c r="G126" s="22"/>
      <c r="H126" s="22"/>
      <c r="I126" s="23">
        <f>I124/$G$125</f>
        <v>0.49221789883268485</v>
      </c>
      <c r="J126" s="23">
        <f t="shared" ref="J126:N126" si="290">J124/$G$125</f>
        <v>0.49610894941634243</v>
      </c>
      <c r="K126" s="23">
        <f t="shared" si="290"/>
        <v>0.5</v>
      </c>
      <c r="L126" s="23">
        <f t="shared" si="290"/>
        <v>0.48199999999999998</v>
      </c>
      <c r="M126" s="23">
        <f t="shared" si="290"/>
        <v>0.48249027237354086</v>
      </c>
      <c r="N126" s="23">
        <f t="shared" si="290"/>
        <v>0.49027237354085601</v>
      </c>
      <c r="O126" s="23">
        <f t="shared" ref="O126:T126" si="291">O124/$G$125</f>
        <v>0.49805447470817127</v>
      </c>
      <c r="P126" s="23">
        <f t="shared" si="291"/>
        <v>0.44357976653696501</v>
      </c>
      <c r="Q126" s="23">
        <f t="shared" si="291"/>
        <v>0.45914396887159536</v>
      </c>
      <c r="R126" s="23">
        <f t="shared" si="291"/>
        <v>0.46692607003891051</v>
      </c>
      <c r="S126" s="23">
        <f t="shared" si="291"/>
        <v>0.47081712062256809</v>
      </c>
      <c r="T126" s="23">
        <f t="shared" si="291"/>
        <v>0.48638132295719844</v>
      </c>
      <c r="U126" s="23">
        <f t="shared" ref="U126" si="292">U124/$G$125</f>
        <v>0.47470817120622566</v>
      </c>
      <c r="V126" s="23">
        <f t="shared" ref="V126:AA126" si="293">V124/$G$125</f>
        <v>0.47859922178988329</v>
      </c>
      <c r="W126" s="23">
        <f t="shared" si="293"/>
        <v>0.46692607003891051</v>
      </c>
      <c r="X126" s="23">
        <f t="shared" si="293"/>
        <v>0.46303501945525294</v>
      </c>
      <c r="Y126" s="23">
        <f t="shared" si="293"/>
        <v>0.47081712062256809</v>
      </c>
      <c r="Z126" s="23">
        <f t="shared" si="293"/>
        <v>0.43579766536964981</v>
      </c>
      <c r="AA126" s="23">
        <f t="shared" si="293"/>
        <v>0.44747081712062259</v>
      </c>
      <c r="AB126" s="23">
        <f t="shared" ref="AB126:AC126" si="294">AB124/$G$125</f>
        <v>0.45525291828793774</v>
      </c>
      <c r="AC126" s="23">
        <f t="shared" si="294"/>
        <v>0.46692607003891051</v>
      </c>
      <c r="AD126" s="23">
        <f t="shared" ref="AD126:AI126" si="295">AD124/$G$125</f>
        <v>0.47470817120622566</v>
      </c>
      <c r="AE126" s="23">
        <f t="shared" si="295"/>
        <v>0.48638132295719844</v>
      </c>
      <c r="AF126" s="23">
        <f t="shared" si="295"/>
        <v>0.49027237354085601</v>
      </c>
      <c r="AG126" s="23">
        <f t="shared" si="295"/>
        <v>0.47470817120622566</v>
      </c>
      <c r="AH126" s="23">
        <f t="shared" si="295"/>
        <v>0.48638132295719844</v>
      </c>
      <c r="AI126" s="23">
        <f t="shared" si="295"/>
        <v>0.48249027237354086</v>
      </c>
      <c r="AJ126" s="23">
        <f t="shared" ref="AJ126:AK126" si="296">AJ124/$G$125</f>
        <v>0.47859922178988329</v>
      </c>
      <c r="AK126" s="23">
        <f t="shared" si="296"/>
        <v>0.46303501945525294</v>
      </c>
      <c r="AL126" s="23">
        <f t="shared" ref="AL126:AQ126" si="297">AL124/$G$125</f>
        <v>0.45136186770428016</v>
      </c>
      <c r="AM126" s="23">
        <f t="shared" si="297"/>
        <v>0.45525291828793774</v>
      </c>
      <c r="AN126" s="23">
        <f t="shared" si="297"/>
        <v>0.46303501945525294</v>
      </c>
      <c r="AO126" s="23">
        <f t="shared" si="297"/>
        <v>0.46303501945525294</v>
      </c>
      <c r="AP126" s="23">
        <f t="shared" si="297"/>
        <v>0.47859922178988329</v>
      </c>
      <c r="AQ126" s="23">
        <f t="shared" si="297"/>
        <v>0.48249027237354086</v>
      </c>
      <c r="AR126" s="23">
        <f>AR124/$G$125</f>
        <v>0.49027237354085601</v>
      </c>
      <c r="AS126" s="23">
        <f>AS124/$G$125</f>
        <v>0.49027237354085601</v>
      </c>
      <c r="AT126" s="23">
        <f>AT124/$G$125</f>
        <v>0.49805447470817127</v>
      </c>
      <c r="AU126" s="23">
        <f t="shared" ref="AU126:AV126" si="298">AU124/$G$125</f>
        <v>0.49805447470817127</v>
      </c>
      <c r="AV126" s="23">
        <f t="shared" si="298"/>
        <v>0.49416342412451358</v>
      </c>
      <c r="AW126" s="23">
        <f t="shared" ref="AW126:AX126" si="299">AW124/$G$125</f>
        <v>0.50194552529182879</v>
      </c>
      <c r="AX126" s="23">
        <f t="shared" si="299"/>
        <v>0.49805447470817127</v>
      </c>
      <c r="AY126" s="23">
        <f t="shared" ref="AY126:AZ126" si="300">AY124/$G$125</f>
        <v>0.47859922178988329</v>
      </c>
      <c r="AZ126" s="23">
        <f t="shared" si="300"/>
        <v>0.47470817120622566</v>
      </c>
      <c r="BA126" s="23">
        <f t="shared" ref="BA126:BB126" si="301">BA124/$G$125</f>
        <v>0.47859922178988329</v>
      </c>
      <c r="BB126" s="23">
        <f t="shared" si="301"/>
        <v>0.49027237354085601</v>
      </c>
      <c r="BC126" s="23">
        <f t="shared" ref="BC126" si="302">BC124/$G$125</f>
        <v>0.49027237354085601</v>
      </c>
      <c r="BD126" s="23">
        <f t="shared" ref="BD126:BI126" si="303">BD124/$G$125</f>
        <v>0.49805447470817127</v>
      </c>
      <c r="BE126" s="23">
        <f t="shared" si="303"/>
        <v>0.49805447470817127</v>
      </c>
      <c r="BF126" s="23">
        <f t="shared" si="303"/>
        <v>0.49805447470817127</v>
      </c>
      <c r="BG126" s="23">
        <f t="shared" si="303"/>
        <v>0.49805447470817127</v>
      </c>
      <c r="BH126" s="23">
        <f t="shared" si="303"/>
        <v>0.49805447470817127</v>
      </c>
      <c r="BI126" s="23">
        <f t="shared" si="303"/>
        <v>0.49805447470817127</v>
      </c>
      <c r="BJ126" s="23">
        <f t="shared" ref="BJ126" si="304">BJ124/$G$125</f>
        <v>0.49805447470817127</v>
      </c>
      <c r="BK126" s="23">
        <f>BK124/$G$125</f>
        <v>0.50194552529182879</v>
      </c>
      <c r="BL126" s="23">
        <f>BL124/$G$125</f>
        <v>0.49805447470817127</v>
      </c>
    </row>
    <row r="127" spans="2:64" ht="15.75" thickBot="1" x14ac:dyDescent="0.3">
      <c r="I127" s="8"/>
      <c r="J127" s="38"/>
    </row>
    <row r="128" spans="2:64" x14ac:dyDescent="0.25">
      <c r="B128" s="43" t="s">
        <v>110</v>
      </c>
      <c r="C128" s="10" t="s">
        <v>108</v>
      </c>
      <c r="D128" s="10" t="s">
        <v>105</v>
      </c>
      <c r="E128" s="10" t="s">
        <v>111</v>
      </c>
      <c r="F128" s="10"/>
      <c r="G128" s="27">
        <v>35.4</v>
      </c>
      <c r="H128" s="10"/>
      <c r="I128" s="10">
        <f>53*0.62</f>
        <v>32.86</v>
      </c>
      <c r="J128" s="10">
        <f>53*0.63</f>
        <v>33.39</v>
      </c>
      <c r="K128" s="10">
        <f>53*0.643</f>
        <v>34.079000000000001</v>
      </c>
      <c r="L128" s="10">
        <f>53*0.75</f>
        <v>39.75</v>
      </c>
      <c r="M128" s="10">
        <v>40.299999999999997</v>
      </c>
      <c r="N128" s="10">
        <v>30.5</v>
      </c>
      <c r="O128" s="10">
        <v>28.4</v>
      </c>
      <c r="P128" s="10">
        <v>28.3</v>
      </c>
      <c r="Q128" s="10">
        <v>28.3</v>
      </c>
      <c r="R128" s="10">
        <v>28.1</v>
      </c>
      <c r="S128" s="10">
        <v>28.2</v>
      </c>
      <c r="T128" s="10">
        <v>4.7</v>
      </c>
      <c r="U128" s="10">
        <v>1.2</v>
      </c>
      <c r="V128" s="10">
        <v>24.5</v>
      </c>
      <c r="W128" s="10">
        <v>25.1</v>
      </c>
      <c r="X128" s="10">
        <v>25.4</v>
      </c>
      <c r="Y128" s="10">
        <v>25.8</v>
      </c>
      <c r="Z128" s="10">
        <v>27.5</v>
      </c>
      <c r="AA128" s="10">
        <v>30.4</v>
      </c>
      <c r="AB128" s="10">
        <v>31.8</v>
      </c>
      <c r="AC128" s="10">
        <v>33</v>
      </c>
      <c r="AD128" s="10">
        <v>32.799999999999997</v>
      </c>
      <c r="AE128" s="10">
        <v>34.200000000000003</v>
      </c>
      <c r="AF128" s="10">
        <v>35.299999999999997</v>
      </c>
      <c r="AG128" s="10">
        <v>34.200000000000003</v>
      </c>
      <c r="AH128" s="10">
        <v>34.200000000000003</v>
      </c>
      <c r="AI128" s="10">
        <v>34.799999999999997</v>
      </c>
      <c r="AJ128" s="10">
        <v>35.299999999999997</v>
      </c>
      <c r="AK128" s="10">
        <v>34</v>
      </c>
      <c r="AL128" s="10">
        <v>32.9</v>
      </c>
      <c r="AM128" s="10">
        <v>33.1</v>
      </c>
      <c r="AN128" s="10">
        <v>35.200000000000003</v>
      </c>
      <c r="AO128" s="10">
        <v>40.9</v>
      </c>
      <c r="AP128" s="10">
        <v>44</v>
      </c>
      <c r="AQ128" s="10">
        <v>48.2</v>
      </c>
      <c r="AR128" s="10">
        <v>44.6</v>
      </c>
      <c r="AS128" s="10">
        <v>45.7</v>
      </c>
      <c r="AT128" s="10">
        <v>47.1</v>
      </c>
      <c r="AU128" s="10">
        <v>47.5</v>
      </c>
      <c r="AV128" s="10">
        <v>48.1</v>
      </c>
      <c r="AW128" s="10">
        <v>48.4</v>
      </c>
      <c r="AX128" s="10">
        <v>48.6</v>
      </c>
      <c r="AY128" s="10">
        <v>49.5</v>
      </c>
      <c r="AZ128" s="10">
        <v>50.5</v>
      </c>
      <c r="BA128" s="10">
        <v>51</v>
      </c>
      <c r="BB128" s="10">
        <v>51.5</v>
      </c>
      <c r="BC128" s="10">
        <v>52.8</v>
      </c>
      <c r="BD128">
        <v>54.1</v>
      </c>
      <c r="BE128">
        <v>54.7</v>
      </c>
      <c r="BF128">
        <v>55.4</v>
      </c>
      <c r="BG128">
        <v>56.5</v>
      </c>
      <c r="BH128">
        <v>57</v>
      </c>
      <c r="BI128">
        <v>57.5</v>
      </c>
      <c r="BJ128">
        <v>57.4</v>
      </c>
      <c r="BK128">
        <v>58.5</v>
      </c>
      <c r="BL128">
        <v>57</v>
      </c>
    </row>
    <row r="129" spans="2:64" ht="14.25" customHeight="1" x14ac:dyDescent="0.25">
      <c r="B129" s="14"/>
      <c r="E129" t="s">
        <v>112</v>
      </c>
      <c r="G129">
        <v>35.4</v>
      </c>
      <c r="I129" s="9"/>
      <c r="J129" s="9"/>
      <c r="K129" s="9"/>
      <c r="L129" s="9"/>
      <c r="M129" s="9"/>
      <c r="N129" s="9"/>
      <c r="O129" s="9"/>
      <c r="P129" s="9"/>
      <c r="Q129" s="9"/>
      <c r="R129" s="9"/>
      <c r="S129" s="9"/>
      <c r="T129" s="9">
        <v>23.3</v>
      </c>
      <c r="U129" s="9">
        <v>24.8</v>
      </c>
      <c r="V129" s="9">
        <v>1.4</v>
      </c>
      <c r="W129" s="9"/>
      <c r="X129" s="9"/>
      <c r="Y129" s="9"/>
      <c r="Z129" s="9"/>
      <c r="AA129" s="9"/>
      <c r="AB129" s="9"/>
      <c r="AC129" s="9"/>
      <c r="AD129" s="9"/>
      <c r="AE129" s="9"/>
      <c r="AF129" s="9"/>
    </row>
    <row r="130" spans="2:64" ht="4.5" customHeight="1" x14ac:dyDescent="0.25">
      <c r="B130" s="33"/>
      <c r="C130" s="34"/>
      <c r="D130" s="34"/>
      <c r="E130" s="34"/>
      <c r="F130" s="34"/>
      <c r="G130" s="34"/>
      <c r="H130" s="34"/>
      <c r="I130" s="47"/>
      <c r="J130" s="47"/>
      <c r="K130" s="47"/>
      <c r="L130" s="47"/>
      <c r="M130" s="47"/>
      <c r="N130" s="47"/>
      <c r="O130" s="47"/>
      <c r="P130" s="47"/>
      <c r="Q130" s="47"/>
      <c r="R130" s="47"/>
      <c r="S130" s="47"/>
      <c r="T130" s="47"/>
      <c r="U130" s="47"/>
      <c r="V130" s="47"/>
      <c r="W130" s="47"/>
      <c r="X130" s="47"/>
      <c r="Y130" s="47"/>
      <c r="Z130" s="47"/>
      <c r="AA130" s="47"/>
      <c r="AB130" s="47"/>
      <c r="AC130" s="47"/>
      <c r="AD130" s="47"/>
      <c r="AE130" s="47"/>
      <c r="AF130" s="47"/>
      <c r="AG130" s="34"/>
      <c r="AH130" s="34"/>
      <c r="AI130" s="34"/>
      <c r="AJ130" s="34"/>
      <c r="AK130" s="34"/>
      <c r="AL130" s="34"/>
      <c r="AM130" s="34"/>
      <c r="AN130" s="34"/>
      <c r="AO130" s="34"/>
      <c r="AP130" s="34"/>
      <c r="AQ130" s="34"/>
      <c r="AR130" s="34"/>
      <c r="AS130" s="34"/>
      <c r="AT130" s="34"/>
      <c r="AU130" s="34"/>
      <c r="AV130" s="34"/>
      <c r="AW130" s="34"/>
      <c r="AX130" s="34"/>
      <c r="AY130" s="34"/>
      <c r="AZ130" s="34"/>
      <c r="BA130" s="34"/>
      <c r="BB130" s="34"/>
      <c r="BC130" s="34"/>
      <c r="BD130" s="34"/>
      <c r="BE130" s="34"/>
    </row>
    <row r="131" spans="2:64" x14ac:dyDescent="0.25">
      <c r="B131" s="14"/>
      <c r="E131" s="16" t="s">
        <v>55</v>
      </c>
      <c r="F131" s="16"/>
      <c r="G131" s="48"/>
      <c r="H131" s="16"/>
      <c r="I131" s="17">
        <f t="shared" ref="I131:M131" si="305">SUM(I128:I130)</f>
        <v>32.86</v>
      </c>
      <c r="J131" s="17">
        <f t="shared" si="305"/>
        <v>33.39</v>
      </c>
      <c r="K131" s="17">
        <f t="shared" si="305"/>
        <v>34.079000000000001</v>
      </c>
      <c r="L131" s="17">
        <f t="shared" si="305"/>
        <v>39.75</v>
      </c>
      <c r="M131" s="17">
        <f t="shared" si="305"/>
        <v>40.299999999999997</v>
      </c>
      <c r="N131" s="17">
        <f t="shared" ref="N131:S131" si="306">SUM(N128:N130)</f>
        <v>30.5</v>
      </c>
      <c r="O131" s="17">
        <f t="shared" si="306"/>
        <v>28.4</v>
      </c>
      <c r="P131" s="17">
        <f t="shared" si="306"/>
        <v>28.3</v>
      </c>
      <c r="Q131" s="17">
        <f t="shared" si="306"/>
        <v>28.3</v>
      </c>
      <c r="R131" s="17">
        <f t="shared" si="306"/>
        <v>28.1</v>
      </c>
      <c r="S131" s="17">
        <f t="shared" si="306"/>
        <v>28.2</v>
      </c>
      <c r="T131" s="17">
        <f t="shared" ref="T131:U131" si="307">SUM(T128:T130)</f>
        <v>28</v>
      </c>
      <c r="U131" s="17">
        <f t="shared" si="307"/>
        <v>26</v>
      </c>
      <c r="V131" s="17">
        <f t="shared" ref="V131:AB131" si="308">SUM(V128:V130)</f>
        <v>25.9</v>
      </c>
      <c r="W131" s="17">
        <f t="shared" si="308"/>
        <v>25.1</v>
      </c>
      <c r="X131" s="17">
        <f t="shared" si="308"/>
        <v>25.4</v>
      </c>
      <c r="Y131" s="17">
        <f t="shared" si="308"/>
        <v>25.8</v>
      </c>
      <c r="Z131" s="17">
        <f t="shared" si="308"/>
        <v>27.5</v>
      </c>
      <c r="AA131" s="17">
        <f t="shared" si="308"/>
        <v>30.4</v>
      </c>
      <c r="AB131" s="17">
        <f t="shared" si="308"/>
        <v>31.8</v>
      </c>
      <c r="AC131" s="17">
        <f t="shared" ref="AC131" si="309">SUM(AC128:AC130)</f>
        <v>33</v>
      </c>
      <c r="AD131" s="17">
        <f t="shared" ref="AD131:AJ131" si="310">SUM(AD128:AD130)</f>
        <v>32.799999999999997</v>
      </c>
      <c r="AE131" s="17">
        <f t="shared" si="310"/>
        <v>34.200000000000003</v>
      </c>
      <c r="AF131" s="17">
        <f t="shared" si="310"/>
        <v>35.299999999999997</v>
      </c>
      <c r="AG131" s="17">
        <f t="shared" si="310"/>
        <v>34.200000000000003</v>
      </c>
      <c r="AH131" s="17">
        <f t="shared" si="310"/>
        <v>34.200000000000003</v>
      </c>
      <c r="AI131" s="17">
        <f t="shared" si="310"/>
        <v>34.799999999999997</v>
      </c>
      <c r="AJ131" s="17">
        <f t="shared" si="310"/>
        <v>35.299999999999997</v>
      </c>
      <c r="AK131" s="17">
        <f t="shared" ref="AK131" si="311">SUM(AK128:AK130)</f>
        <v>34</v>
      </c>
      <c r="AL131" s="17">
        <f t="shared" ref="AL131:AQ131" si="312">SUM(AL128:AL130)</f>
        <v>32.9</v>
      </c>
      <c r="AM131" s="17">
        <f t="shared" si="312"/>
        <v>33.1</v>
      </c>
      <c r="AN131" s="17">
        <f t="shared" si="312"/>
        <v>35.200000000000003</v>
      </c>
      <c r="AO131" s="17">
        <f t="shared" si="312"/>
        <v>40.9</v>
      </c>
      <c r="AP131" s="17">
        <f t="shared" si="312"/>
        <v>44</v>
      </c>
      <c r="AQ131" s="17">
        <f t="shared" si="312"/>
        <v>48.2</v>
      </c>
      <c r="AR131" s="17">
        <f>SUM(AR128:AR130)</f>
        <v>44.6</v>
      </c>
      <c r="AS131" s="17">
        <f>SUM(AS128:AS130)</f>
        <v>45.7</v>
      </c>
      <c r="AT131" s="17">
        <f>SUM(AT128:AT130)</f>
        <v>47.1</v>
      </c>
      <c r="AU131" s="17">
        <f t="shared" ref="AU131:AV131" si="313">SUM(AU128:AU130)</f>
        <v>47.5</v>
      </c>
      <c r="AV131" s="17">
        <f t="shared" si="313"/>
        <v>48.1</v>
      </c>
      <c r="AW131" s="17">
        <f t="shared" ref="AW131:AX131" si="314">SUM(AW128:AW130)</f>
        <v>48.4</v>
      </c>
      <c r="AX131" s="17">
        <f t="shared" si="314"/>
        <v>48.6</v>
      </c>
      <c r="AY131" s="17">
        <f t="shared" ref="AY131:AZ131" si="315">SUM(AY128:AY130)</f>
        <v>49.5</v>
      </c>
      <c r="AZ131" s="17">
        <f t="shared" si="315"/>
        <v>50.5</v>
      </c>
      <c r="BA131" s="17">
        <f t="shared" ref="BA131:BB131" si="316">SUM(BA128:BA130)</f>
        <v>51</v>
      </c>
      <c r="BB131" s="17">
        <f t="shared" si="316"/>
        <v>51.5</v>
      </c>
      <c r="BC131" s="17">
        <f t="shared" ref="BC131:BI131" si="317">SUM(BC128:BC130)</f>
        <v>52.8</v>
      </c>
      <c r="BD131" s="17">
        <f t="shared" si="317"/>
        <v>54.1</v>
      </c>
      <c r="BE131" s="17">
        <f t="shared" si="317"/>
        <v>54.7</v>
      </c>
      <c r="BF131" s="17">
        <f t="shared" si="317"/>
        <v>55.4</v>
      </c>
      <c r="BG131" s="17">
        <f t="shared" si="317"/>
        <v>56.5</v>
      </c>
      <c r="BH131" s="17">
        <f t="shared" si="317"/>
        <v>57</v>
      </c>
      <c r="BI131" s="17">
        <f t="shared" si="317"/>
        <v>57.5</v>
      </c>
      <c r="BJ131" s="17">
        <f t="shared" ref="BJ131" si="318">SUM(BJ128:BJ130)</f>
        <v>57.4</v>
      </c>
      <c r="BK131" s="17">
        <f>SUM(BK128:BK130)</f>
        <v>58.5</v>
      </c>
      <c r="BL131" s="17">
        <f>SUM(BL128:BL130)</f>
        <v>57</v>
      </c>
    </row>
    <row r="132" spans="2:64" x14ac:dyDescent="0.25">
      <c r="B132" s="19"/>
      <c r="C132" s="16"/>
      <c r="D132" s="16"/>
      <c r="E132" s="49" t="s">
        <v>57</v>
      </c>
      <c r="F132" s="16"/>
      <c r="G132" s="16">
        <f>SUM(G128:G129)</f>
        <v>70.8</v>
      </c>
      <c r="H132" s="16"/>
      <c r="I132" s="17">
        <f t="shared" ref="I132:S132" si="319">53-I131</f>
        <v>20.14</v>
      </c>
      <c r="J132" s="17">
        <f t="shared" si="319"/>
        <v>19.61</v>
      </c>
      <c r="K132" s="17">
        <f t="shared" si="319"/>
        <v>18.920999999999999</v>
      </c>
      <c r="L132" s="17">
        <f t="shared" si="319"/>
        <v>13.25</v>
      </c>
      <c r="M132" s="17">
        <f t="shared" si="319"/>
        <v>12.700000000000003</v>
      </c>
      <c r="N132" s="17">
        <f t="shared" si="319"/>
        <v>22.5</v>
      </c>
      <c r="O132" s="17">
        <f t="shared" si="319"/>
        <v>24.6</v>
      </c>
      <c r="P132" s="17">
        <f t="shared" si="319"/>
        <v>24.7</v>
      </c>
      <c r="Q132" s="17">
        <f t="shared" si="319"/>
        <v>24.7</v>
      </c>
      <c r="R132" s="17">
        <f t="shared" si="319"/>
        <v>24.9</v>
      </c>
      <c r="S132" s="17">
        <f t="shared" si="319"/>
        <v>24.8</v>
      </c>
      <c r="T132" s="17">
        <f>88.4-T131</f>
        <v>60.400000000000006</v>
      </c>
      <c r="U132" s="17">
        <f>88.4-U131</f>
        <v>62.400000000000006</v>
      </c>
      <c r="V132" s="17">
        <f t="shared" ref="V132:AB132" si="320">$G$132-V131</f>
        <v>44.9</v>
      </c>
      <c r="W132" s="17">
        <f t="shared" si="320"/>
        <v>45.699999999999996</v>
      </c>
      <c r="X132" s="17">
        <f t="shared" si="320"/>
        <v>45.4</v>
      </c>
      <c r="Y132" s="17">
        <f t="shared" si="320"/>
        <v>45</v>
      </c>
      <c r="Z132" s="17">
        <f t="shared" si="320"/>
        <v>43.3</v>
      </c>
      <c r="AA132" s="17">
        <f t="shared" si="320"/>
        <v>40.4</v>
      </c>
      <c r="AB132" s="17">
        <f t="shared" si="320"/>
        <v>39</v>
      </c>
      <c r="AC132" s="17">
        <f t="shared" ref="AC132" si="321">$G$132-AC131</f>
        <v>37.799999999999997</v>
      </c>
      <c r="AD132" s="17">
        <f t="shared" ref="AD132:AJ132" si="322">$G$132-AD131</f>
        <v>38</v>
      </c>
      <c r="AE132" s="17">
        <f t="shared" si="322"/>
        <v>36.599999999999994</v>
      </c>
      <c r="AF132" s="17">
        <f t="shared" si="322"/>
        <v>35.5</v>
      </c>
      <c r="AG132" s="17">
        <f t="shared" si="322"/>
        <v>36.599999999999994</v>
      </c>
      <c r="AH132" s="17">
        <f t="shared" si="322"/>
        <v>36.599999999999994</v>
      </c>
      <c r="AI132" s="17">
        <f t="shared" si="322"/>
        <v>36</v>
      </c>
      <c r="AJ132" s="17">
        <f t="shared" si="322"/>
        <v>35.5</v>
      </c>
      <c r="AK132" s="17">
        <f t="shared" ref="AK132" si="323">$G$132-AK131</f>
        <v>36.799999999999997</v>
      </c>
      <c r="AL132" s="17">
        <f t="shared" ref="AL132:AQ132" si="324">$G$132-AL131</f>
        <v>37.9</v>
      </c>
      <c r="AM132" s="17">
        <f t="shared" si="324"/>
        <v>37.699999999999996</v>
      </c>
      <c r="AN132" s="17">
        <f t="shared" si="324"/>
        <v>35.599999999999994</v>
      </c>
      <c r="AO132" s="17">
        <f t="shared" si="324"/>
        <v>29.9</v>
      </c>
      <c r="AP132" s="17">
        <f t="shared" si="324"/>
        <v>26.799999999999997</v>
      </c>
      <c r="AQ132" s="17">
        <f t="shared" si="324"/>
        <v>22.599999999999994</v>
      </c>
      <c r="AR132" s="17">
        <f>$G$132-AR131</f>
        <v>26.199999999999996</v>
      </c>
      <c r="AS132" s="17">
        <f>$G$132-AS131</f>
        <v>25.099999999999994</v>
      </c>
      <c r="AT132" s="17">
        <f>$G$132-AT131</f>
        <v>23.699999999999996</v>
      </c>
      <c r="AU132" s="17">
        <f t="shared" ref="AU132:AV132" si="325">$G$132-AU131</f>
        <v>23.299999999999997</v>
      </c>
      <c r="AV132" s="17">
        <f t="shared" si="325"/>
        <v>22.699999999999996</v>
      </c>
      <c r="AW132" s="17">
        <f t="shared" ref="AW132:AX132" si="326">$G$132-AW131</f>
        <v>22.4</v>
      </c>
      <c r="AX132" s="17">
        <f t="shared" si="326"/>
        <v>22.199999999999996</v>
      </c>
      <c r="AY132" s="17">
        <f t="shared" ref="AY132" si="327">$G$132-AY131</f>
        <v>21.299999999999997</v>
      </c>
      <c r="AZ132" s="17">
        <f t="shared" ref="AZ132:BE132" si="328">$G$132-AZ131</f>
        <v>20.299999999999997</v>
      </c>
      <c r="BA132" s="17">
        <f t="shared" si="328"/>
        <v>19.799999999999997</v>
      </c>
      <c r="BB132" s="17">
        <f t="shared" si="328"/>
        <v>19.299999999999997</v>
      </c>
      <c r="BC132" s="17">
        <f t="shared" si="328"/>
        <v>18</v>
      </c>
      <c r="BD132" s="17">
        <f t="shared" si="328"/>
        <v>16.699999999999996</v>
      </c>
      <c r="BE132" s="17">
        <f t="shared" si="328"/>
        <v>16.099999999999994</v>
      </c>
      <c r="BF132" s="17">
        <f t="shared" ref="BF132:BK132" si="329">$G$132-BF131</f>
        <v>15.399999999999999</v>
      </c>
      <c r="BG132" s="17">
        <f t="shared" si="329"/>
        <v>14.299999999999997</v>
      </c>
      <c r="BH132" s="17">
        <f t="shared" si="329"/>
        <v>13.799999999999997</v>
      </c>
      <c r="BI132" s="17">
        <f t="shared" si="329"/>
        <v>13.299999999999997</v>
      </c>
      <c r="BJ132" s="17">
        <f t="shared" si="329"/>
        <v>13.399999999999999</v>
      </c>
      <c r="BK132" s="17">
        <f t="shared" si="329"/>
        <v>12.299999999999997</v>
      </c>
      <c r="BL132" s="17">
        <f>$G$132-BL131</f>
        <v>13.799999999999997</v>
      </c>
    </row>
    <row r="133" spans="2:64" ht="15.75" thickBot="1" x14ac:dyDescent="0.3">
      <c r="B133" s="20"/>
      <c r="C133" s="21"/>
      <c r="D133" s="21"/>
      <c r="E133" s="22" t="s">
        <v>59</v>
      </c>
      <c r="F133" s="22"/>
      <c r="G133" s="22">
        <f>G132+19.2</f>
        <v>90</v>
      </c>
      <c r="H133" s="22"/>
      <c r="I133" s="23">
        <f t="shared" ref="I133:S133" si="330">I131/53</f>
        <v>0.62</v>
      </c>
      <c r="J133" s="23">
        <f t="shared" si="330"/>
        <v>0.63</v>
      </c>
      <c r="K133" s="23">
        <f t="shared" si="330"/>
        <v>0.64300000000000002</v>
      </c>
      <c r="L133" s="23">
        <f t="shared" si="330"/>
        <v>0.75</v>
      </c>
      <c r="M133" s="23">
        <f t="shared" si="330"/>
        <v>0.76037735849056598</v>
      </c>
      <c r="N133" s="23">
        <f t="shared" si="330"/>
        <v>0.57547169811320753</v>
      </c>
      <c r="O133" s="23">
        <f t="shared" si="330"/>
        <v>0.53584905660377358</v>
      </c>
      <c r="P133" s="23">
        <f t="shared" si="330"/>
        <v>0.53396226415094339</v>
      </c>
      <c r="Q133" s="23">
        <f t="shared" si="330"/>
        <v>0.53396226415094339</v>
      </c>
      <c r="R133" s="23">
        <f t="shared" si="330"/>
        <v>0.53018867924528301</v>
      </c>
      <c r="S133" s="23">
        <f t="shared" si="330"/>
        <v>0.5320754716981132</v>
      </c>
      <c r="T133" s="23">
        <f>T131/88.4</f>
        <v>0.31674208144796379</v>
      </c>
      <c r="U133" s="23">
        <f>U131/88.4</f>
        <v>0.29411764705882348</v>
      </c>
      <c r="V133" s="23">
        <f>V131/$G$132</f>
        <v>0.36581920903954801</v>
      </c>
      <c r="W133" s="23">
        <f>W131/35.4</f>
        <v>0.70903954802259894</v>
      </c>
      <c r="X133" s="23">
        <f>X131/35.4</f>
        <v>0.71751412429378525</v>
      </c>
      <c r="Y133" s="23">
        <f>Y131/35.4</f>
        <v>0.72881355932203395</v>
      </c>
      <c r="Z133" s="23">
        <f t="shared" ref="Z133:AE133" si="331">Z131/70.7</f>
        <v>0.38896746817538896</v>
      </c>
      <c r="AA133" s="23">
        <f t="shared" si="331"/>
        <v>0.42998585572842996</v>
      </c>
      <c r="AB133" s="23">
        <f t="shared" si="331"/>
        <v>0.44978783592644977</v>
      </c>
      <c r="AC133" s="23">
        <f t="shared" si="331"/>
        <v>0.46676096181046672</v>
      </c>
      <c r="AD133" s="23">
        <f t="shared" si="331"/>
        <v>0.46393210749646385</v>
      </c>
      <c r="AE133" s="23">
        <f t="shared" si="331"/>
        <v>0.48373408769448373</v>
      </c>
      <c r="AF133" s="23">
        <f t="shared" ref="AF133:AK133" si="332">AF131/70.7</f>
        <v>0.49929278642149921</v>
      </c>
      <c r="AG133" s="23">
        <f t="shared" si="332"/>
        <v>0.48373408769448373</v>
      </c>
      <c r="AH133" s="23">
        <f t="shared" si="332"/>
        <v>0.48373408769448373</v>
      </c>
      <c r="AI133" s="23">
        <f t="shared" si="332"/>
        <v>0.49222065063649217</v>
      </c>
      <c r="AJ133" s="23">
        <f t="shared" si="332"/>
        <v>0.49929278642149921</v>
      </c>
      <c r="AK133" s="23">
        <f t="shared" si="332"/>
        <v>0.48090523338048091</v>
      </c>
      <c r="AL133" s="23">
        <f t="shared" ref="AL133:AQ133" si="333">AL131/70.7</f>
        <v>0.46534653465346532</v>
      </c>
      <c r="AM133" s="23">
        <f t="shared" si="333"/>
        <v>0.46817538896746819</v>
      </c>
      <c r="AN133" s="23">
        <f t="shared" si="333"/>
        <v>0.49787835926449792</v>
      </c>
      <c r="AO133" s="23">
        <f t="shared" si="333"/>
        <v>0.57850070721357849</v>
      </c>
      <c r="AP133" s="23">
        <f t="shared" si="333"/>
        <v>0.6223479490806223</v>
      </c>
      <c r="AQ133" s="114">
        <f t="shared" si="333"/>
        <v>0.68175388967468176</v>
      </c>
      <c r="AR133" s="23">
        <f>AR131/70.7</f>
        <v>0.63083451202263086</v>
      </c>
      <c r="AS133" s="23">
        <f>AS131/70.7</f>
        <v>0.6463932107496464</v>
      </c>
      <c r="AT133" s="23">
        <f>AT131/70.7</f>
        <v>0.66619519094766622</v>
      </c>
      <c r="AU133" s="23">
        <f t="shared" ref="AU133:AV133" si="334">AU131/70.7</f>
        <v>0.67185289957567185</v>
      </c>
      <c r="AV133" s="23">
        <f t="shared" si="334"/>
        <v>0.68033946251768029</v>
      </c>
      <c r="AW133" s="23">
        <f t="shared" ref="AW133:AX133" si="335">AW131/70.7</f>
        <v>0.68458274398868457</v>
      </c>
      <c r="AX133" s="23">
        <f t="shared" si="335"/>
        <v>0.68741159830268739</v>
      </c>
      <c r="AY133" s="23">
        <f t="shared" ref="AY133" si="336">AY131/70.7</f>
        <v>0.70014144271570011</v>
      </c>
      <c r="AZ133" s="23">
        <f t="shared" ref="AZ133:BE133" si="337">AZ131/90</f>
        <v>0.56111111111111112</v>
      </c>
      <c r="BA133" s="23">
        <f t="shared" si="337"/>
        <v>0.56666666666666665</v>
      </c>
      <c r="BB133" s="23">
        <f t="shared" si="337"/>
        <v>0.57222222222222219</v>
      </c>
      <c r="BC133" s="23">
        <f t="shared" si="337"/>
        <v>0.58666666666666667</v>
      </c>
      <c r="BD133" s="23">
        <f t="shared" si="337"/>
        <v>0.60111111111111115</v>
      </c>
      <c r="BE133" s="23">
        <f t="shared" si="337"/>
        <v>0.60777777777777786</v>
      </c>
      <c r="BF133" s="23">
        <f t="shared" ref="BF133:BK133" si="338">BF131/90</f>
        <v>0.61555555555555552</v>
      </c>
      <c r="BG133" s="23">
        <f t="shared" si="338"/>
        <v>0.62777777777777777</v>
      </c>
      <c r="BH133" s="23">
        <f t="shared" si="338"/>
        <v>0.6333333333333333</v>
      </c>
      <c r="BI133" s="23">
        <f t="shared" si="338"/>
        <v>0.63888888888888884</v>
      </c>
      <c r="BJ133" s="23">
        <f t="shared" si="338"/>
        <v>0.63777777777777778</v>
      </c>
      <c r="BK133" s="23">
        <f t="shared" si="338"/>
        <v>0.65</v>
      </c>
      <c r="BL133" s="23">
        <f t="shared" ref="BL133" si="339">BL131/90</f>
        <v>0.6333333333333333</v>
      </c>
    </row>
    <row r="134" spans="2:64" ht="15.75" thickBot="1" x14ac:dyDescent="0.3">
      <c r="I134" s="8"/>
      <c r="J134" s="8"/>
      <c r="K134" s="8"/>
      <c r="L134" s="8"/>
      <c r="M134" s="8"/>
      <c r="N134" s="8"/>
      <c r="O134" s="8"/>
      <c r="P134" s="8"/>
      <c r="Q134" s="8"/>
      <c r="R134" s="8"/>
      <c r="S134" s="8"/>
      <c r="T134" s="8"/>
      <c r="U134" s="8"/>
      <c r="V134" s="8"/>
      <c r="W134" s="8"/>
      <c r="X134" s="8"/>
      <c r="Y134" s="8"/>
      <c r="Z134" s="8"/>
      <c r="AA134" s="8"/>
      <c r="AB134" s="8"/>
      <c r="AC134" s="8"/>
      <c r="AD134" s="8"/>
      <c r="AE134" s="8"/>
      <c r="AF134" s="8"/>
      <c r="AG134" s="8"/>
      <c r="AH134" s="8"/>
      <c r="AI134" s="8"/>
      <c r="AJ134" s="8"/>
      <c r="AK134" s="8"/>
      <c r="AL134" s="8"/>
      <c r="AM134" s="8"/>
      <c r="AN134" s="8"/>
      <c r="AO134" s="8"/>
      <c r="AP134" s="8"/>
      <c r="AQ134" s="8"/>
      <c r="AR134" s="8"/>
      <c r="AS134" s="8"/>
      <c r="AT134" s="8"/>
      <c r="AU134" s="8"/>
      <c r="AV134" s="8"/>
      <c r="AW134" s="8"/>
      <c r="AX134" s="8"/>
      <c r="AY134" s="8"/>
      <c r="AZ134" s="8"/>
      <c r="BA134" s="8"/>
      <c r="BB134" s="8"/>
      <c r="BC134" s="8"/>
      <c r="BD134" s="8"/>
      <c r="BE134" s="8"/>
    </row>
    <row r="135" spans="2:64" x14ac:dyDescent="0.25">
      <c r="B135" s="43" t="s">
        <v>113</v>
      </c>
      <c r="C135" s="10" t="s">
        <v>108</v>
      </c>
      <c r="D135" s="10" t="s">
        <v>105</v>
      </c>
      <c r="E135" s="10" t="s">
        <v>109</v>
      </c>
      <c r="F135" s="10"/>
      <c r="G135" s="27"/>
      <c r="H135" s="10"/>
      <c r="I135" s="10">
        <f>51.4*0.6</f>
        <v>30.839999999999996</v>
      </c>
      <c r="J135" s="10">
        <f>51.4*0.61</f>
        <v>31.353999999999999</v>
      </c>
      <c r="K135" s="10">
        <f>51.4*0.622</f>
        <v>31.970800000000001</v>
      </c>
      <c r="L135" s="10">
        <f>51.4*0.64</f>
        <v>32.896000000000001</v>
      </c>
      <c r="M135" s="10">
        <v>32.9</v>
      </c>
      <c r="N135" s="10">
        <v>28.6</v>
      </c>
      <c r="O135" s="10">
        <v>28.8</v>
      </c>
      <c r="P135" s="10">
        <v>29.1</v>
      </c>
      <c r="Q135" s="10">
        <v>29.2</v>
      </c>
      <c r="R135" s="10">
        <v>29.7</v>
      </c>
      <c r="S135" s="10">
        <v>29.8</v>
      </c>
      <c r="T135" s="10">
        <v>30.1</v>
      </c>
      <c r="U135" s="10">
        <v>30</v>
      </c>
      <c r="V135" s="10">
        <v>30.2</v>
      </c>
      <c r="W135" s="10">
        <v>30.8</v>
      </c>
      <c r="X135" s="10">
        <v>31</v>
      </c>
      <c r="Y135" s="10">
        <v>31</v>
      </c>
      <c r="Z135" s="10">
        <v>30.3</v>
      </c>
      <c r="AA135" s="10">
        <v>30.6</v>
      </c>
      <c r="AB135" s="10">
        <v>30.8</v>
      </c>
      <c r="AC135" s="10">
        <v>30.2</v>
      </c>
      <c r="AD135" s="10">
        <v>30.4</v>
      </c>
      <c r="AE135" s="10">
        <v>30.6</v>
      </c>
      <c r="AF135" s="10">
        <v>30.6</v>
      </c>
      <c r="AG135" s="10">
        <v>30.5</v>
      </c>
      <c r="AH135" s="10">
        <v>30.6</v>
      </c>
      <c r="AI135" s="10">
        <v>30.9</v>
      </c>
      <c r="AJ135" s="10">
        <v>31</v>
      </c>
      <c r="AK135" s="10">
        <v>30.9</v>
      </c>
      <c r="AL135" s="10">
        <v>30.8</v>
      </c>
      <c r="AM135" s="10">
        <v>31.1</v>
      </c>
      <c r="AN135" s="10">
        <v>30.8</v>
      </c>
      <c r="AO135" s="10">
        <v>31</v>
      </c>
      <c r="AP135" s="10">
        <v>31.1</v>
      </c>
      <c r="AQ135" s="10">
        <v>31.2</v>
      </c>
      <c r="AR135" s="10">
        <v>31.4</v>
      </c>
      <c r="AS135" s="10">
        <v>31.5</v>
      </c>
      <c r="AT135" s="10">
        <v>31.4</v>
      </c>
      <c r="AU135" s="10">
        <v>31.5</v>
      </c>
      <c r="AV135" s="10">
        <v>31.7</v>
      </c>
      <c r="AW135" s="10">
        <v>31.9</v>
      </c>
      <c r="AX135" s="10">
        <v>31.9</v>
      </c>
      <c r="AY135" s="10">
        <v>32.1</v>
      </c>
      <c r="AZ135" s="10">
        <v>31.3</v>
      </c>
      <c r="BA135" s="10">
        <v>31.8</v>
      </c>
      <c r="BB135" s="10">
        <v>32.200000000000003</v>
      </c>
      <c r="BC135" s="10">
        <v>32.1</v>
      </c>
      <c r="BD135">
        <v>32.200000000000003</v>
      </c>
      <c r="BE135">
        <v>32.299999999999997</v>
      </c>
      <c r="BF135">
        <v>31.9</v>
      </c>
      <c r="BG135">
        <v>31.4</v>
      </c>
      <c r="BH135">
        <v>31.4</v>
      </c>
      <c r="BI135">
        <v>31.8</v>
      </c>
      <c r="BJ135">
        <v>31.9</v>
      </c>
      <c r="BK135">
        <v>31.7</v>
      </c>
      <c r="BL135">
        <v>31.6</v>
      </c>
    </row>
    <row r="136" spans="2:64" ht="5.25" customHeight="1" x14ac:dyDescent="0.25">
      <c r="B136" s="33"/>
      <c r="C136" s="34"/>
      <c r="D136" s="34"/>
      <c r="E136" s="34"/>
      <c r="F136" s="34"/>
      <c r="G136" s="34"/>
      <c r="H136" s="34"/>
      <c r="I136" s="47"/>
      <c r="J136" s="47"/>
      <c r="K136" s="47"/>
      <c r="L136" s="47"/>
      <c r="M136" s="47"/>
      <c r="N136" s="47"/>
      <c r="O136" s="47"/>
      <c r="P136" s="47"/>
      <c r="Q136" s="47"/>
      <c r="R136" s="47"/>
      <c r="S136" s="47"/>
      <c r="T136" s="47"/>
      <c r="U136" s="47"/>
      <c r="V136" s="47"/>
      <c r="W136" s="47"/>
      <c r="X136" s="47"/>
      <c r="Y136" s="47"/>
      <c r="Z136" s="47"/>
      <c r="AA136" s="47"/>
      <c r="AB136" s="47"/>
      <c r="AC136" s="47"/>
      <c r="AD136" s="47"/>
      <c r="AE136" s="47"/>
      <c r="AF136" s="47"/>
      <c r="AG136" s="34"/>
      <c r="AH136" s="34"/>
      <c r="AI136" s="34"/>
      <c r="AJ136" s="34"/>
      <c r="AK136" s="34"/>
      <c r="AL136" s="34"/>
      <c r="AM136" s="34"/>
      <c r="AN136" s="34"/>
      <c r="AO136" s="34"/>
      <c r="AP136" s="34"/>
      <c r="AQ136" s="34"/>
      <c r="AR136" s="34"/>
      <c r="AS136" s="34"/>
      <c r="AT136" s="34"/>
      <c r="AU136" s="34"/>
      <c r="AV136" s="34"/>
      <c r="AW136" s="34"/>
      <c r="AX136" s="34"/>
      <c r="AY136" s="34"/>
      <c r="AZ136" s="34"/>
      <c r="BA136" s="34"/>
      <c r="BB136" s="34"/>
      <c r="BC136" s="34"/>
      <c r="BD136" s="34"/>
      <c r="BE136" s="34"/>
    </row>
    <row r="137" spans="2:64" x14ac:dyDescent="0.25">
      <c r="B137" s="14"/>
      <c r="E137" s="16" t="s">
        <v>55</v>
      </c>
      <c r="F137" s="16"/>
      <c r="G137" s="48"/>
      <c r="H137" s="16"/>
      <c r="I137" s="17">
        <f t="shared" ref="I137:N137" si="340">SUM(I135:I136)</f>
        <v>30.839999999999996</v>
      </c>
      <c r="J137" s="17">
        <f t="shared" si="340"/>
        <v>31.353999999999999</v>
      </c>
      <c r="K137" s="17">
        <f t="shared" si="340"/>
        <v>31.970800000000001</v>
      </c>
      <c r="L137" s="17">
        <f t="shared" si="340"/>
        <v>32.896000000000001</v>
      </c>
      <c r="M137" s="17">
        <f t="shared" si="340"/>
        <v>32.9</v>
      </c>
      <c r="N137" s="17">
        <f t="shared" si="340"/>
        <v>28.6</v>
      </c>
      <c r="O137" s="17">
        <f t="shared" ref="O137:T137" si="341">SUM(O135:O136)</f>
        <v>28.8</v>
      </c>
      <c r="P137" s="17">
        <f t="shared" si="341"/>
        <v>29.1</v>
      </c>
      <c r="Q137" s="17">
        <f t="shared" si="341"/>
        <v>29.2</v>
      </c>
      <c r="R137" s="17">
        <f t="shared" si="341"/>
        <v>29.7</v>
      </c>
      <c r="S137" s="17">
        <f t="shared" si="341"/>
        <v>29.8</v>
      </c>
      <c r="T137" s="17">
        <f t="shared" si="341"/>
        <v>30.1</v>
      </c>
      <c r="U137" s="17">
        <f t="shared" ref="U137" si="342">SUM(U135:U136)</f>
        <v>30</v>
      </c>
      <c r="V137" s="17">
        <f t="shared" ref="V137:AB137" si="343">SUM(V135:V136)</f>
        <v>30.2</v>
      </c>
      <c r="W137" s="17">
        <f t="shared" si="343"/>
        <v>30.8</v>
      </c>
      <c r="X137" s="17">
        <f t="shared" si="343"/>
        <v>31</v>
      </c>
      <c r="Y137" s="17">
        <f t="shared" si="343"/>
        <v>31</v>
      </c>
      <c r="Z137" s="17">
        <f t="shared" si="343"/>
        <v>30.3</v>
      </c>
      <c r="AA137" s="17">
        <f t="shared" si="343"/>
        <v>30.6</v>
      </c>
      <c r="AB137" s="17">
        <f t="shared" si="343"/>
        <v>30.8</v>
      </c>
      <c r="AC137" s="17">
        <f t="shared" ref="AC137" si="344">SUM(AC135:AC136)</f>
        <v>30.2</v>
      </c>
      <c r="AD137" s="17">
        <f t="shared" ref="AD137:AJ137" si="345">SUM(AD135:AD136)</f>
        <v>30.4</v>
      </c>
      <c r="AE137" s="17">
        <f t="shared" si="345"/>
        <v>30.6</v>
      </c>
      <c r="AF137" s="17">
        <f t="shared" si="345"/>
        <v>30.6</v>
      </c>
      <c r="AG137" s="17">
        <f t="shared" si="345"/>
        <v>30.5</v>
      </c>
      <c r="AH137" s="17">
        <f t="shared" si="345"/>
        <v>30.6</v>
      </c>
      <c r="AI137" s="17">
        <f t="shared" si="345"/>
        <v>30.9</v>
      </c>
      <c r="AJ137" s="17">
        <f t="shared" si="345"/>
        <v>31</v>
      </c>
      <c r="AK137" s="17">
        <f t="shared" ref="AK137" si="346">SUM(AK135:AK136)</f>
        <v>30.9</v>
      </c>
      <c r="AL137" s="17">
        <f t="shared" ref="AL137:AQ137" si="347">SUM(AL135:AL136)</f>
        <v>30.8</v>
      </c>
      <c r="AM137" s="17">
        <f t="shared" si="347"/>
        <v>31.1</v>
      </c>
      <c r="AN137" s="17">
        <f t="shared" si="347"/>
        <v>30.8</v>
      </c>
      <c r="AO137" s="17">
        <f t="shared" si="347"/>
        <v>31</v>
      </c>
      <c r="AP137" s="17">
        <f t="shared" si="347"/>
        <v>31.1</v>
      </c>
      <c r="AQ137" s="17">
        <f t="shared" si="347"/>
        <v>31.2</v>
      </c>
      <c r="AR137" s="17">
        <f>SUM(AR135:AR136)</f>
        <v>31.4</v>
      </c>
      <c r="AS137" s="17">
        <f>SUM(AS135:AS136)</f>
        <v>31.5</v>
      </c>
      <c r="AT137" s="17">
        <f>SUM(AT135:AT136)</f>
        <v>31.4</v>
      </c>
      <c r="AU137" s="17">
        <f t="shared" ref="AU137:AV137" si="348">SUM(AU135:AU136)</f>
        <v>31.5</v>
      </c>
      <c r="AV137" s="17">
        <f t="shared" si="348"/>
        <v>31.7</v>
      </c>
      <c r="AW137" s="17">
        <f t="shared" ref="AW137:AX137" si="349">SUM(AW135:AW136)</f>
        <v>31.9</v>
      </c>
      <c r="AX137" s="17">
        <f t="shared" si="349"/>
        <v>31.9</v>
      </c>
      <c r="AY137" s="17">
        <f t="shared" ref="AY137:AZ137" si="350">SUM(AY135:AY136)</f>
        <v>32.1</v>
      </c>
      <c r="AZ137" s="17">
        <f t="shared" si="350"/>
        <v>31.3</v>
      </c>
      <c r="BA137" s="17">
        <f t="shared" ref="BA137:BB137" si="351">SUM(BA135:BA136)</f>
        <v>31.8</v>
      </c>
      <c r="BB137" s="17">
        <f t="shared" si="351"/>
        <v>32.200000000000003</v>
      </c>
      <c r="BC137" s="17">
        <f t="shared" ref="BC137" si="352">SUM(BC135:BC136)</f>
        <v>32.1</v>
      </c>
      <c r="BD137" s="17">
        <f t="shared" ref="BD137:BJ137" si="353">SUM(BD135:BD136)</f>
        <v>32.200000000000003</v>
      </c>
      <c r="BE137" s="17">
        <f t="shared" si="353"/>
        <v>32.299999999999997</v>
      </c>
      <c r="BF137" s="17">
        <f t="shared" si="353"/>
        <v>31.9</v>
      </c>
      <c r="BG137" s="17">
        <f t="shared" si="353"/>
        <v>31.4</v>
      </c>
      <c r="BH137" s="17">
        <f t="shared" si="353"/>
        <v>31.4</v>
      </c>
      <c r="BI137" s="17">
        <f t="shared" si="353"/>
        <v>31.8</v>
      </c>
      <c r="BJ137" s="17">
        <f t="shared" si="353"/>
        <v>31.9</v>
      </c>
      <c r="BK137" s="17">
        <f>SUM(BK135:BK136)</f>
        <v>31.7</v>
      </c>
      <c r="BL137" s="17">
        <f>SUM(BL135:BL136)</f>
        <v>31.6</v>
      </c>
    </row>
    <row r="138" spans="2:64" x14ac:dyDescent="0.25">
      <c r="B138" s="19"/>
      <c r="C138" s="16"/>
      <c r="D138" s="16"/>
      <c r="E138" s="49" t="s">
        <v>57</v>
      </c>
      <c r="F138" s="16"/>
      <c r="G138" s="16">
        <v>51.4</v>
      </c>
      <c r="H138" s="16"/>
      <c r="I138" s="17">
        <f>$G$132-I137</f>
        <v>39.96</v>
      </c>
      <c r="J138" s="17">
        <f t="shared" ref="J138" si="354">$G$132-J137</f>
        <v>39.445999999999998</v>
      </c>
      <c r="K138" s="17">
        <f t="shared" ref="K138" si="355">$G$132-K137</f>
        <v>38.8292</v>
      </c>
      <c r="L138" s="17">
        <f t="shared" ref="L138" si="356">$G$132-L137</f>
        <v>37.903999999999996</v>
      </c>
      <c r="M138" s="17">
        <f t="shared" ref="M138" si="357">$G$132-M137</f>
        <v>37.9</v>
      </c>
      <c r="N138" s="17">
        <f t="shared" ref="N138" si="358">$G$132-N137</f>
        <v>42.199999999999996</v>
      </c>
      <c r="O138" s="17">
        <f t="shared" ref="O138:T138" si="359">$G$132-O137</f>
        <v>42</v>
      </c>
      <c r="P138" s="17">
        <f t="shared" si="359"/>
        <v>41.699999999999996</v>
      </c>
      <c r="Q138" s="17">
        <f t="shared" si="359"/>
        <v>41.599999999999994</v>
      </c>
      <c r="R138" s="17">
        <f t="shared" si="359"/>
        <v>41.099999999999994</v>
      </c>
      <c r="S138" s="17">
        <f t="shared" si="359"/>
        <v>41</v>
      </c>
      <c r="T138" s="17">
        <f t="shared" si="359"/>
        <v>40.699999999999996</v>
      </c>
      <c r="U138" s="17">
        <f t="shared" ref="U138" si="360">$G$132-U137</f>
        <v>40.799999999999997</v>
      </c>
      <c r="V138" s="17">
        <f t="shared" ref="V138:AB138" si="361">$G$132-V137</f>
        <v>40.599999999999994</v>
      </c>
      <c r="W138" s="17">
        <f t="shared" si="361"/>
        <v>40</v>
      </c>
      <c r="X138" s="17">
        <f t="shared" si="361"/>
        <v>39.799999999999997</v>
      </c>
      <c r="Y138" s="17">
        <f t="shared" si="361"/>
        <v>39.799999999999997</v>
      </c>
      <c r="Z138" s="17">
        <f t="shared" si="361"/>
        <v>40.5</v>
      </c>
      <c r="AA138" s="17">
        <f t="shared" si="361"/>
        <v>40.199999999999996</v>
      </c>
      <c r="AB138" s="17">
        <f t="shared" si="361"/>
        <v>40</v>
      </c>
      <c r="AC138" s="17">
        <f t="shared" ref="AC138" si="362">$G$132-AC137</f>
        <v>40.599999999999994</v>
      </c>
      <c r="AD138" s="17">
        <f t="shared" ref="AD138:AJ138" si="363">$G$132-AD137</f>
        <v>40.4</v>
      </c>
      <c r="AE138" s="17">
        <f t="shared" si="363"/>
        <v>40.199999999999996</v>
      </c>
      <c r="AF138" s="17">
        <f t="shared" si="363"/>
        <v>40.199999999999996</v>
      </c>
      <c r="AG138" s="17">
        <f t="shared" si="363"/>
        <v>40.299999999999997</v>
      </c>
      <c r="AH138" s="17">
        <f t="shared" si="363"/>
        <v>40.199999999999996</v>
      </c>
      <c r="AI138" s="17">
        <f t="shared" si="363"/>
        <v>39.9</v>
      </c>
      <c r="AJ138" s="17">
        <f t="shared" si="363"/>
        <v>39.799999999999997</v>
      </c>
      <c r="AK138" s="17">
        <f t="shared" ref="AK138" si="364">$G$132-AK137</f>
        <v>39.9</v>
      </c>
      <c r="AL138" s="17">
        <f t="shared" ref="AL138:AQ138" si="365">$G$132-AL137</f>
        <v>40</v>
      </c>
      <c r="AM138" s="17">
        <f t="shared" si="365"/>
        <v>39.699999999999996</v>
      </c>
      <c r="AN138" s="17">
        <f t="shared" si="365"/>
        <v>40</v>
      </c>
      <c r="AO138" s="17">
        <f t="shared" si="365"/>
        <v>39.799999999999997</v>
      </c>
      <c r="AP138" s="17">
        <f t="shared" si="365"/>
        <v>39.699999999999996</v>
      </c>
      <c r="AQ138" s="17">
        <f t="shared" si="365"/>
        <v>39.599999999999994</v>
      </c>
      <c r="AR138" s="17">
        <f>$G$132-AR137</f>
        <v>39.4</v>
      </c>
      <c r="AS138" s="17">
        <f>$G$132-AS137</f>
        <v>39.299999999999997</v>
      </c>
      <c r="AT138" s="17">
        <f>$G$132-AT137</f>
        <v>39.4</v>
      </c>
      <c r="AU138" s="17">
        <f t="shared" ref="AU138:AV138" si="366">$G$132-AU137</f>
        <v>39.299999999999997</v>
      </c>
      <c r="AV138" s="17">
        <f t="shared" si="366"/>
        <v>39.099999999999994</v>
      </c>
      <c r="AW138" s="17">
        <f t="shared" ref="AW138:AX138" si="367">$G$132-AW137</f>
        <v>38.9</v>
      </c>
      <c r="AX138" s="17">
        <f t="shared" si="367"/>
        <v>38.9</v>
      </c>
      <c r="AY138" s="17">
        <f t="shared" ref="AY138:AZ138" si="368">$G$132-AY137</f>
        <v>38.699999999999996</v>
      </c>
      <c r="AZ138" s="17">
        <f t="shared" si="368"/>
        <v>39.5</v>
      </c>
      <c r="BA138" s="17">
        <f t="shared" ref="BA138:BB138" si="369">$G$132-BA137</f>
        <v>39</v>
      </c>
      <c r="BB138" s="17">
        <f t="shared" si="369"/>
        <v>38.599999999999994</v>
      </c>
      <c r="BC138" s="17">
        <f t="shared" ref="BC138" si="370">$G$132-BC137</f>
        <v>38.699999999999996</v>
      </c>
      <c r="BD138" s="17">
        <f t="shared" ref="BD138:BJ138" si="371">$G$132-BD137</f>
        <v>38.599999999999994</v>
      </c>
      <c r="BE138" s="17">
        <f t="shared" si="371"/>
        <v>38.5</v>
      </c>
      <c r="BF138" s="17">
        <f t="shared" si="371"/>
        <v>38.9</v>
      </c>
      <c r="BG138" s="17">
        <f t="shared" si="371"/>
        <v>39.4</v>
      </c>
      <c r="BH138" s="17">
        <f t="shared" si="371"/>
        <v>39.4</v>
      </c>
      <c r="BI138" s="17">
        <f t="shared" si="371"/>
        <v>39</v>
      </c>
      <c r="BJ138" s="17">
        <f t="shared" si="371"/>
        <v>38.9</v>
      </c>
      <c r="BK138" s="17">
        <f>$G$132-BK137</f>
        <v>39.099999999999994</v>
      </c>
      <c r="BL138" s="17">
        <f>$G$132-BL137</f>
        <v>39.199999999999996</v>
      </c>
    </row>
    <row r="139" spans="2:64" ht="15.75" thickBot="1" x14ac:dyDescent="0.3">
      <c r="B139" s="20"/>
      <c r="C139" s="21"/>
      <c r="D139" s="21"/>
      <c r="E139" s="22" t="s">
        <v>59</v>
      </c>
      <c r="F139" s="22"/>
      <c r="G139" s="22"/>
      <c r="H139" s="22"/>
      <c r="I139" s="23">
        <f t="shared" ref="I139:J139" si="372">I137/$G138</f>
        <v>0.6</v>
      </c>
      <c r="J139" s="23">
        <f t="shared" si="372"/>
        <v>0.61</v>
      </c>
      <c r="K139" s="23">
        <f>K137/$G138</f>
        <v>0.622</v>
      </c>
      <c r="L139" s="23">
        <f t="shared" ref="L139" si="373">L137/$G138</f>
        <v>0.64</v>
      </c>
      <c r="M139" s="23">
        <f t="shared" ref="M139" si="374">M137/$G138</f>
        <v>0.6400778210116731</v>
      </c>
      <c r="N139" s="23">
        <f t="shared" ref="N139:S139" si="375">N137/$G138</f>
        <v>0.55642023346303504</v>
      </c>
      <c r="O139" s="23">
        <f t="shared" si="375"/>
        <v>0.56031128404669261</v>
      </c>
      <c r="P139" s="23">
        <f t="shared" si="375"/>
        <v>0.56614785992217909</v>
      </c>
      <c r="Q139" s="23">
        <f t="shared" si="375"/>
        <v>0.56809338521400776</v>
      </c>
      <c r="R139" s="23">
        <f t="shared" si="375"/>
        <v>0.57782101167315181</v>
      </c>
      <c r="S139" s="23">
        <f t="shared" si="375"/>
        <v>0.57976653696498059</v>
      </c>
      <c r="T139" s="23">
        <f t="shared" ref="T139:U139" si="376">T137/$G138</f>
        <v>0.58560311284046696</v>
      </c>
      <c r="U139" s="23">
        <f t="shared" si="376"/>
        <v>0.58365758754863817</v>
      </c>
      <c r="V139" s="23">
        <f t="shared" ref="V139:AB139" si="377">V137/$G138</f>
        <v>0.58754863813229574</v>
      </c>
      <c r="W139" s="23">
        <f t="shared" si="377"/>
        <v>0.59922178988326846</v>
      </c>
      <c r="X139" s="23">
        <f t="shared" si="377"/>
        <v>0.60311284046692604</v>
      </c>
      <c r="Y139" s="23">
        <f t="shared" si="377"/>
        <v>0.60311284046692604</v>
      </c>
      <c r="Z139" s="23">
        <f t="shared" si="377"/>
        <v>0.58949416342412453</v>
      </c>
      <c r="AA139" s="23">
        <f t="shared" si="377"/>
        <v>0.59533073929961089</v>
      </c>
      <c r="AB139" s="23">
        <f t="shared" si="377"/>
        <v>0.59922178988326846</v>
      </c>
      <c r="AC139" s="23">
        <f t="shared" ref="AC139" si="378">AC137/$G138</f>
        <v>0.58754863813229574</v>
      </c>
      <c r="AD139" s="23">
        <f t="shared" ref="AD139:AJ139" si="379">AD137/$G138</f>
        <v>0.59143968871595332</v>
      </c>
      <c r="AE139" s="23">
        <f t="shared" si="379"/>
        <v>0.59533073929961089</v>
      </c>
      <c r="AF139" s="23">
        <f t="shared" si="379"/>
        <v>0.59533073929961089</v>
      </c>
      <c r="AG139" s="23">
        <f t="shared" si="379"/>
        <v>0.5933852140077821</v>
      </c>
      <c r="AH139" s="23">
        <f t="shared" si="379"/>
        <v>0.59533073929961089</v>
      </c>
      <c r="AI139" s="23">
        <f t="shared" si="379"/>
        <v>0.60116731517509725</v>
      </c>
      <c r="AJ139" s="23">
        <f t="shared" si="379"/>
        <v>0.60311284046692604</v>
      </c>
      <c r="AK139" s="23">
        <f t="shared" ref="AK139" si="380">AK137/$G138</f>
        <v>0.60116731517509725</v>
      </c>
      <c r="AL139" s="23">
        <f t="shared" ref="AL139:AQ139" si="381">AL137/$G138</f>
        <v>0.59922178988326846</v>
      </c>
      <c r="AM139" s="23">
        <f t="shared" si="381"/>
        <v>0.60505836575875493</v>
      </c>
      <c r="AN139" s="23">
        <f t="shared" si="381"/>
        <v>0.59922178988326846</v>
      </c>
      <c r="AO139" s="23">
        <f t="shared" si="381"/>
        <v>0.60311284046692604</v>
      </c>
      <c r="AP139" s="23">
        <f t="shared" si="381"/>
        <v>0.60505836575875493</v>
      </c>
      <c r="AQ139" s="23">
        <f t="shared" si="381"/>
        <v>0.60700389105058361</v>
      </c>
      <c r="AR139" s="23">
        <f>AR137/$G138</f>
        <v>0.61089494163424118</v>
      </c>
      <c r="AS139" s="23">
        <f>AS137/$G138</f>
        <v>0.61284046692607008</v>
      </c>
      <c r="AT139" s="23">
        <f>AT137/$G138</f>
        <v>0.61089494163424118</v>
      </c>
      <c r="AU139" s="23">
        <f t="shared" ref="AU139:AV139" si="382">AU137/$G138</f>
        <v>0.61284046692607008</v>
      </c>
      <c r="AV139" s="23">
        <f t="shared" si="382"/>
        <v>0.61673151750972766</v>
      </c>
      <c r="AW139" s="23">
        <f t="shared" ref="AW139:AX139" si="383">AW137/$G138</f>
        <v>0.62062256809338523</v>
      </c>
      <c r="AX139" s="23">
        <f t="shared" si="383"/>
        <v>0.62062256809338523</v>
      </c>
      <c r="AY139" s="23">
        <f t="shared" ref="AY139:AZ139" si="384">AY137/$G138</f>
        <v>0.6245136186770428</v>
      </c>
      <c r="AZ139" s="23">
        <f t="shared" si="384"/>
        <v>0.60894941634241251</v>
      </c>
      <c r="BA139" s="23">
        <f t="shared" ref="BA139:BB139" si="385">BA137/$G138</f>
        <v>0.61867704280155644</v>
      </c>
      <c r="BB139" s="23">
        <f t="shared" si="385"/>
        <v>0.6264591439688717</v>
      </c>
      <c r="BC139" s="23">
        <f t="shared" ref="BC139" si="386">BC137/$G138</f>
        <v>0.6245136186770428</v>
      </c>
      <c r="BD139" s="23">
        <f t="shared" ref="BD139:BJ139" si="387">BD137/$G138</f>
        <v>0.6264591439688717</v>
      </c>
      <c r="BE139" s="23">
        <f t="shared" si="387"/>
        <v>0.62840466926070038</v>
      </c>
      <c r="BF139" s="23">
        <f t="shared" si="387"/>
        <v>0.62062256809338523</v>
      </c>
      <c r="BG139" s="23">
        <f t="shared" si="387"/>
        <v>0.61089494163424118</v>
      </c>
      <c r="BH139" s="23">
        <f t="shared" si="387"/>
        <v>0.61089494163424118</v>
      </c>
      <c r="BI139" s="23">
        <f t="shared" si="387"/>
        <v>0.61867704280155644</v>
      </c>
      <c r="BJ139" s="23">
        <f t="shared" si="387"/>
        <v>0.62062256809338523</v>
      </c>
      <c r="BK139" s="23">
        <f>BK137/$G138</f>
        <v>0.61673151750972766</v>
      </c>
      <c r="BL139" s="23">
        <f>BL137/$G138</f>
        <v>0.61478599221789887</v>
      </c>
    </row>
    <row r="140" spans="2:64" ht="15.75" thickBot="1" x14ac:dyDescent="0.3"/>
    <row r="141" spans="2:64" x14ac:dyDescent="0.25">
      <c r="B141" s="43" t="s">
        <v>114</v>
      </c>
      <c r="C141" s="10" t="s">
        <v>108</v>
      </c>
      <c r="D141" s="10" t="s">
        <v>105</v>
      </c>
      <c r="E141" s="10" t="s">
        <v>109</v>
      </c>
      <c r="F141" s="10"/>
      <c r="G141" s="27"/>
      <c r="H141" s="10"/>
      <c r="I141" s="44"/>
      <c r="J141" s="44"/>
      <c r="K141" s="10">
        <f>45*0.587</f>
        <v>26.414999999999999</v>
      </c>
      <c r="L141" s="10">
        <f>45*0.6</f>
        <v>27</v>
      </c>
      <c r="M141" s="10">
        <v>11.9</v>
      </c>
      <c r="N141" s="10">
        <v>14.6</v>
      </c>
      <c r="O141" s="10">
        <v>14.9</v>
      </c>
      <c r="P141" s="10">
        <v>14.8</v>
      </c>
      <c r="Q141" s="10">
        <v>14.7</v>
      </c>
      <c r="R141" s="10">
        <v>15.2</v>
      </c>
      <c r="S141" s="10">
        <v>15.6</v>
      </c>
      <c r="T141" s="10">
        <v>15.8</v>
      </c>
      <c r="U141" s="10">
        <v>15.6</v>
      </c>
      <c r="V141" s="10">
        <v>16.2</v>
      </c>
      <c r="W141" s="10">
        <v>17.7</v>
      </c>
      <c r="X141" s="10">
        <v>17.7</v>
      </c>
      <c r="Y141" s="10">
        <v>19.600000000000001</v>
      </c>
      <c r="Z141" s="10">
        <v>19.3</v>
      </c>
      <c r="AA141" s="10">
        <v>19.899999999999999</v>
      </c>
      <c r="AB141" s="10">
        <v>20.2</v>
      </c>
      <c r="AC141" s="10">
        <v>20.2</v>
      </c>
      <c r="AD141" s="10">
        <v>20.3</v>
      </c>
      <c r="AE141" s="10">
        <v>20.3</v>
      </c>
      <c r="AF141" s="10">
        <v>20.6</v>
      </c>
      <c r="AG141" s="10">
        <v>14.8</v>
      </c>
      <c r="AH141" s="10">
        <v>15.3</v>
      </c>
      <c r="AI141" s="10">
        <v>15.3</v>
      </c>
      <c r="AJ141" s="10">
        <v>16.100000000000001</v>
      </c>
      <c r="AK141" s="10">
        <v>15.7</v>
      </c>
      <c r="AL141" s="10">
        <v>15.9</v>
      </c>
      <c r="AM141" s="10">
        <v>16</v>
      </c>
      <c r="AN141" s="10">
        <v>17.3</v>
      </c>
      <c r="AO141" s="10">
        <v>15.4</v>
      </c>
      <c r="AP141" s="10">
        <v>15.4</v>
      </c>
      <c r="AQ141" s="10">
        <v>16.600000000000001</v>
      </c>
      <c r="AR141" s="10">
        <v>15.4</v>
      </c>
      <c r="AS141" s="10">
        <v>15.6</v>
      </c>
      <c r="AT141" s="10">
        <v>16.100000000000001</v>
      </c>
      <c r="AU141" s="10">
        <v>16.5</v>
      </c>
      <c r="AV141" s="10">
        <v>16.7</v>
      </c>
      <c r="AW141" s="10">
        <v>16.7</v>
      </c>
      <c r="AX141" s="10">
        <v>16.8</v>
      </c>
      <c r="AY141" s="10">
        <v>16.899999999999999</v>
      </c>
      <c r="AZ141" s="10">
        <v>17</v>
      </c>
      <c r="BA141" s="10">
        <v>17</v>
      </c>
      <c r="BB141" s="10">
        <v>17.3</v>
      </c>
      <c r="BC141" s="10">
        <v>17.5</v>
      </c>
      <c r="BD141">
        <v>17.5</v>
      </c>
      <c r="BE141">
        <v>18.100000000000001</v>
      </c>
      <c r="BF141">
        <v>19.5</v>
      </c>
      <c r="BG141">
        <v>20.100000000000001</v>
      </c>
      <c r="BH141">
        <v>20</v>
      </c>
      <c r="BI141">
        <v>20.399999999999999</v>
      </c>
      <c r="BJ141">
        <v>20.7</v>
      </c>
      <c r="BK141">
        <v>19.100000000000001</v>
      </c>
      <c r="BL141">
        <v>20</v>
      </c>
    </row>
    <row r="142" spans="2:64" ht="5.25" customHeight="1" x14ac:dyDescent="0.25">
      <c r="B142" s="33"/>
      <c r="C142" s="34"/>
      <c r="D142" s="34"/>
      <c r="E142" s="34"/>
      <c r="F142" s="34"/>
      <c r="G142" s="34"/>
      <c r="H142" s="34"/>
      <c r="I142" s="47"/>
      <c r="J142" s="47"/>
      <c r="K142" s="47"/>
      <c r="L142" s="47"/>
      <c r="M142" s="47"/>
      <c r="N142" s="47"/>
      <c r="O142" s="47"/>
      <c r="P142" s="47"/>
      <c r="Q142" s="47"/>
      <c r="R142" s="47"/>
      <c r="S142" s="47"/>
      <c r="T142" s="47"/>
      <c r="U142" s="47"/>
      <c r="V142" s="47"/>
      <c r="W142" s="47"/>
      <c r="X142" s="47"/>
      <c r="Y142" s="47"/>
      <c r="Z142" s="47"/>
      <c r="AA142" s="47"/>
      <c r="AB142" s="47"/>
      <c r="AC142" s="47"/>
      <c r="AD142" s="47"/>
      <c r="AE142" s="47"/>
      <c r="AF142" s="47"/>
      <c r="AG142" s="34"/>
      <c r="AH142" s="34"/>
      <c r="AI142" s="34"/>
      <c r="AJ142" s="34"/>
      <c r="AK142" s="34"/>
      <c r="AL142" s="34"/>
      <c r="AM142" s="34"/>
      <c r="AN142" s="34"/>
      <c r="AO142" s="34"/>
      <c r="AP142" s="34"/>
      <c r="AQ142" s="34"/>
      <c r="AR142" s="34"/>
      <c r="AS142" s="34"/>
      <c r="AT142" s="34"/>
      <c r="AU142" s="34"/>
      <c r="AV142" s="34"/>
      <c r="AW142" s="34"/>
      <c r="AX142" s="34"/>
      <c r="AY142" s="34"/>
      <c r="AZ142" s="34"/>
      <c r="BA142" s="34"/>
      <c r="BB142" s="34"/>
      <c r="BC142" s="34"/>
      <c r="BD142" s="34"/>
      <c r="BE142" s="34"/>
      <c r="BF142" s="34"/>
      <c r="BG142" s="34"/>
      <c r="BH142" s="34"/>
      <c r="BI142" s="34"/>
      <c r="BJ142" s="34"/>
      <c r="BK142" s="34"/>
      <c r="BL142" s="34"/>
    </row>
    <row r="143" spans="2:64" x14ac:dyDescent="0.25">
      <c r="B143" s="14"/>
      <c r="E143" s="16" t="s">
        <v>55</v>
      </c>
      <c r="F143" s="16"/>
      <c r="G143" s="48"/>
      <c r="H143" s="16"/>
      <c r="I143" s="17">
        <f t="shared" ref="I143:N143" si="388">SUM(I141:I142)</f>
        <v>0</v>
      </c>
      <c r="J143" s="17">
        <f t="shared" si="388"/>
        <v>0</v>
      </c>
      <c r="K143" s="17">
        <f t="shared" si="388"/>
        <v>26.414999999999999</v>
      </c>
      <c r="L143" s="17">
        <v>27</v>
      </c>
      <c r="M143" s="17">
        <f t="shared" si="388"/>
        <v>11.9</v>
      </c>
      <c r="N143" s="17">
        <f t="shared" si="388"/>
        <v>14.6</v>
      </c>
      <c r="O143" s="17">
        <f t="shared" ref="O143:T143" si="389">SUM(O141:O142)</f>
        <v>14.9</v>
      </c>
      <c r="P143" s="17">
        <f t="shared" si="389"/>
        <v>14.8</v>
      </c>
      <c r="Q143" s="17">
        <f t="shared" si="389"/>
        <v>14.7</v>
      </c>
      <c r="R143" s="17">
        <f t="shared" si="389"/>
        <v>15.2</v>
      </c>
      <c r="S143" s="17">
        <f t="shared" si="389"/>
        <v>15.6</v>
      </c>
      <c r="T143" s="17">
        <f t="shared" si="389"/>
        <v>15.8</v>
      </c>
      <c r="U143" s="17">
        <f t="shared" ref="U143" si="390">SUM(U141:U142)</f>
        <v>15.6</v>
      </c>
      <c r="V143" s="17">
        <f t="shared" ref="V143:AB143" si="391">SUM(V141:V142)</f>
        <v>16.2</v>
      </c>
      <c r="W143" s="17">
        <f t="shared" si="391"/>
        <v>17.7</v>
      </c>
      <c r="X143" s="17">
        <f t="shared" si="391"/>
        <v>17.7</v>
      </c>
      <c r="Y143" s="17">
        <f t="shared" si="391"/>
        <v>19.600000000000001</v>
      </c>
      <c r="Z143" s="17">
        <f t="shared" si="391"/>
        <v>19.3</v>
      </c>
      <c r="AA143" s="17">
        <f t="shared" si="391"/>
        <v>19.899999999999999</v>
      </c>
      <c r="AB143" s="17">
        <f t="shared" si="391"/>
        <v>20.2</v>
      </c>
      <c r="AC143" s="17">
        <f t="shared" ref="AC143" si="392">SUM(AC141:AC142)</f>
        <v>20.2</v>
      </c>
      <c r="AD143" s="17">
        <f t="shared" ref="AD143:AJ143" si="393">SUM(AD141:AD142)</f>
        <v>20.3</v>
      </c>
      <c r="AE143" s="17">
        <f t="shared" si="393"/>
        <v>20.3</v>
      </c>
      <c r="AF143" s="17">
        <f t="shared" si="393"/>
        <v>20.6</v>
      </c>
      <c r="AG143" s="17">
        <f t="shared" si="393"/>
        <v>14.8</v>
      </c>
      <c r="AH143" s="17">
        <f t="shared" si="393"/>
        <v>15.3</v>
      </c>
      <c r="AI143" s="17">
        <f t="shared" si="393"/>
        <v>15.3</v>
      </c>
      <c r="AJ143" s="17">
        <f t="shared" si="393"/>
        <v>16.100000000000001</v>
      </c>
      <c r="AK143" s="17">
        <f t="shared" ref="AK143" si="394">SUM(AK141:AK142)</f>
        <v>15.7</v>
      </c>
      <c r="AL143" s="17">
        <f t="shared" ref="AL143:AQ143" si="395">SUM(AL141:AL142)</f>
        <v>15.9</v>
      </c>
      <c r="AM143" s="17">
        <f t="shared" si="395"/>
        <v>16</v>
      </c>
      <c r="AN143" s="17">
        <f t="shared" si="395"/>
        <v>17.3</v>
      </c>
      <c r="AO143" s="17">
        <f t="shared" si="395"/>
        <v>15.4</v>
      </c>
      <c r="AP143" s="17">
        <f t="shared" si="395"/>
        <v>15.4</v>
      </c>
      <c r="AQ143" s="17">
        <f t="shared" si="395"/>
        <v>16.600000000000001</v>
      </c>
      <c r="AR143" s="17">
        <f>SUM(AR141:AR142)</f>
        <v>15.4</v>
      </c>
      <c r="AS143" s="17">
        <f>SUM(AS141:AS142)</f>
        <v>15.6</v>
      </c>
      <c r="AT143" s="17">
        <f>SUM(AT141:AT142)</f>
        <v>16.100000000000001</v>
      </c>
      <c r="AU143" s="17">
        <f t="shared" ref="AU143:AV143" si="396">SUM(AU141:AU142)</f>
        <v>16.5</v>
      </c>
      <c r="AV143" s="17">
        <f t="shared" si="396"/>
        <v>16.7</v>
      </c>
      <c r="AW143" s="17">
        <f t="shared" ref="AW143:AX143" si="397">SUM(AW141:AW142)</f>
        <v>16.7</v>
      </c>
      <c r="AX143" s="17">
        <f t="shared" si="397"/>
        <v>16.8</v>
      </c>
      <c r="AY143" s="17">
        <f t="shared" ref="AY143:AZ143" si="398">SUM(AY141:AY142)</f>
        <v>16.899999999999999</v>
      </c>
      <c r="AZ143" s="17">
        <f t="shared" si="398"/>
        <v>17</v>
      </c>
      <c r="BA143" s="17">
        <f t="shared" ref="BA143:BB143" si="399">SUM(BA141:BA142)</f>
        <v>17</v>
      </c>
      <c r="BB143" s="17">
        <f t="shared" si="399"/>
        <v>17.3</v>
      </c>
      <c r="BC143" s="17">
        <f t="shared" ref="BC143" si="400">SUM(BC141:BC142)</f>
        <v>17.5</v>
      </c>
      <c r="BD143" s="17">
        <f t="shared" ref="BD143:BJ143" si="401">SUM(BD141:BD142)</f>
        <v>17.5</v>
      </c>
      <c r="BE143" s="17">
        <f t="shared" si="401"/>
        <v>18.100000000000001</v>
      </c>
      <c r="BF143" s="17">
        <f t="shared" si="401"/>
        <v>19.5</v>
      </c>
      <c r="BG143" s="17">
        <f t="shared" si="401"/>
        <v>20.100000000000001</v>
      </c>
      <c r="BH143" s="17">
        <f t="shared" si="401"/>
        <v>20</v>
      </c>
      <c r="BI143" s="17">
        <f t="shared" si="401"/>
        <v>20.399999999999999</v>
      </c>
      <c r="BJ143" s="17">
        <f t="shared" si="401"/>
        <v>20.7</v>
      </c>
      <c r="BK143" s="17">
        <f>SUM(BK141:BK142)</f>
        <v>19.100000000000001</v>
      </c>
      <c r="BL143" s="17">
        <f>SUM(BL141:BL142)</f>
        <v>20</v>
      </c>
    </row>
    <row r="144" spans="2:64" x14ac:dyDescent="0.25">
      <c r="B144" s="19"/>
      <c r="C144" s="16"/>
      <c r="D144" s="16"/>
      <c r="E144" s="49" t="s">
        <v>57</v>
      </c>
      <c r="F144" s="16"/>
      <c r="G144" s="16">
        <v>45</v>
      </c>
      <c r="H144" s="16"/>
      <c r="I144" s="17">
        <f>$G$132-I143</f>
        <v>70.8</v>
      </c>
      <c r="J144" s="17">
        <f t="shared" ref="J144" si="402">$G$132-J143</f>
        <v>70.8</v>
      </c>
      <c r="K144" s="17">
        <f t="shared" ref="K144" si="403">$G$132-K143</f>
        <v>44.384999999999998</v>
      </c>
      <c r="L144" s="17">
        <f t="shared" ref="L144" si="404">$G$132-L143</f>
        <v>43.8</v>
      </c>
      <c r="M144" s="17">
        <f t="shared" ref="M144" si="405">$G$132-M143</f>
        <v>58.9</v>
      </c>
      <c r="N144" s="17">
        <f t="shared" ref="N144" si="406">$G$132-N143</f>
        <v>56.199999999999996</v>
      </c>
      <c r="O144" s="17">
        <f t="shared" ref="O144:T144" si="407">$G$132-O143</f>
        <v>55.9</v>
      </c>
      <c r="P144" s="17">
        <f t="shared" si="407"/>
        <v>56</v>
      </c>
      <c r="Q144" s="17">
        <f t="shared" si="407"/>
        <v>56.099999999999994</v>
      </c>
      <c r="R144" s="17">
        <f t="shared" si="407"/>
        <v>55.599999999999994</v>
      </c>
      <c r="S144" s="17">
        <f t="shared" si="407"/>
        <v>55.199999999999996</v>
      </c>
      <c r="T144" s="17">
        <f t="shared" si="407"/>
        <v>55</v>
      </c>
      <c r="U144" s="17">
        <f t="shared" ref="U144" si="408">$G$132-U143</f>
        <v>55.199999999999996</v>
      </c>
      <c r="V144" s="17">
        <f t="shared" ref="V144:AB144" si="409">$G$132-V143</f>
        <v>54.599999999999994</v>
      </c>
      <c r="W144" s="17">
        <f t="shared" si="409"/>
        <v>53.099999999999994</v>
      </c>
      <c r="X144" s="17">
        <f t="shared" si="409"/>
        <v>53.099999999999994</v>
      </c>
      <c r="Y144" s="17">
        <f t="shared" si="409"/>
        <v>51.199999999999996</v>
      </c>
      <c r="Z144" s="17">
        <f t="shared" si="409"/>
        <v>51.5</v>
      </c>
      <c r="AA144" s="17">
        <f t="shared" si="409"/>
        <v>50.9</v>
      </c>
      <c r="AB144" s="17">
        <f t="shared" si="409"/>
        <v>50.599999999999994</v>
      </c>
      <c r="AC144" s="17">
        <f t="shared" ref="AC144" si="410">$G$132-AC143</f>
        <v>50.599999999999994</v>
      </c>
      <c r="AD144" s="17">
        <f t="shared" ref="AD144:AJ144" si="411">$G$132-AD143</f>
        <v>50.5</v>
      </c>
      <c r="AE144" s="17">
        <f t="shared" si="411"/>
        <v>50.5</v>
      </c>
      <c r="AF144" s="17">
        <f t="shared" si="411"/>
        <v>50.199999999999996</v>
      </c>
      <c r="AG144" s="17">
        <f t="shared" si="411"/>
        <v>56</v>
      </c>
      <c r="AH144" s="17">
        <f t="shared" si="411"/>
        <v>55.5</v>
      </c>
      <c r="AI144" s="17">
        <f t="shared" si="411"/>
        <v>55.5</v>
      </c>
      <c r="AJ144" s="17">
        <f t="shared" si="411"/>
        <v>54.699999999999996</v>
      </c>
      <c r="AK144" s="17">
        <f t="shared" ref="AK144" si="412">$G$132-AK143</f>
        <v>55.099999999999994</v>
      </c>
      <c r="AL144" s="17">
        <f t="shared" ref="AL144:AQ144" si="413">$G$132-AL143</f>
        <v>54.9</v>
      </c>
      <c r="AM144" s="17">
        <f t="shared" si="413"/>
        <v>54.8</v>
      </c>
      <c r="AN144" s="17">
        <f t="shared" si="413"/>
        <v>53.5</v>
      </c>
      <c r="AO144" s="17">
        <f t="shared" si="413"/>
        <v>55.4</v>
      </c>
      <c r="AP144" s="17">
        <f t="shared" si="413"/>
        <v>55.4</v>
      </c>
      <c r="AQ144" s="17">
        <f t="shared" si="413"/>
        <v>54.199999999999996</v>
      </c>
      <c r="AR144" s="17">
        <f>$G$132-AR143</f>
        <v>55.4</v>
      </c>
      <c r="AS144" s="17">
        <f>$G$132-AS143</f>
        <v>55.199999999999996</v>
      </c>
      <c r="AT144" s="17">
        <f>$G$132-AT143</f>
        <v>54.699999999999996</v>
      </c>
      <c r="AU144" s="17">
        <f t="shared" ref="AU144:AV144" si="414">$G$132-AU143</f>
        <v>54.3</v>
      </c>
      <c r="AV144" s="17">
        <f t="shared" si="414"/>
        <v>54.099999999999994</v>
      </c>
      <c r="AW144" s="17">
        <f t="shared" ref="AW144:AX144" si="415">$G$132-AW143</f>
        <v>54.099999999999994</v>
      </c>
      <c r="AX144" s="17">
        <f t="shared" si="415"/>
        <v>54</v>
      </c>
      <c r="AY144" s="17">
        <f t="shared" ref="AY144:AZ144" si="416">$G$132-AY143</f>
        <v>53.9</v>
      </c>
      <c r="AZ144" s="17">
        <f t="shared" si="416"/>
        <v>53.8</v>
      </c>
      <c r="BA144" s="17">
        <f t="shared" ref="BA144:BB144" si="417">$G$132-BA143</f>
        <v>53.8</v>
      </c>
      <c r="BB144" s="17">
        <f t="shared" si="417"/>
        <v>53.5</v>
      </c>
      <c r="BC144" s="17">
        <f t="shared" ref="BC144" si="418">$G$132-BC143</f>
        <v>53.3</v>
      </c>
      <c r="BD144" s="17">
        <f t="shared" ref="BD144:BJ144" si="419">$G$132-BD143</f>
        <v>53.3</v>
      </c>
      <c r="BE144" s="17">
        <f t="shared" si="419"/>
        <v>52.699999999999996</v>
      </c>
      <c r="BF144" s="17">
        <f t="shared" si="419"/>
        <v>51.3</v>
      </c>
      <c r="BG144" s="17">
        <f t="shared" si="419"/>
        <v>50.699999999999996</v>
      </c>
      <c r="BH144" s="17">
        <f t="shared" si="419"/>
        <v>50.8</v>
      </c>
      <c r="BI144" s="17">
        <f t="shared" si="419"/>
        <v>50.4</v>
      </c>
      <c r="BJ144" s="17">
        <f t="shared" si="419"/>
        <v>50.099999999999994</v>
      </c>
      <c r="BK144" s="17">
        <f>$G$132-BK143</f>
        <v>51.699999999999996</v>
      </c>
      <c r="BL144" s="17">
        <f>$G$132-BL143</f>
        <v>50.8</v>
      </c>
    </row>
    <row r="145" spans="2:64" ht="15.75" thickBot="1" x14ac:dyDescent="0.3">
      <c r="B145" s="20"/>
      <c r="C145" s="21"/>
      <c r="D145" s="21"/>
      <c r="E145" s="22" t="s">
        <v>59</v>
      </c>
      <c r="F145" s="22"/>
      <c r="G145" s="22"/>
      <c r="H145" s="22"/>
      <c r="I145" s="23">
        <f t="shared" ref="I145" si="420">I143/$G144</f>
        <v>0</v>
      </c>
      <c r="J145" s="23">
        <f t="shared" ref="J145" si="421">J143/$G144</f>
        <v>0</v>
      </c>
      <c r="K145" s="23">
        <f>K143/$G144</f>
        <v>0.58699999999999997</v>
      </c>
      <c r="L145" s="23">
        <f t="shared" ref="L145" si="422">L143/$G144</f>
        <v>0.6</v>
      </c>
      <c r="M145" s="23">
        <f t="shared" ref="M145" si="423">M143/$G144</f>
        <v>0.26444444444444443</v>
      </c>
      <c r="N145" s="23">
        <f t="shared" ref="N145:S145" si="424">N143/$G144</f>
        <v>0.32444444444444442</v>
      </c>
      <c r="O145" s="23">
        <f t="shared" si="424"/>
        <v>0.33111111111111113</v>
      </c>
      <c r="P145" s="23">
        <f t="shared" si="424"/>
        <v>0.3288888888888889</v>
      </c>
      <c r="Q145" s="23">
        <f t="shared" si="424"/>
        <v>0.32666666666666666</v>
      </c>
      <c r="R145" s="23">
        <f t="shared" si="424"/>
        <v>0.33777777777777779</v>
      </c>
      <c r="S145" s="23">
        <f t="shared" si="424"/>
        <v>0.34666666666666668</v>
      </c>
      <c r="T145" s="23">
        <f t="shared" ref="T145:U145" si="425">T143/$G144</f>
        <v>0.35111111111111115</v>
      </c>
      <c r="U145" s="23">
        <f t="shared" si="425"/>
        <v>0.34666666666666668</v>
      </c>
      <c r="V145" s="23">
        <f t="shared" ref="V145:AB145" si="426">V143/$G144</f>
        <v>0.36</v>
      </c>
      <c r="W145" s="23">
        <f t="shared" si="426"/>
        <v>0.39333333333333331</v>
      </c>
      <c r="X145" s="23">
        <f t="shared" si="426"/>
        <v>0.39333333333333331</v>
      </c>
      <c r="Y145" s="23">
        <f t="shared" si="426"/>
        <v>0.43555555555555558</v>
      </c>
      <c r="Z145" s="23">
        <f t="shared" si="426"/>
        <v>0.42888888888888893</v>
      </c>
      <c r="AA145" s="23">
        <f t="shared" si="426"/>
        <v>0.44222222222222218</v>
      </c>
      <c r="AB145" s="23">
        <f t="shared" si="426"/>
        <v>0.44888888888888889</v>
      </c>
      <c r="AC145" s="23">
        <f t="shared" ref="AC145" si="427">AC143/$G144</f>
        <v>0.44888888888888889</v>
      </c>
      <c r="AD145" s="23">
        <f t="shared" ref="AD145:AJ145" si="428">AD143/$G144</f>
        <v>0.45111111111111113</v>
      </c>
      <c r="AE145" s="23">
        <f t="shared" si="428"/>
        <v>0.45111111111111113</v>
      </c>
      <c r="AF145" s="23">
        <f t="shared" si="428"/>
        <v>0.45777777777777778</v>
      </c>
      <c r="AG145" s="23">
        <f t="shared" si="428"/>
        <v>0.3288888888888889</v>
      </c>
      <c r="AH145" s="23">
        <f t="shared" si="428"/>
        <v>0.34</v>
      </c>
      <c r="AI145" s="23">
        <f t="shared" si="428"/>
        <v>0.34</v>
      </c>
      <c r="AJ145" s="23">
        <f t="shared" si="428"/>
        <v>0.35777777777777781</v>
      </c>
      <c r="AK145" s="23">
        <f t="shared" ref="AK145" si="429">AK143/$G144</f>
        <v>0.34888888888888886</v>
      </c>
      <c r="AL145" s="23">
        <f t="shared" ref="AL145:AQ145" si="430">AL143/$G144</f>
        <v>0.35333333333333333</v>
      </c>
      <c r="AM145" s="23">
        <f t="shared" si="430"/>
        <v>0.35555555555555557</v>
      </c>
      <c r="AN145" s="23">
        <f t="shared" si="430"/>
        <v>0.38444444444444448</v>
      </c>
      <c r="AO145" s="23">
        <f t="shared" si="430"/>
        <v>0.34222222222222221</v>
      </c>
      <c r="AP145" s="23">
        <f t="shared" si="430"/>
        <v>0.34222222222222221</v>
      </c>
      <c r="AQ145" s="23">
        <f t="shared" si="430"/>
        <v>0.36888888888888893</v>
      </c>
      <c r="AR145" s="23">
        <f>AR143/$G144</f>
        <v>0.34222222222222221</v>
      </c>
      <c r="AS145" s="23">
        <f>AS143/$G144</f>
        <v>0.34666666666666668</v>
      </c>
      <c r="AT145" s="23">
        <f>AT143/$G144</f>
        <v>0.35777777777777781</v>
      </c>
      <c r="AU145" s="23">
        <f t="shared" ref="AU145:AV145" si="431">AU143/$G144</f>
        <v>0.36666666666666664</v>
      </c>
      <c r="AV145" s="23">
        <f t="shared" si="431"/>
        <v>0.37111111111111111</v>
      </c>
      <c r="AW145" s="23">
        <f t="shared" ref="AW145:AX145" si="432">AW143/$G144</f>
        <v>0.37111111111111111</v>
      </c>
      <c r="AX145" s="23">
        <f t="shared" si="432"/>
        <v>0.37333333333333335</v>
      </c>
      <c r="AY145" s="23">
        <f t="shared" ref="AY145:AZ145" si="433">AY143/$G144</f>
        <v>0.37555555555555553</v>
      </c>
      <c r="AZ145" s="23">
        <f t="shared" si="433"/>
        <v>0.37777777777777777</v>
      </c>
      <c r="BA145" s="23">
        <f t="shared" ref="BA145:BB145" si="434">BA143/$G144</f>
        <v>0.37777777777777777</v>
      </c>
      <c r="BB145" s="23">
        <f t="shared" si="434"/>
        <v>0.38444444444444448</v>
      </c>
      <c r="BC145" s="23">
        <f t="shared" ref="BC145" si="435">BC143/$G144</f>
        <v>0.3888888888888889</v>
      </c>
      <c r="BD145" s="23">
        <f t="shared" ref="BD145:BJ145" si="436">BD143/$G144</f>
        <v>0.3888888888888889</v>
      </c>
      <c r="BE145" s="23">
        <f t="shared" si="436"/>
        <v>0.40222222222222226</v>
      </c>
      <c r="BF145" s="23">
        <f t="shared" si="436"/>
        <v>0.43333333333333335</v>
      </c>
      <c r="BG145" s="23">
        <f t="shared" si="436"/>
        <v>0.44666666666666671</v>
      </c>
      <c r="BH145" s="23">
        <f t="shared" si="436"/>
        <v>0.44444444444444442</v>
      </c>
      <c r="BI145" s="23">
        <f t="shared" si="436"/>
        <v>0.45333333333333331</v>
      </c>
      <c r="BJ145" s="23">
        <f t="shared" si="436"/>
        <v>0.45999999999999996</v>
      </c>
      <c r="BK145" s="23">
        <f>BK143/$G144</f>
        <v>0.42444444444444446</v>
      </c>
      <c r="BL145" s="23">
        <f>BL143/$G144</f>
        <v>0.44444444444444442</v>
      </c>
    </row>
    <row r="146" spans="2:64" ht="15.75" thickBot="1" x14ac:dyDescent="0.3"/>
    <row r="147" spans="2:64" x14ac:dyDescent="0.25">
      <c r="B147" s="43" t="s">
        <v>115</v>
      </c>
      <c r="C147" s="10" t="s">
        <v>108</v>
      </c>
      <c r="D147" s="10" t="s">
        <v>105</v>
      </c>
      <c r="E147" s="10" t="s">
        <v>109</v>
      </c>
      <c r="F147" s="10"/>
      <c r="G147" s="27"/>
      <c r="H147" s="10"/>
      <c r="I147" s="44"/>
      <c r="J147" s="44"/>
      <c r="K147" s="10">
        <f>16.1*0.353</f>
        <v>5.6833</v>
      </c>
      <c r="L147" s="10">
        <f>16.1*0.372</f>
        <v>5.9892000000000003</v>
      </c>
      <c r="M147" s="10">
        <v>6</v>
      </c>
      <c r="N147" s="10">
        <v>6.1</v>
      </c>
      <c r="O147" s="10">
        <v>6.1</v>
      </c>
      <c r="P147" s="10">
        <v>6.2</v>
      </c>
      <c r="Q147" s="10">
        <v>6.3</v>
      </c>
      <c r="R147" s="10">
        <v>6.3</v>
      </c>
      <c r="S147" s="10">
        <v>6.3</v>
      </c>
      <c r="T147" s="10">
        <v>6.5</v>
      </c>
      <c r="U147" s="10">
        <v>6.6</v>
      </c>
      <c r="V147" s="10">
        <v>6.6</v>
      </c>
      <c r="W147" s="10">
        <v>7.1</v>
      </c>
      <c r="X147" s="10">
        <v>6.9</v>
      </c>
      <c r="Y147" s="10">
        <v>6.9</v>
      </c>
      <c r="Z147" s="10">
        <v>6.4</v>
      </c>
      <c r="AA147" s="10">
        <v>6.7</v>
      </c>
      <c r="AB147" s="10">
        <v>6.7</v>
      </c>
      <c r="AC147" s="10">
        <v>6.8</v>
      </c>
      <c r="AD147" s="10">
        <v>6.7</v>
      </c>
      <c r="AE147" s="10">
        <v>6.8</v>
      </c>
      <c r="AF147" s="10">
        <v>6.3</v>
      </c>
      <c r="AG147" s="10">
        <v>6.4</v>
      </c>
      <c r="AH147" s="10">
        <v>6.6</v>
      </c>
      <c r="AI147" s="10">
        <v>6.6</v>
      </c>
      <c r="AJ147" s="10">
        <v>6.6</v>
      </c>
      <c r="AK147" s="10">
        <v>6.4</v>
      </c>
      <c r="AL147" s="10">
        <v>6.6</v>
      </c>
      <c r="AM147" s="10">
        <v>6.7</v>
      </c>
      <c r="AN147" s="10">
        <v>7.2</v>
      </c>
      <c r="AO147" s="10">
        <v>7.4</v>
      </c>
      <c r="AP147" s="10">
        <v>7.7</v>
      </c>
      <c r="AQ147" s="10">
        <v>7.7</v>
      </c>
      <c r="AR147" s="10">
        <v>7.4</v>
      </c>
      <c r="AS147" s="10">
        <v>7.6</v>
      </c>
      <c r="AT147" s="10">
        <v>7.4</v>
      </c>
      <c r="AU147" s="10">
        <v>7.5</v>
      </c>
      <c r="AV147" s="10">
        <v>7.7</v>
      </c>
      <c r="AW147" s="10">
        <v>7.7</v>
      </c>
      <c r="AX147" s="10">
        <v>7.7</v>
      </c>
      <c r="AY147" s="10">
        <v>7.8</v>
      </c>
      <c r="AZ147" s="10">
        <v>8</v>
      </c>
      <c r="BA147" s="10">
        <v>8</v>
      </c>
      <c r="BB147" s="10">
        <v>8</v>
      </c>
      <c r="BC147" s="10">
        <v>7.3</v>
      </c>
      <c r="BD147">
        <v>7.7</v>
      </c>
      <c r="BE147">
        <v>7.9</v>
      </c>
      <c r="BF147" s="38">
        <v>8</v>
      </c>
      <c r="BG147" s="38">
        <v>8</v>
      </c>
      <c r="BH147" s="38">
        <v>8</v>
      </c>
      <c r="BI147" s="38">
        <v>8</v>
      </c>
      <c r="BJ147" s="38">
        <v>8</v>
      </c>
      <c r="BK147" s="38">
        <v>8</v>
      </c>
      <c r="BL147" s="38">
        <v>7.3</v>
      </c>
    </row>
    <row r="148" spans="2:64" ht="5.25" customHeight="1" x14ac:dyDescent="0.25">
      <c r="B148" s="33"/>
      <c r="C148" s="34"/>
      <c r="D148" s="34"/>
      <c r="E148" s="34"/>
      <c r="F148" s="34"/>
      <c r="G148" s="34"/>
      <c r="H148" s="34"/>
      <c r="I148" s="47"/>
      <c r="J148" s="47"/>
      <c r="K148" s="47"/>
      <c r="L148" s="47"/>
      <c r="M148" s="47"/>
      <c r="N148" s="47"/>
      <c r="O148" s="47"/>
      <c r="P148" s="47"/>
      <c r="Q148" s="47"/>
      <c r="R148" s="47"/>
      <c r="S148" s="47"/>
      <c r="T148" s="47"/>
      <c r="U148" s="47"/>
      <c r="V148" s="47"/>
      <c r="W148" s="47"/>
      <c r="X148" s="47"/>
      <c r="Y148" s="47"/>
      <c r="Z148" s="47"/>
      <c r="AA148" s="47"/>
      <c r="AB148" s="47"/>
      <c r="AC148" s="47"/>
      <c r="AD148" s="47"/>
      <c r="AE148" s="47"/>
      <c r="AF148" s="47"/>
      <c r="AG148" s="34"/>
      <c r="AH148" s="34"/>
      <c r="AI148" s="34"/>
      <c r="AJ148" s="34"/>
      <c r="AK148" s="34"/>
      <c r="AL148" s="34"/>
      <c r="AM148" s="34"/>
      <c r="AN148" s="34"/>
      <c r="AO148" s="34"/>
      <c r="AP148" s="34"/>
      <c r="AQ148" s="34"/>
      <c r="AR148" s="34"/>
      <c r="AS148" s="34"/>
      <c r="AT148" s="34"/>
      <c r="AU148" s="34"/>
      <c r="AV148" s="34"/>
      <c r="AW148" s="34"/>
      <c r="AX148" s="34"/>
      <c r="AY148" s="34"/>
      <c r="AZ148" s="34"/>
      <c r="BA148" s="34"/>
      <c r="BB148" s="34"/>
      <c r="BC148" s="34"/>
      <c r="BD148" s="34"/>
      <c r="BE148" s="34"/>
      <c r="BF148" s="34"/>
      <c r="BG148" s="34"/>
      <c r="BH148" s="34"/>
      <c r="BI148" s="34"/>
      <c r="BJ148" s="34"/>
      <c r="BK148" s="34"/>
      <c r="BL148" s="34"/>
    </row>
    <row r="149" spans="2:64" x14ac:dyDescent="0.25">
      <c r="B149" s="14"/>
      <c r="E149" s="16" t="s">
        <v>55</v>
      </c>
      <c r="F149" s="16"/>
      <c r="G149" s="48"/>
      <c r="H149" s="16"/>
      <c r="I149" s="17">
        <f t="shared" ref="I149:N149" si="437">SUM(I147:I148)</f>
        <v>0</v>
      </c>
      <c r="J149" s="17">
        <f t="shared" si="437"/>
        <v>0</v>
      </c>
      <c r="K149" s="17">
        <f t="shared" si="437"/>
        <v>5.6833</v>
      </c>
      <c r="L149" s="17">
        <f t="shared" si="437"/>
        <v>5.9892000000000003</v>
      </c>
      <c r="M149" s="17">
        <f t="shared" si="437"/>
        <v>6</v>
      </c>
      <c r="N149" s="17">
        <f t="shared" si="437"/>
        <v>6.1</v>
      </c>
      <c r="O149" s="17">
        <f t="shared" ref="O149:T149" si="438">SUM(O147:O148)</f>
        <v>6.1</v>
      </c>
      <c r="P149" s="17">
        <f t="shared" si="438"/>
        <v>6.2</v>
      </c>
      <c r="Q149" s="17">
        <f t="shared" si="438"/>
        <v>6.3</v>
      </c>
      <c r="R149" s="17">
        <f t="shared" si="438"/>
        <v>6.3</v>
      </c>
      <c r="S149" s="17">
        <f t="shared" si="438"/>
        <v>6.3</v>
      </c>
      <c r="T149" s="17">
        <f t="shared" si="438"/>
        <v>6.5</v>
      </c>
      <c r="U149" s="17">
        <f t="shared" ref="U149" si="439">SUM(U147:U148)</f>
        <v>6.6</v>
      </c>
      <c r="V149" s="17">
        <f t="shared" ref="V149:AB149" si="440">SUM(V147:V148)</f>
        <v>6.6</v>
      </c>
      <c r="W149" s="17">
        <f t="shared" si="440"/>
        <v>7.1</v>
      </c>
      <c r="X149" s="17">
        <f t="shared" si="440"/>
        <v>6.9</v>
      </c>
      <c r="Y149" s="17">
        <f t="shared" si="440"/>
        <v>6.9</v>
      </c>
      <c r="Z149" s="17">
        <f t="shared" si="440"/>
        <v>6.4</v>
      </c>
      <c r="AA149" s="17">
        <f t="shared" si="440"/>
        <v>6.7</v>
      </c>
      <c r="AB149" s="17">
        <f t="shared" si="440"/>
        <v>6.7</v>
      </c>
      <c r="AC149" s="17">
        <f t="shared" ref="AC149" si="441">SUM(AC147:AC148)</f>
        <v>6.8</v>
      </c>
      <c r="AD149" s="17">
        <f t="shared" ref="AD149:AJ149" si="442">SUM(AD147:AD148)</f>
        <v>6.7</v>
      </c>
      <c r="AE149" s="17">
        <f t="shared" si="442"/>
        <v>6.8</v>
      </c>
      <c r="AF149" s="17">
        <f t="shared" si="442"/>
        <v>6.3</v>
      </c>
      <c r="AG149" s="17">
        <f t="shared" si="442"/>
        <v>6.4</v>
      </c>
      <c r="AH149" s="17">
        <f t="shared" si="442"/>
        <v>6.6</v>
      </c>
      <c r="AI149" s="17">
        <f t="shared" si="442"/>
        <v>6.6</v>
      </c>
      <c r="AJ149" s="17">
        <f t="shared" si="442"/>
        <v>6.6</v>
      </c>
      <c r="AK149" s="17">
        <f t="shared" ref="AK149" si="443">SUM(AK147:AK148)</f>
        <v>6.4</v>
      </c>
      <c r="AL149" s="17">
        <f t="shared" ref="AL149:AQ149" si="444">SUM(AL147:AL148)</f>
        <v>6.6</v>
      </c>
      <c r="AM149" s="17">
        <f t="shared" si="444"/>
        <v>6.7</v>
      </c>
      <c r="AN149" s="17">
        <f t="shared" si="444"/>
        <v>7.2</v>
      </c>
      <c r="AO149" s="17">
        <f t="shared" si="444"/>
        <v>7.4</v>
      </c>
      <c r="AP149" s="17">
        <f t="shared" si="444"/>
        <v>7.7</v>
      </c>
      <c r="AQ149" s="17">
        <f t="shared" si="444"/>
        <v>7.7</v>
      </c>
      <c r="AR149" s="17">
        <f>SUM(AR147:AR148)</f>
        <v>7.4</v>
      </c>
      <c r="AS149" s="17">
        <f>SUM(AS147:AS148)</f>
        <v>7.6</v>
      </c>
      <c r="AT149" s="17">
        <f>SUM(AT147:AT148)</f>
        <v>7.4</v>
      </c>
      <c r="AU149" s="17">
        <f t="shared" ref="AU149:AV149" si="445">SUM(AU147:AU148)</f>
        <v>7.5</v>
      </c>
      <c r="AV149" s="17">
        <f t="shared" si="445"/>
        <v>7.7</v>
      </c>
      <c r="AW149" s="17">
        <f t="shared" ref="AW149:AX149" si="446">SUM(AW147:AW148)</f>
        <v>7.7</v>
      </c>
      <c r="AX149" s="17">
        <f t="shared" si="446"/>
        <v>7.7</v>
      </c>
      <c r="AY149" s="17">
        <f t="shared" ref="AY149:AZ149" si="447">SUM(AY147:AY148)</f>
        <v>7.8</v>
      </c>
      <c r="AZ149" s="17">
        <f t="shared" si="447"/>
        <v>8</v>
      </c>
      <c r="BA149" s="17">
        <f t="shared" ref="BA149:BB149" si="448">SUM(BA147:BA148)</f>
        <v>8</v>
      </c>
      <c r="BB149" s="17">
        <f t="shared" si="448"/>
        <v>8</v>
      </c>
      <c r="BC149" s="17">
        <f t="shared" ref="BC149" si="449">SUM(BC147:BC148)</f>
        <v>7.3</v>
      </c>
      <c r="BD149" s="17">
        <f t="shared" ref="BD149:BJ149" si="450">SUM(BD147:BD148)</f>
        <v>7.7</v>
      </c>
      <c r="BE149" s="17">
        <f t="shared" si="450"/>
        <v>7.9</v>
      </c>
      <c r="BF149" s="17">
        <f t="shared" si="450"/>
        <v>8</v>
      </c>
      <c r="BG149" s="17">
        <f t="shared" si="450"/>
        <v>8</v>
      </c>
      <c r="BH149" s="17">
        <f t="shared" si="450"/>
        <v>8</v>
      </c>
      <c r="BI149" s="17">
        <f t="shared" si="450"/>
        <v>8</v>
      </c>
      <c r="BJ149" s="17">
        <f t="shared" si="450"/>
        <v>8</v>
      </c>
      <c r="BK149" s="17">
        <f>SUM(BK147:BK148)</f>
        <v>8</v>
      </c>
      <c r="BL149" s="17">
        <f>SUM(BL147:BL148)</f>
        <v>7.3</v>
      </c>
    </row>
    <row r="150" spans="2:64" x14ac:dyDescent="0.25">
      <c r="B150" s="19"/>
      <c r="C150" s="16"/>
      <c r="D150" s="16"/>
      <c r="E150" s="49" t="s">
        <v>57</v>
      </c>
      <c r="F150" s="16"/>
      <c r="G150" s="16">
        <v>16.100000000000001</v>
      </c>
      <c r="H150" s="16"/>
      <c r="I150" s="17">
        <f>$G$132-I149</f>
        <v>70.8</v>
      </c>
      <c r="J150" s="17">
        <f t="shared" ref="J150" si="451">$G$132-J149</f>
        <v>70.8</v>
      </c>
      <c r="K150" s="17">
        <f t="shared" ref="K150" si="452">$G$132-K149</f>
        <v>65.116699999999994</v>
      </c>
      <c r="L150" s="17">
        <f t="shared" ref="L150" si="453">$G$132-L149</f>
        <v>64.8108</v>
      </c>
      <c r="M150" s="17">
        <f t="shared" ref="M150" si="454">$G$132-M149</f>
        <v>64.8</v>
      </c>
      <c r="N150" s="17">
        <f t="shared" ref="N150" si="455">$G$132-N149</f>
        <v>64.7</v>
      </c>
      <c r="O150" s="17">
        <f t="shared" ref="O150:T150" si="456">$G$132-O149</f>
        <v>64.7</v>
      </c>
      <c r="P150" s="17">
        <f t="shared" si="456"/>
        <v>64.599999999999994</v>
      </c>
      <c r="Q150" s="17">
        <f t="shared" si="456"/>
        <v>64.5</v>
      </c>
      <c r="R150" s="17">
        <f t="shared" si="456"/>
        <v>64.5</v>
      </c>
      <c r="S150" s="17">
        <f t="shared" si="456"/>
        <v>64.5</v>
      </c>
      <c r="T150" s="17">
        <f t="shared" si="456"/>
        <v>64.3</v>
      </c>
      <c r="U150" s="17">
        <f t="shared" ref="U150" si="457">$G$132-U149</f>
        <v>64.2</v>
      </c>
      <c r="V150" s="17">
        <f t="shared" ref="V150:AB150" si="458">$G$132-V149</f>
        <v>64.2</v>
      </c>
      <c r="W150" s="17">
        <f t="shared" si="458"/>
        <v>63.699999999999996</v>
      </c>
      <c r="X150" s="17">
        <f t="shared" si="458"/>
        <v>63.9</v>
      </c>
      <c r="Y150" s="17">
        <f t="shared" si="458"/>
        <v>63.9</v>
      </c>
      <c r="Z150" s="17">
        <f t="shared" si="458"/>
        <v>64.399999999999991</v>
      </c>
      <c r="AA150" s="17">
        <f t="shared" si="458"/>
        <v>64.099999999999994</v>
      </c>
      <c r="AB150" s="17">
        <f t="shared" si="458"/>
        <v>64.099999999999994</v>
      </c>
      <c r="AC150" s="17">
        <f t="shared" ref="AC150" si="459">$G$132-AC149</f>
        <v>64</v>
      </c>
      <c r="AD150" s="17">
        <f t="shared" ref="AD150:AJ150" si="460">$G$132-AD149</f>
        <v>64.099999999999994</v>
      </c>
      <c r="AE150" s="17">
        <f t="shared" si="460"/>
        <v>64</v>
      </c>
      <c r="AF150" s="17">
        <f t="shared" si="460"/>
        <v>64.5</v>
      </c>
      <c r="AG150" s="17">
        <f t="shared" si="460"/>
        <v>64.399999999999991</v>
      </c>
      <c r="AH150" s="17">
        <f t="shared" si="460"/>
        <v>64.2</v>
      </c>
      <c r="AI150" s="17">
        <f t="shared" si="460"/>
        <v>64.2</v>
      </c>
      <c r="AJ150" s="17">
        <f t="shared" si="460"/>
        <v>64.2</v>
      </c>
      <c r="AK150" s="17">
        <f t="shared" ref="AK150" si="461">$G$132-AK149</f>
        <v>64.399999999999991</v>
      </c>
      <c r="AL150" s="17">
        <f t="shared" ref="AL150:AQ150" si="462">$G$132-AL149</f>
        <v>64.2</v>
      </c>
      <c r="AM150" s="17">
        <f t="shared" si="462"/>
        <v>64.099999999999994</v>
      </c>
      <c r="AN150" s="17">
        <f t="shared" si="462"/>
        <v>63.599999999999994</v>
      </c>
      <c r="AO150" s="17">
        <f t="shared" si="462"/>
        <v>63.4</v>
      </c>
      <c r="AP150" s="17">
        <f t="shared" si="462"/>
        <v>63.099999999999994</v>
      </c>
      <c r="AQ150" s="17">
        <f t="shared" si="462"/>
        <v>63.099999999999994</v>
      </c>
      <c r="AR150" s="17">
        <f>$G$132-AR149</f>
        <v>63.4</v>
      </c>
      <c r="AS150" s="17">
        <f>$G$132-AS149</f>
        <v>63.199999999999996</v>
      </c>
      <c r="AT150" s="17">
        <f>$G$132-AT149</f>
        <v>63.4</v>
      </c>
      <c r="AU150" s="17">
        <f t="shared" ref="AU150:AV150" si="463">$G$132-AU149</f>
        <v>63.3</v>
      </c>
      <c r="AV150" s="17">
        <f t="shared" si="463"/>
        <v>63.099999999999994</v>
      </c>
      <c r="AW150" s="17">
        <f t="shared" ref="AW150:AX150" si="464">$G$132-AW149</f>
        <v>63.099999999999994</v>
      </c>
      <c r="AX150" s="17">
        <f t="shared" si="464"/>
        <v>63.099999999999994</v>
      </c>
      <c r="AY150" s="17">
        <f t="shared" ref="AY150:AZ150" si="465">$G$132-AY149</f>
        <v>63</v>
      </c>
      <c r="AZ150" s="17">
        <f t="shared" si="465"/>
        <v>62.8</v>
      </c>
      <c r="BA150" s="17">
        <f t="shared" ref="BA150:BB150" si="466">$G$132-BA149</f>
        <v>62.8</v>
      </c>
      <c r="BB150" s="17">
        <f t="shared" si="466"/>
        <v>62.8</v>
      </c>
      <c r="BC150" s="17">
        <f t="shared" ref="BC150" si="467">$G$132-BC149</f>
        <v>63.5</v>
      </c>
      <c r="BD150" s="17">
        <f t="shared" ref="BD150:BJ150" si="468">$G$132-BD149</f>
        <v>63.099999999999994</v>
      </c>
      <c r="BE150" s="17">
        <f t="shared" si="468"/>
        <v>62.9</v>
      </c>
      <c r="BF150" s="17">
        <f t="shared" si="468"/>
        <v>62.8</v>
      </c>
      <c r="BG150" s="17">
        <f t="shared" si="468"/>
        <v>62.8</v>
      </c>
      <c r="BH150" s="17">
        <f t="shared" si="468"/>
        <v>62.8</v>
      </c>
      <c r="BI150" s="17">
        <f t="shared" si="468"/>
        <v>62.8</v>
      </c>
      <c r="BJ150" s="17">
        <f t="shared" si="468"/>
        <v>62.8</v>
      </c>
      <c r="BK150" s="17">
        <f>$G$132-BK149</f>
        <v>62.8</v>
      </c>
      <c r="BL150" s="17">
        <f>$G$132-BL149</f>
        <v>63.5</v>
      </c>
    </row>
    <row r="151" spans="2:64" ht="15.75" thickBot="1" x14ac:dyDescent="0.3">
      <c r="B151" s="20"/>
      <c r="C151" s="21"/>
      <c r="D151" s="21"/>
      <c r="E151" s="22" t="s">
        <v>59</v>
      </c>
      <c r="F151" s="22"/>
      <c r="G151" s="22"/>
      <c r="H151" s="22"/>
      <c r="I151" s="23">
        <f t="shared" ref="I151" si="469">I149/$G150</f>
        <v>0</v>
      </c>
      <c r="J151" s="23">
        <f t="shared" ref="J151" si="470">J149/$G150</f>
        <v>0</v>
      </c>
      <c r="K151" s="23">
        <f>K149/$G150</f>
        <v>0.35299999999999998</v>
      </c>
      <c r="L151" s="23">
        <f t="shared" ref="L151" si="471">L149/$G150</f>
        <v>0.372</v>
      </c>
      <c r="M151" s="23">
        <f t="shared" ref="M151" si="472">M149/$G150</f>
        <v>0.37267080745341613</v>
      </c>
      <c r="N151" s="23">
        <f t="shared" ref="N151:S151" si="473">N149/$G150</f>
        <v>0.37888198757763969</v>
      </c>
      <c r="O151" s="23">
        <f t="shared" si="473"/>
        <v>0.37888198757763969</v>
      </c>
      <c r="P151" s="23">
        <f t="shared" si="473"/>
        <v>0.3850931677018633</v>
      </c>
      <c r="Q151" s="23">
        <f t="shared" si="473"/>
        <v>0.39130434782608692</v>
      </c>
      <c r="R151" s="23">
        <f t="shared" si="473"/>
        <v>0.39130434782608692</v>
      </c>
      <c r="S151" s="23">
        <f t="shared" si="473"/>
        <v>0.39130434782608692</v>
      </c>
      <c r="T151" s="23">
        <f t="shared" ref="T151:U151" si="474">T149/$G150</f>
        <v>0.40372670807453415</v>
      </c>
      <c r="U151" s="23">
        <f t="shared" si="474"/>
        <v>0.40993788819875771</v>
      </c>
      <c r="V151" s="23">
        <f t="shared" ref="V151:AB151" si="475">V149/$G150</f>
        <v>0.40993788819875771</v>
      </c>
      <c r="W151" s="23">
        <f t="shared" si="475"/>
        <v>0.44099378881987572</v>
      </c>
      <c r="X151" s="23">
        <f t="shared" si="475"/>
        <v>0.42857142857142855</v>
      </c>
      <c r="Y151" s="23">
        <f t="shared" si="475"/>
        <v>0.42857142857142855</v>
      </c>
      <c r="Z151" s="23">
        <f t="shared" si="475"/>
        <v>0.39751552795031053</v>
      </c>
      <c r="AA151" s="23">
        <f t="shared" si="475"/>
        <v>0.41614906832298132</v>
      </c>
      <c r="AB151" s="23">
        <f t="shared" si="475"/>
        <v>0.41614906832298132</v>
      </c>
      <c r="AC151" s="23">
        <f t="shared" ref="AC151" si="476">AC149/$G150</f>
        <v>0.42236024844720493</v>
      </c>
      <c r="AD151" s="23">
        <f t="shared" ref="AD151:AJ151" si="477">AD149/$G150</f>
        <v>0.41614906832298132</v>
      </c>
      <c r="AE151" s="23">
        <f t="shared" si="477"/>
        <v>0.42236024844720493</v>
      </c>
      <c r="AF151" s="23">
        <f t="shared" si="477"/>
        <v>0.39130434782608692</v>
      </c>
      <c r="AG151" s="23">
        <f t="shared" si="477"/>
        <v>0.39751552795031053</v>
      </c>
      <c r="AH151" s="23">
        <f t="shared" si="477"/>
        <v>0.40993788819875771</v>
      </c>
      <c r="AI151" s="23">
        <f t="shared" si="477"/>
        <v>0.40993788819875771</v>
      </c>
      <c r="AJ151" s="23">
        <f t="shared" si="477"/>
        <v>0.40993788819875771</v>
      </c>
      <c r="AK151" s="23">
        <f t="shared" ref="AK151" si="478">AK149/$G150</f>
        <v>0.39751552795031053</v>
      </c>
      <c r="AL151" s="23">
        <f t="shared" ref="AL151:AQ151" si="479">AL149/$G150</f>
        <v>0.40993788819875771</v>
      </c>
      <c r="AM151" s="23">
        <f t="shared" si="479"/>
        <v>0.41614906832298132</v>
      </c>
      <c r="AN151" s="23">
        <f t="shared" si="479"/>
        <v>0.44720496894409933</v>
      </c>
      <c r="AO151" s="23">
        <f t="shared" si="479"/>
        <v>0.45962732919254656</v>
      </c>
      <c r="AP151" s="23">
        <f t="shared" si="479"/>
        <v>0.47826086956521735</v>
      </c>
      <c r="AQ151" s="23">
        <f t="shared" si="479"/>
        <v>0.47826086956521735</v>
      </c>
      <c r="AR151" s="23">
        <f>AR149/$G150</f>
        <v>0.45962732919254656</v>
      </c>
      <c r="AS151" s="23">
        <f>AS149/$G150</f>
        <v>0.47204968944099374</v>
      </c>
      <c r="AT151" s="23">
        <f>AT149/$G150</f>
        <v>0.45962732919254656</v>
      </c>
      <c r="AU151" s="23">
        <f t="shared" ref="AU151:AV151" si="480">AU149/$G150</f>
        <v>0.46583850931677012</v>
      </c>
      <c r="AV151" s="23">
        <f t="shared" si="480"/>
        <v>0.47826086956521735</v>
      </c>
      <c r="AW151" s="23">
        <f t="shared" ref="AW151:AX151" si="481">AW149/$G150</f>
        <v>0.47826086956521735</v>
      </c>
      <c r="AX151" s="23">
        <f t="shared" si="481"/>
        <v>0.47826086956521735</v>
      </c>
      <c r="AY151" s="23">
        <f t="shared" ref="AY151:AZ151" si="482">AY149/$G150</f>
        <v>0.48447204968944096</v>
      </c>
      <c r="AZ151" s="23">
        <f t="shared" si="482"/>
        <v>0.49689440993788814</v>
      </c>
      <c r="BA151" s="23">
        <f t="shared" ref="BA151:BB151" si="483">BA149/$G150</f>
        <v>0.49689440993788814</v>
      </c>
      <c r="BB151" s="23">
        <f t="shared" si="483"/>
        <v>0.49689440993788814</v>
      </c>
      <c r="BC151" s="23">
        <f t="shared" ref="BC151" si="484">BC149/$G150</f>
        <v>0.45341614906832295</v>
      </c>
      <c r="BD151" s="23">
        <f t="shared" ref="BD151:BJ151" si="485">BD149/$G150</f>
        <v>0.47826086956521735</v>
      </c>
      <c r="BE151" s="23">
        <f t="shared" si="485"/>
        <v>0.49068322981366458</v>
      </c>
      <c r="BF151" s="23">
        <f t="shared" si="485"/>
        <v>0.49689440993788814</v>
      </c>
      <c r="BG151" s="23">
        <f t="shared" si="485"/>
        <v>0.49689440993788814</v>
      </c>
      <c r="BH151" s="23">
        <f t="shared" si="485"/>
        <v>0.49689440993788814</v>
      </c>
      <c r="BI151" s="23">
        <f t="shared" si="485"/>
        <v>0.49689440993788814</v>
      </c>
      <c r="BJ151" s="23">
        <f t="shared" si="485"/>
        <v>0.49689440993788814</v>
      </c>
      <c r="BK151" s="23">
        <f>BK149/$G150</f>
        <v>0.49689440993788814</v>
      </c>
      <c r="BL151" s="23">
        <f>BL149/$G150</f>
        <v>0.45341614906832295</v>
      </c>
    </row>
    <row r="152" spans="2:64" ht="15.75" thickBot="1" x14ac:dyDescent="0.3"/>
    <row r="153" spans="2:64" x14ac:dyDescent="0.25">
      <c r="B153" s="43" t="s">
        <v>116</v>
      </c>
      <c r="C153" s="10" t="s">
        <v>108</v>
      </c>
      <c r="D153" s="10" t="s">
        <v>105</v>
      </c>
      <c r="E153" s="10" t="s">
        <v>109</v>
      </c>
      <c r="F153" s="10"/>
      <c r="G153" s="27"/>
      <c r="H153" s="10"/>
      <c r="I153" s="44"/>
      <c r="J153" s="44"/>
      <c r="K153" s="10">
        <f>22.5*0.353</f>
        <v>7.9424999999999999</v>
      </c>
      <c r="L153" s="10">
        <f>22.5*0.28</f>
        <v>6.3000000000000007</v>
      </c>
      <c r="M153" s="10">
        <v>6.4</v>
      </c>
      <c r="N153" s="10">
        <v>7.1</v>
      </c>
      <c r="O153" s="10">
        <v>5.9</v>
      </c>
      <c r="P153" s="10">
        <v>6.2</v>
      </c>
      <c r="Q153" s="10">
        <v>6.4</v>
      </c>
      <c r="R153" s="10">
        <v>6.5</v>
      </c>
      <c r="S153" s="10">
        <v>6.6</v>
      </c>
      <c r="T153" s="10">
        <v>6.7</v>
      </c>
      <c r="U153" s="10">
        <v>6.6</v>
      </c>
      <c r="V153" s="10">
        <v>6.6</v>
      </c>
      <c r="W153" s="10">
        <v>6.6</v>
      </c>
      <c r="X153" s="10">
        <v>7.3</v>
      </c>
      <c r="Y153" s="10">
        <v>6.7</v>
      </c>
      <c r="Z153" s="10">
        <v>6.6</v>
      </c>
      <c r="AA153" s="10">
        <v>6.9</v>
      </c>
      <c r="AB153" s="10">
        <v>7.7</v>
      </c>
      <c r="AC153" s="10">
        <v>7.5</v>
      </c>
      <c r="AD153" s="10">
        <v>7.6</v>
      </c>
      <c r="AE153" s="10">
        <v>7.6</v>
      </c>
      <c r="AF153" s="10">
        <v>8.1</v>
      </c>
      <c r="AG153" s="10">
        <v>7.6</v>
      </c>
      <c r="AH153" s="10">
        <v>7.8</v>
      </c>
      <c r="AI153" s="10">
        <v>7.9</v>
      </c>
      <c r="AJ153" s="10">
        <v>8</v>
      </c>
      <c r="AK153" s="10">
        <v>8</v>
      </c>
      <c r="AL153" s="10">
        <v>7.9</v>
      </c>
      <c r="AM153" s="10">
        <v>8.1999999999999993</v>
      </c>
      <c r="AN153" s="10">
        <v>8.3000000000000007</v>
      </c>
      <c r="AO153" s="10">
        <v>8.4</v>
      </c>
      <c r="AP153" s="10">
        <v>8.4</v>
      </c>
      <c r="AQ153" s="10">
        <v>8.5</v>
      </c>
      <c r="AR153" s="10">
        <v>8.5</v>
      </c>
      <c r="AS153" s="10">
        <v>8.6</v>
      </c>
      <c r="AT153" s="10">
        <v>8.6</v>
      </c>
      <c r="AU153" s="10">
        <v>8.8000000000000007</v>
      </c>
      <c r="AV153" s="10">
        <v>9.8000000000000007</v>
      </c>
      <c r="AW153" s="10">
        <v>9.9</v>
      </c>
      <c r="AX153" s="10">
        <v>9.8000000000000007</v>
      </c>
      <c r="AY153" s="10">
        <v>9</v>
      </c>
      <c r="AZ153" s="10">
        <v>8.9</v>
      </c>
      <c r="BA153" s="10">
        <v>8.8000000000000007</v>
      </c>
      <c r="BB153" s="10">
        <v>9.1</v>
      </c>
      <c r="BC153" s="10">
        <v>9.1</v>
      </c>
      <c r="BD153">
        <v>9.1999999999999993</v>
      </c>
      <c r="BE153">
        <v>9.3000000000000007</v>
      </c>
      <c r="BF153">
        <v>9.5</v>
      </c>
      <c r="BG153">
        <v>9.9</v>
      </c>
      <c r="BH153">
        <v>10.1</v>
      </c>
      <c r="BI153">
        <v>10.4</v>
      </c>
      <c r="BJ153">
        <v>10.5</v>
      </c>
      <c r="BK153">
        <v>10</v>
      </c>
      <c r="BL153">
        <v>10.199999999999999</v>
      </c>
    </row>
    <row r="154" spans="2:64" x14ac:dyDescent="0.25">
      <c r="B154" s="33"/>
      <c r="C154" s="34"/>
      <c r="D154" s="34"/>
      <c r="E154" s="34"/>
      <c r="F154" s="34"/>
      <c r="G154" s="34"/>
      <c r="H154" s="34"/>
      <c r="I154" s="47"/>
      <c r="J154" s="47"/>
      <c r="K154" s="47"/>
      <c r="L154" s="47"/>
      <c r="M154" s="47"/>
      <c r="N154" s="47"/>
      <c r="O154" s="47"/>
      <c r="P154" s="47"/>
      <c r="Q154" s="47"/>
      <c r="R154" s="47"/>
      <c r="S154" s="47"/>
      <c r="T154" s="47"/>
      <c r="U154" s="47"/>
      <c r="V154" s="47"/>
      <c r="W154" s="47"/>
      <c r="X154" s="47"/>
      <c r="Y154" s="47"/>
      <c r="Z154" s="47"/>
      <c r="AA154" s="47"/>
      <c r="AB154" s="47"/>
      <c r="AC154" s="47"/>
      <c r="AD154" s="47"/>
      <c r="AE154" s="47"/>
      <c r="AF154" s="47"/>
      <c r="AG154" s="34"/>
      <c r="AH154" s="34"/>
      <c r="AI154" s="34"/>
      <c r="AJ154" s="34"/>
      <c r="AK154" s="34"/>
      <c r="AL154" s="34"/>
      <c r="AM154" s="34"/>
      <c r="AN154" s="34"/>
      <c r="AO154" s="34"/>
      <c r="AP154" s="34"/>
      <c r="AQ154" s="34"/>
      <c r="AR154" s="34"/>
      <c r="AS154" s="34"/>
      <c r="AT154" s="34"/>
      <c r="AU154" s="34"/>
      <c r="AV154" s="34"/>
      <c r="AW154" s="34"/>
      <c r="AX154" s="34"/>
      <c r="AY154" s="34"/>
      <c r="AZ154" s="34"/>
      <c r="BA154" s="34"/>
      <c r="BB154" s="34"/>
      <c r="BC154" s="34"/>
      <c r="BD154" s="34"/>
      <c r="BE154" s="34"/>
      <c r="BF154" s="34"/>
      <c r="BG154" s="34"/>
      <c r="BH154" s="34"/>
      <c r="BI154" s="34"/>
      <c r="BJ154" s="34"/>
      <c r="BK154" s="34"/>
      <c r="BL154" s="34"/>
    </row>
    <row r="155" spans="2:64" x14ac:dyDescent="0.25">
      <c r="B155" s="14"/>
      <c r="E155" s="16" t="s">
        <v>55</v>
      </c>
      <c r="F155" s="16"/>
      <c r="G155" s="48"/>
      <c r="H155" s="16"/>
      <c r="I155" s="17">
        <f>SUM(I153:I154)</f>
        <v>0</v>
      </c>
      <c r="J155" s="17">
        <f>SUM(J153:J154)</f>
        <v>0</v>
      </c>
      <c r="K155" s="17">
        <f>22.5*0.266</f>
        <v>5.9850000000000003</v>
      </c>
      <c r="L155" s="17">
        <f t="shared" ref="L155:R155" si="486">SUM(L153:L154)</f>
        <v>6.3000000000000007</v>
      </c>
      <c r="M155" s="17">
        <f t="shared" si="486"/>
        <v>6.4</v>
      </c>
      <c r="N155" s="17">
        <f t="shared" si="486"/>
        <v>7.1</v>
      </c>
      <c r="O155" s="17">
        <f t="shared" si="486"/>
        <v>5.9</v>
      </c>
      <c r="P155" s="17">
        <f t="shared" si="486"/>
        <v>6.2</v>
      </c>
      <c r="Q155" s="17">
        <f t="shared" si="486"/>
        <v>6.4</v>
      </c>
      <c r="R155" s="17">
        <f t="shared" si="486"/>
        <v>6.5</v>
      </c>
      <c r="S155" s="17">
        <f t="shared" ref="S155:X155" si="487">SUM(S153:S154)</f>
        <v>6.6</v>
      </c>
      <c r="T155" s="17">
        <f t="shared" si="487"/>
        <v>6.7</v>
      </c>
      <c r="U155" s="17">
        <f t="shared" si="487"/>
        <v>6.6</v>
      </c>
      <c r="V155" s="17">
        <f t="shared" si="487"/>
        <v>6.6</v>
      </c>
      <c r="W155" s="17">
        <f t="shared" si="487"/>
        <v>6.6</v>
      </c>
      <c r="X155" s="17">
        <f t="shared" si="487"/>
        <v>7.3</v>
      </c>
      <c r="Y155" s="17">
        <f t="shared" ref="Y155:Z155" si="488">SUM(Y153:Y154)</f>
        <v>6.7</v>
      </c>
      <c r="Z155" s="17">
        <f t="shared" si="488"/>
        <v>6.6</v>
      </c>
      <c r="AA155" s="17">
        <f t="shared" ref="AA155:AF155" si="489">SUM(AA153:AA154)</f>
        <v>6.9</v>
      </c>
      <c r="AB155" s="17">
        <f t="shared" si="489"/>
        <v>7.7</v>
      </c>
      <c r="AC155" s="17">
        <f t="shared" si="489"/>
        <v>7.5</v>
      </c>
      <c r="AD155" s="17">
        <f t="shared" si="489"/>
        <v>7.6</v>
      </c>
      <c r="AE155" s="17">
        <f t="shared" si="489"/>
        <v>7.6</v>
      </c>
      <c r="AF155" s="17">
        <f t="shared" si="489"/>
        <v>8.1</v>
      </c>
      <c r="AG155" s="17">
        <f t="shared" ref="AG155:AL155" si="490">SUM(AG153:AG154)</f>
        <v>7.6</v>
      </c>
      <c r="AH155" s="17">
        <f t="shared" si="490"/>
        <v>7.8</v>
      </c>
      <c r="AI155" s="17">
        <f t="shared" si="490"/>
        <v>7.9</v>
      </c>
      <c r="AJ155" s="17">
        <f t="shared" si="490"/>
        <v>8</v>
      </c>
      <c r="AK155" s="17">
        <f t="shared" si="490"/>
        <v>8</v>
      </c>
      <c r="AL155" s="17">
        <f t="shared" si="490"/>
        <v>7.9</v>
      </c>
      <c r="AM155" s="17">
        <f t="shared" ref="AM155:AN155" si="491">SUM(AM153:AM154)</f>
        <v>8.1999999999999993</v>
      </c>
      <c r="AN155" s="17">
        <f t="shared" si="491"/>
        <v>8.3000000000000007</v>
      </c>
      <c r="AO155" s="17">
        <f t="shared" ref="AO155:AP155" si="492">SUM(AO153:AO154)</f>
        <v>8.4</v>
      </c>
      <c r="AP155" s="17">
        <f t="shared" si="492"/>
        <v>8.4</v>
      </c>
      <c r="AQ155" s="17">
        <f t="shared" ref="AQ155" si="493">SUM(AQ153:AQ154)</f>
        <v>8.5</v>
      </c>
      <c r="AR155" s="17">
        <f>SUM(AR153:AR154)</f>
        <v>8.5</v>
      </c>
      <c r="AS155" s="17">
        <f>SUM(AS153:AS154)</f>
        <v>8.6</v>
      </c>
      <c r="AT155" s="17">
        <f>SUM(AT153:AT154)</f>
        <v>8.6</v>
      </c>
      <c r="AU155" s="17">
        <f t="shared" ref="AU155:AV155" si="494">SUM(AU153:AU154)</f>
        <v>8.8000000000000007</v>
      </c>
      <c r="AV155" s="17">
        <f t="shared" si="494"/>
        <v>9.8000000000000007</v>
      </c>
      <c r="AW155" s="17">
        <f t="shared" ref="AW155:AX155" si="495">SUM(AW153:AW154)</f>
        <v>9.9</v>
      </c>
      <c r="AX155" s="17">
        <f t="shared" si="495"/>
        <v>9.8000000000000007</v>
      </c>
      <c r="AY155" s="17">
        <f t="shared" ref="AY155:AZ155" si="496">SUM(AY153:AY154)</f>
        <v>9</v>
      </c>
      <c r="AZ155" s="17">
        <f t="shared" si="496"/>
        <v>8.9</v>
      </c>
      <c r="BA155" s="17">
        <f t="shared" ref="BA155:BB155" si="497">SUM(BA153:BA154)</f>
        <v>8.8000000000000007</v>
      </c>
      <c r="BB155" s="17">
        <f t="shared" si="497"/>
        <v>9.1</v>
      </c>
      <c r="BC155" s="17">
        <f t="shared" ref="BC155" si="498">SUM(BC153:BC154)</f>
        <v>9.1</v>
      </c>
      <c r="BD155" s="17">
        <f t="shared" ref="BD155:BJ155" si="499">SUM(BD153:BD154)</f>
        <v>9.1999999999999993</v>
      </c>
      <c r="BE155" s="17">
        <f t="shared" si="499"/>
        <v>9.3000000000000007</v>
      </c>
      <c r="BF155" s="17">
        <f t="shared" si="499"/>
        <v>9.5</v>
      </c>
      <c r="BG155" s="17">
        <f t="shared" si="499"/>
        <v>9.9</v>
      </c>
      <c r="BH155" s="17">
        <f t="shared" si="499"/>
        <v>10.1</v>
      </c>
      <c r="BI155" s="17">
        <f t="shared" si="499"/>
        <v>10.4</v>
      </c>
      <c r="BJ155" s="17">
        <f t="shared" si="499"/>
        <v>10.5</v>
      </c>
      <c r="BK155" s="17">
        <f>SUM(BK153:BK154)</f>
        <v>10</v>
      </c>
      <c r="BL155" s="17">
        <f>SUM(BL153:BL154)</f>
        <v>10.199999999999999</v>
      </c>
    </row>
    <row r="156" spans="2:64" x14ac:dyDescent="0.25">
      <c r="B156" s="19"/>
      <c r="C156" s="16"/>
      <c r="D156" s="16"/>
      <c r="E156" s="49" t="s">
        <v>57</v>
      </c>
      <c r="F156" s="16"/>
      <c r="G156" s="16">
        <v>22.5</v>
      </c>
      <c r="H156" s="16"/>
      <c r="I156" s="17">
        <f>$G$132-I155</f>
        <v>70.8</v>
      </c>
      <c r="J156" s="17">
        <f t="shared" ref="J156" si="500">$G$132-J155</f>
        <v>70.8</v>
      </c>
      <c r="K156" s="17">
        <f t="shared" ref="K156" si="501">$G$132-K155</f>
        <v>64.814999999999998</v>
      </c>
      <c r="L156" s="17">
        <f t="shared" ref="L156" si="502">$G$132-L155</f>
        <v>64.5</v>
      </c>
      <c r="M156" s="17">
        <f t="shared" ref="M156" si="503">$G$132-M155</f>
        <v>64.399999999999991</v>
      </c>
      <c r="N156" s="17">
        <f t="shared" ref="N156" si="504">$G$132-N155</f>
        <v>63.699999999999996</v>
      </c>
      <c r="O156" s="17">
        <f t="shared" ref="O156:T156" si="505">$G$132-O155</f>
        <v>64.899999999999991</v>
      </c>
      <c r="P156" s="17">
        <f t="shared" si="505"/>
        <v>64.599999999999994</v>
      </c>
      <c r="Q156" s="17">
        <f t="shared" si="505"/>
        <v>64.399999999999991</v>
      </c>
      <c r="R156" s="17">
        <f t="shared" si="505"/>
        <v>64.3</v>
      </c>
      <c r="S156" s="17">
        <f t="shared" si="505"/>
        <v>64.2</v>
      </c>
      <c r="T156" s="17">
        <f t="shared" si="505"/>
        <v>64.099999999999994</v>
      </c>
      <c r="U156" s="17">
        <f t="shared" ref="U156" si="506">$G$132-U155</f>
        <v>64.2</v>
      </c>
      <c r="V156" s="17">
        <f t="shared" ref="V156:AB156" si="507">$G$132-V155</f>
        <v>64.2</v>
      </c>
      <c r="W156" s="17">
        <f t="shared" si="507"/>
        <v>64.2</v>
      </c>
      <c r="X156" s="17">
        <f t="shared" si="507"/>
        <v>63.5</v>
      </c>
      <c r="Y156" s="17">
        <f t="shared" si="507"/>
        <v>64.099999999999994</v>
      </c>
      <c r="Z156" s="17">
        <f t="shared" si="507"/>
        <v>64.2</v>
      </c>
      <c r="AA156" s="17">
        <f t="shared" si="507"/>
        <v>63.9</v>
      </c>
      <c r="AB156" s="17">
        <f t="shared" si="507"/>
        <v>63.099999999999994</v>
      </c>
      <c r="AC156" s="17">
        <f t="shared" ref="AC156" si="508">$G$132-AC155</f>
        <v>63.3</v>
      </c>
      <c r="AD156" s="17">
        <f t="shared" ref="AD156:AJ156" si="509">$G$132-AD155</f>
        <v>63.199999999999996</v>
      </c>
      <c r="AE156" s="17">
        <f t="shared" si="509"/>
        <v>63.199999999999996</v>
      </c>
      <c r="AF156" s="17">
        <f t="shared" si="509"/>
        <v>62.699999999999996</v>
      </c>
      <c r="AG156" s="17">
        <f t="shared" si="509"/>
        <v>63.199999999999996</v>
      </c>
      <c r="AH156" s="17">
        <f t="shared" si="509"/>
        <v>63</v>
      </c>
      <c r="AI156" s="17">
        <f t="shared" si="509"/>
        <v>62.9</v>
      </c>
      <c r="AJ156" s="17">
        <f t="shared" si="509"/>
        <v>62.8</v>
      </c>
      <c r="AK156" s="17">
        <f t="shared" ref="AK156" si="510">$G$132-AK155</f>
        <v>62.8</v>
      </c>
      <c r="AL156" s="17">
        <f t="shared" ref="AL156:AQ156" si="511">$G$132-AL155</f>
        <v>62.9</v>
      </c>
      <c r="AM156" s="17">
        <f t="shared" si="511"/>
        <v>62.599999999999994</v>
      </c>
      <c r="AN156" s="17">
        <f t="shared" si="511"/>
        <v>62.5</v>
      </c>
      <c r="AO156" s="17">
        <f t="shared" si="511"/>
        <v>62.4</v>
      </c>
      <c r="AP156" s="17">
        <f t="shared" si="511"/>
        <v>62.4</v>
      </c>
      <c r="AQ156" s="17">
        <f t="shared" si="511"/>
        <v>62.3</v>
      </c>
      <c r="AR156" s="17">
        <f>$G$132-AR155</f>
        <v>62.3</v>
      </c>
      <c r="AS156" s="17">
        <f>$G$132-AS155</f>
        <v>62.199999999999996</v>
      </c>
      <c r="AT156" s="17">
        <f>$G$132-AT155</f>
        <v>62.199999999999996</v>
      </c>
      <c r="AU156" s="17">
        <f t="shared" ref="AU156:AV156" si="512">$G$132-AU155</f>
        <v>62</v>
      </c>
      <c r="AV156" s="17">
        <f t="shared" si="512"/>
        <v>61</v>
      </c>
      <c r="AW156" s="17">
        <f t="shared" ref="AW156:AX156" si="513">$G$132-AW155</f>
        <v>60.9</v>
      </c>
      <c r="AX156" s="17">
        <f t="shared" si="513"/>
        <v>61</v>
      </c>
      <c r="AY156" s="17">
        <f t="shared" ref="AY156:AZ156" si="514">$G$132-AY155</f>
        <v>61.8</v>
      </c>
      <c r="AZ156" s="17">
        <f t="shared" si="514"/>
        <v>61.9</v>
      </c>
      <c r="BA156" s="17">
        <f t="shared" ref="BA156:BB156" si="515">$G$132-BA155</f>
        <v>62</v>
      </c>
      <c r="BB156" s="17">
        <f t="shared" si="515"/>
        <v>61.699999999999996</v>
      </c>
      <c r="BC156" s="17">
        <f t="shared" ref="BC156" si="516">$G$132-BC155</f>
        <v>61.699999999999996</v>
      </c>
      <c r="BD156" s="17">
        <f t="shared" ref="BD156:BJ156" si="517">$G$132-BD155</f>
        <v>61.599999999999994</v>
      </c>
      <c r="BE156" s="17">
        <f t="shared" si="517"/>
        <v>61.5</v>
      </c>
      <c r="BF156" s="17">
        <f t="shared" si="517"/>
        <v>61.3</v>
      </c>
      <c r="BG156" s="17">
        <f t="shared" si="517"/>
        <v>60.9</v>
      </c>
      <c r="BH156" s="17">
        <f t="shared" si="517"/>
        <v>60.699999999999996</v>
      </c>
      <c r="BI156" s="17">
        <f t="shared" si="517"/>
        <v>60.4</v>
      </c>
      <c r="BJ156" s="17">
        <f t="shared" si="517"/>
        <v>60.3</v>
      </c>
      <c r="BK156" s="17">
        <f>$G$132-BK155</f>
        <v>60.8</v>
      </c>
      <c r="BL156" s="17">
        <f>$G$132-BL155</f>
        <v>60.599999999999994</v>
      </c>
    </row>
    <row r="157" spans="2:64" ht="15.75" thickBot="1" x14ac:dyDescent="0.3">
      <c r="B157" s="20"/>
      <c r="C157" s="21"/>
      <c r="D157" s="21"/>
      <c r="E157" s="22" t="s">
        <v>59</v>
      </c>
      <c r="F157" s="22"/>
      <c r="G157" s="22"/>
      <c r="H157" s="22"/>
      <c r="I157" s="23">
        <f t="shared" ref="I157" si="518">I155/$G156</f>
        <v>0</v>
      </c>
      <c r="J157" s="23">
        <f t="shared" ref="J157" si="519">J155/$G156</f>
        <v>0</v>
      </c>
      <c r="K157" s="23">
        <f>K155/$G156</f>
        <v>0.26600000000000001</v>
      </c>
      <c r="L157" s="23">
        <f t="shared" ref="L157" si="520">L155/$G156</f>
        <v>0.28000000000000003</v>
      </c>
      <c r="M157" s="23">
        <f t="shared" ref="M157" si="521">M155/$G156</f>
        <v>0.28444444444444444</v>
      </c>
      <c r="N157" s="23">
        <f t="shared" ref="N157:S157" si="522">N155/$G156</f>
        <v>0.31555555555555553</v>
      </c>
      <c r="O157" s="23">
        <f t="shared" si="522"/>
        <v>0.26222222222222225</v>
      </c>
      <c r="P157" s="23">
        <f t="shared" si="522"/>
        <v>0.27555555555555555</v>
      </c>
      <c r="Q157" s="23">
        <f t="shared" si="522"/>
        <v>0.28444444444444444</v>
      </c>
      <c r="R157" s="23">
        <f t="shared" si="522"/>
        <v>0.28888888888888886</v>
      </c>
      <c r="S157" s="23">
        <f t="shared" si="522"/>
        <v>0.29333333333333333</v>
      </c>
      <c r="T157" s="23">
        <f t="shared" ref="T157:U157" si="523">T155/$G156</f>
        <v>0.29777777777777781</v>
      </c>
      <c r="U157" s="23">
        <f t="shared" si="523"/>
        <v>0.29333333333333333</v>
      </c>
      <c r="V157" s="23">
        <f t="shared" ref="V157:AB157" si="524">V155/$G156</f>
        <v>0.29333333333333333</v>
      </c>
      <c r="W157" s="23">
        <f t="shared" si="524"/>
        <v>0.29333333333333333</v>
      </c>
      <c r="X157" s="23">
        <f t="shared" si="524"/>
        <v>0.32444444444444442</v>
      </c>
      <c r="Y157" s="23">
        <f t="shared" si="524"/>
        <v>0.29777777777777781</v>
      </c>
      <c r="Z157" s="23">
        <f t="shared" si="524"/>
        <v>0.29333333333333333</v>
      </c>
      <c r="AA157" s="23">
        <f t="shared" si="524"/>
        <v>0.3066666666666667</v>
      </c>
      <c r="AB157" s="23">
        <f t="shared" si="524"/>
        <v>0.34222222222222221</v>
      </c>
      <c r="AC157" s="23">
        <f t="shared" ref="AC157" si="525">AC155/$G156</f>
        <v>0.33333333333333331</v>
      </c>
      <c r="AD157" s="23">
        <f t="shared" ref="AD157:AJ157" si="526">AD155/$G156</f>
        <v>0.33777777777777779</v>
      </c>
      <c r="AE157" s="23">
        <f t="shared" si="526"/>
        <v>0.33777777777777779</v>
      </c>
      <c r="AF157" s="23">
        <f t="shared" si="526"/>
        <v>0.36</v>
      </c>
      <c r="AG157" s="23">
        <f t="shared" si="526"/>
        <v>0.33777777777777779</v>
      </c>
      <c r="AH157" s="23">
        <f t="shared" si="526"/>
        <v>0.34666666666666668</v>
      </c>
      <c r="AI157" s="23">
        <f t="shared" si="526"/>
        <v>0.35111111111111115</v>
      </c>
      <c r="AJ157" s="23">
        <f t="shared" si="526"/>
        <v>0.35555555555555557</v>
      </c>
      <c r="AK157" s="23">
        <f t="shared" ref="AK157" si="527">AK155/$G156</f>
        <v>0.35555555555555557</v>
      </c>
      <c r="AL157" s="23">
        <f t="shared" ref="AL157:AQ157" si="528">AL155/$G156</f>
        <v>0.35111111111111115</v>
      </c>
      <c r="AM157" s="23">
        <f t="shared" si="528"/>
        <v>0.3644444444444444</v>
      </c>
      <c r="AN157" s="23">
        <f t="shared" si="528"/>
        <v>0.36888888888888893</v>
      </c>
      <c r="AO157" s="23">
        <f t="shared" si="528"/>
        <v>0.37333333333333335</v>
      </c>
      <c r="AP157" s="23">
        <f t="shared" si="528"/>
        <v>0.37333333333333335</v>
      </c>
      <c r="AQ157" s="23">
        <f t="shared" si="528"/>
        <v>0.37777777777777777</v>
      </c>
      <c r="AR157" s="23">
        <f>AR155/$G156</f>
        <v>0.37777777777777777</v>
      </c>
      <c r="AS157" s="23">
        <f>AS155/$G156</f>
        <v>0.38222222222222219</v>
      </c>
      <c r="AT157" s="23">
        <f>AT155/$G156</f>
        <v>0.38222222222222219</v>
      </c>
      <c r="AU157" s="23">
        <f t="shared" ref="AU157:AV157" si="529">AU155/$G156</f>
        <v>0.39111111111111113</v>
      </c>
      <c r="AV157" s="23">
        <f t="shared" si="529"/>
        <v>0.43555555555555558</v>
      </c>
      <c r="AW157" s="23">
        <f t="shared" ref="AW157:AX157" si="530">AW155/$G156</f>
        <v>0.44</v>
      </c>
      <c r="AX157" s="23">
        <f t="shared" si="530"/>
        <v>0.43555555555555558</v>
      </c>
      <c r="AY157" s="23">
        <f t="shared" ref="AY157:AZ157" si="531">AY155/$G156</f>
        <v>0.4</v>
      </c>
      <c r="AZ157" s="23">
        <f t="shared" si="531"/>
        <v>0.39555555555555555</v>
      </c>
      <c r="BA157" s="23">
        <f t="shared" ref="BA157:BB157" si="532">BA155/$G156</f>
        <v>0.39111111111111113</v>
      </c>
      <c r="BB157" s="23">
        <f t="shared" si="532"/>
        <v>0.40444444444444444</v>
      </c>
      <c r="BC157" s="23">
        <f t="shared" ref="BC157" si="533">BC155/$G156</f>
        <v>0.40444444444444444</v>
      </c>
      <c r="BD157" s="23">
        <f t="shared" ref="BD157:BJ157" si="534">BD155/$G156</f>
        <v>0.40888888888888886</v>
      </c>
      <c r="BE157" s="23">
        <f t="shared" si="534"/>
        <v>0.41333333333333339</v>
      </c>
      <c r="BF157" s="23">
        <f t="shared" si="534"/>
        <v>0.42222222222222222</v>
      </c>
      <c r="BG157" s="23">
        <f t="shared" si="534"/>
        <v>0.44</v>
      </c>
      <c r="BH157" s="23">
        <f t="shared" si="534"/>
        <v>0.44888888888888889</v>
      </c>
      <c r="BI157" s="23">
        <f t="shared" si="534"/>
        <v>0.46222222222222226</v>
      </c>
      <c r="BJ157" s="23">
        <f t="shared" si="534"/>
        <v>0.46666666666666667</v>
      </c>
      <c r="BK157" s="23">
        <f>BK155/$G156</f>
        <v>0.44444444444444442</v>
      </c>
      <c r="BL157" s="23">
        <f>BL155/$G156</f>
        <v>0.45333333333333331</v>
      </c>
    </row>
    <row r="158" spans="2:64" ht="15.75" thickBot="1" x14ac:dyDescent="0.3"/>
    <row r="159" spans="2:64" x14ac:dyDescent="0.25">
      <c r="B159" s="43" t="s">
        <v>117</v>
      </c>
      <c r="C159" s="10" t="s">
        <v>108</v>
      </c>
      <c r="D159" s="10" t="s">
        <v>105</v>
      </c>
      <c r="E159" s="10" t="s">
        <v>109</v>
      </c>
      <c r="F159" s="10"/>
      <c r="G159" s="27"/>
      <c r="H159" s="10"/>
      <c r="I159" s="44"/>
      <c r="J159" s="44"/>
      <c r="K159" s="10">
        <f>28.9*0.353</f>
        <v>10.201699999999999</v>
      </c>
      <c r="L159" s="10">
        <f>28.9*0.156</f>
        <v>4.5084</v>
      </c>
      <c r="M159" s="10">
        <v>4.5999999999999996</v>
      </c>
      <c r="N159" s="10">
        <v>4.8</v>
      </c>
      <c r="O159" s="10">
        <v>4.9000000000000004</v>
      </c>
      <c r="P159" s="10">
        <v>5.0999999999999996</v>
      </c>
      <c r="Q159" s="10">
        <v>5.3</v>
      </c>
      <c r="R159" s="10">
        <v>4.9000000000000004</v>
      </c>
      <c r="S159" s="10">
        <v>5</v>
      </c>
      <c r="T159" s="10">
        <v>5.0999999999999996</v>
      </c>
      <c r="U159" s="10">
        <v>5.2</v>
      </c>
      <c r="V159" s="10">
        <v>5.2</v>
      </c>
      <c r="W159" s="10">
        <v>5.2</v>
      </c>
      <c r="X159" s="10">
        <v>5.6</v>
      </c>
      <c r="Y159" s="10">
        <v>5.4</v>
      </c>
      <c r="Z159" s="10">
        <v>5.3</v>
      </c>
      <c r="AA159" s="10">
        <v>5.6</v>
      </c>
      <c r="AB159" s="10">
        <v>5.8</v>
      </c>
      <c r="AC159" s="10">
        <v>5.8</v>
      </c>
      <c r="AD159" s="10">
        <v>5.9</v>
      </c>
      <c r="AE159" s="10">
        <v>5.9</v>
      </c>
      <c r="AF159" s="10">
        <v>7.1</v>
      </c>
      <c r="AG159" s="10">
        <v>6.5</v>
      </c>
      <c r="AH159" s="10">
        <v>6.7</v>
      </c>
      <c r="AI159" s="10">
        <v>7.1</v>
      </c>
      <c r="AJ159" s="10">
        <v>7</v>
      </c>
      <c r="AK159" s="10">
        <v>7.1</v>
      </c>
      <c r="AL159" s="10">
        <v>7</v>
      </c>
      <c r="AM159" s="10">
        <v>7.1</v>
      </c>
      <c r="AN159" s="10">
        <v>7.3</v>
      </c>
      <c r="AO159" s="10">
        <v>7.4</v>
      </c>
      <c r="AP159" s="10">
        <v>7.2</v>
      </c>
      <c r="AQ159" s="10">
        <v>7.3</v>
      </c>
      <c r="AR159" s="10">
        <v>7.4</v>
      </c>
      <c r="AS159" s="10">
        <v>7.4</v>
      </c>
      <c r="AT159" s="10">
        <v>7.5</v>
      </c>
      <c r="AU159" s="10">
        <v>7.6</v>
      </c>
      <c r="AV159" s="10">
        <v>7.7</v>
      </c>
      <c r="AW159" s="10">
        <v>7.8</v>
      </c>
      <c r="AX159" s="10">
        <v>7.8</v>
      </c>
      <c r="AY159" s="10">
        <v>7.9</v>
      </c>
      <c r="AZ159" s="10">
        <v>8</v>
      </c>
      <c r="BA159" s="10">
        <v>8</v>
      </c>
      <c r="BB159" s="10">
        <v>8.1</v>
      </c>
      <c r="BC159" s="10">
        <v>8.1999999999999993</v>
      </c>
      <c r="BD159">
        <v>8.1999999999999993</v>
      </c>
      <c r="BE159">
        <v>8.4</v>
      </c>
      <c r="BF159">
        <v>8.5</v>
      </c>
      <c r="BG159">
        <v>8.6</v>
      </c>
      <c r="BH159">
        <v>8.6999999999999993</v>
      </c>
      <c r="BI159">
        <v>10.1</v>
      </c>
      <c r="BJ159">
        <v>9.1</v>
      </c>
      <c r="BK159">
        <v>8.9</v>
      </c>
      <c r="BL159">
        <v>9.1</v>
      </c>
    </row>
    <row r="160" spans="2:64" x14ac:dyDescent="0.25">
      <c r="B160" s="33"/>
      <c r="C160" s="34"/>
      <c r="D160" s="34"/>
      <c r="E160" s="34"/>
      <c r="F160" s="34"/>
      <c r="G160" s="34"/>
      <c r="H160" s="34"/>
      <c r="I160" s="47"/>
      <c r="J160" s="47"/>
      <c r="K160" s="47"/>
      <c r="L160" s="47"/>
      <c r="M160" s="47"/>
      <c r="N160" s="47"/>
      <c r="O160" s="47"/>
      <c r="P160" s="47"/>
      <c r="Q160" s="47"/>
      <c r="R160" s="47"/>
      <c r="S160" s="47"/>
      <c r="T160" s="47"/>
      <c r="U160" s="47"/>
      <c r="V160" s="47"/>
      <c r="W160" s="47"/>
      <c r="X160" s="47"/>
      <c r="Y160" s="47"/>
      <c r="Z160" s="47"/>
      <c r="AA160" s="47"/>
      <c r="AB160" s="47"/>
      <c r="AC160" s="47"/>
      <c r="AD160" s="47"/>
      <c r="AE160" s="47"/>
      <c r="AF160" s="47"/>
      <c r="AG160" s="34"/>
      <c r="AH160" s="34"/>
      <c r="AI160" s="34"/>
      <c r="AJ160" s="34"/>
      <c r="AK160" s="34"/>
      <c r="AL160" s="34"/>
      <c r="AM160" s="34"/>
      <c r="AN160" s="34"/>
      <c r="AO160" s="34"/>
      <c r="AP160" s="34"/>
      <c r="AQ160" s="34"/>
      <c r="AR160" s="34"/>
      <c r="AS160" s="34"/>
      <c r="AT160" s="34"/>
      <c r="AU160" s="34"/>
      <c r="AV160" s="34"/>
      <c r="AW160" s="34"/>
      <c r="AX160" s="34"/>
      <c r="AY160" s="34"/>
      <c r="AZ160" s="34"/>
      <c r="BA160" s="34"/>
      <c r="BB160" s="34"/>
      <c r="BC160" s="34"/>
      <c r="BD160" s="34"/>
      <c r="BE160" s="34"/>
      <c r="BF160" s="34"/>
      <c r="BG160" s="34"/>
      <c r="BH160" s="34"/>
      <c r="BI160" s="34"/>
      <c r="BJ160" s="34"/>
      <c r="BK160" s="34"/>
      <c r="BL160" s="34"/>
    </row>
    <row r="161" spans="2:64" x14ac:dyDescent="0.25">
      <c r="B161" s="14"/>
      <c r="E161" s="16" t="s">
        <v>55</v>
      </c>
      <c r="F161" s="16"/>
      <c r="G161" s="48"/>
      <c r="H161" s="16"/>
      <c r="I161" s="17">
        <f>SUM(I159:I160)</f>
        <v>0</v>
      </c>
      <c r="J161" s="17">
        <f>SUM(J159:J160)</f>
        <v>0</v>
      </c>
      <c r="K161" s="17">
        <f>28.9*0.149</f>
        <v>4.3060999999999998</v>
      </c>
      <c r="L161" s="17">
        <f t="shared" ref="L161:R161" si="535">SUM(L159:L160)</f>
        <v>4.5084</v>
      </c>
      <c r="M161" s="17">
        <f t="shared" si="535"/>
        <v>4.5999999999999996</v>
      </c>
      <c r="N161" s="17">
        <f t="shared" si="535"/>
        <v>4.8</v>
      </c>
      <c r="O161" s="17">
        <f t="shared" si="535"/>
        <v>4.9000000000000004</v>
      </c>
      <c r="P161" s="17">
        <f t="shared" si="535"/>
        <v>5.0999999999999996</v>
      </c>
      <c r="Q161" s="17">
        <f t="shared" si="535"/>
        <v>5.3</v>
      </c>
      <c r="R161" s="17">
        <f t="shared" si="535"/>
        <v>4.9000000000000004</v>
      </c>
      <c r="S161" s="17">
        <f t="shared" ref="S161:X161" si="536">SUM(S159:S160)</f>
        <v>5</v>
      </c>
      <c r="T161" s="17">
        <f t="shared" si="536"/>
        <v>5.0999999999999996</v>
      </c>
      <c r="U161" s="17">
        <f t="shared" si="536"/>
        <v>5.2</v>
      </c>
      <c r="V161" s="17">
        <f t="shared" si="536"/>
        <v>5.2</v>
      </c>
      <c r="W161" s="17">
        <f t="shared" si="536"/>
        <v>5.2</v>
      </c>
      <c r="X161" s="17">
        <f t="shared" si="536"/>
        <v>5.6</v>
      </c>
      <c r="Y161" s="17">
        <f t="shared" ref="Y161:Z161" si="537">SUM(Y159:Y160)</f>
        <v>5.4</v>
      </c>
      <c r="Z161" s="17">
        <f t="shared" si="537"/>
        <v>5.3</v>
      </c>
      <c r="AA161" s="17">
        <f t="shared" ref="AA161:AF161" si="538">SUM(AA159:AA160)</f>
        <v>5.6</v>
      </c>
      <c r="AB161" s="17">
        <f t="shared" si="538"/>
        <v>5.8</v>
      </c>
      <c r="AC161" s="17">
        <f t="shared" si="538"/>
        <v>5.8</v>
      </c>
      <c r="AD161" s="17">
        <f t="shared" si="538"/>
        <v>5.9</v>
      </c>
      <c r="AE161" s="17">
        <f t="shared" si="538"/>
        <v>5.9</v>
      </c>
      <c r="AF161" s="17">
        <f t="shared" si="538"/>
        <v>7.1</v>
      </c>
      <c r="AG161" s="17">
        <f t="shared" ref="AG161:AL161" si="539">SUM(AG159:AG160)</f>
        <v>6.5</v>
      </c>
      <c r="AH161" s="17">
        <f t="shared" si="539"/>
        <v>6.7</v>
      </c>
      <c r="AI161" s="17">
        <f t="shared" si="539"/>
        <v>7.1</v>
      </c>
      <c r="AJ161" s="17">
        <f t="shared" si="539"/>
        <v>7</v>
      </c>
      <c r="AK161" s="17">
        <f t="shared" si="539"/>
        <v>7.1</v>
      </c>
      <c r="AL161" s="17">
        <f t="shared" si="539"/>
        <v>7</v>
      </c>
      <c r="AM161" s="17">
        <f t="shared" ref="AM161:AN161" si="540">SUM(AM159:AM160)</f>
        <v>7.1</v>
      </c>
      <c r="AN161" s="17">
        <f t="shared" si="540"/>
        <v>7.3</v>
      </c>
      <c r="AO161" s="17">
        <f t="shared" ref="AO161:AP161" si="541">SUM(AO159:AO160)</f>
        <v>7.4</v>
      </c>
      <c r="AP161" s="17">
        <f t="shared" si="541"/>
        <v>7.2</v>
      </c>
      <c r="AQ161" s="17">
        <f t="shared" ref="AQ161" si="542">SUM(AQ159:AQ160)</f>
        <v>7.3</v>
      </c>
      <c r="AR161" s="17">
        <f>SUM(AR159:AR160)</f>
        <v>7.4</v>
      </c>
      <c r="AS161" s="17">
        <f>SUM(AS159:AS160)</f>
        <v>7.4</v>
      </c>
      <c r="AT161" s="17">
        <f>SUM(AT159:AT160)</f>
        <v>7.5</v>
      </c>
      <c r="AU161" s="17">
        <f t="shared" ref="AU161:AV161" si="543">SUM(AU159:AU160)</f>
        <v>7.6</v>
      </c>
      <c r="AV161" s="17">
        <f t="shared" si="543"/>
        <v>7.7</v>
      </c>
      <c r="AW161" s="17">
        <f t="shared" ref="AW161:AX161" si="544">SUM(AW159:AW160)</f>
        <v>7.8</v>
      </c>
      <c r="AX161" s="17">
        <f t="shared" si="544"/>
        <v>7.8</v>
      </c>
      <c r="AY161" s="17">
        <f t="shared" ref="AY161:AZ161" si="545">SUM(AY159:AY160)</f>
        <v>7.9</v>
      </c>
      <c r="AZ161" s="17">
        <f t="shared" si="545"/>
        <v>8</v>
      </c>
      <c r="BA161" s="17">
        <f t="shared" ref="BA161:BB161" si="546">SUM(BA159:BA160)</f>
        <v>8</v>
      </c>
      <c r="BB161" s="17">
        <f t="shared" si="546"/>
        <v>8.1</v>
      </c>
      <c r="BC161" s="17">
        <f t="shared" ref="BC161" si="547">SUM(BC159:BC160)</f>
        <v>8.1999999999999993</v>
      </c>
      <c r="BD161" s="17">
        <f t="shared" ref="BD161:BJ161" si="548">SUM(BD159:BD160)</f>
        <v>8.1999999999999993</v>
      </c>
      <c r="BE161" s="17">
        <f t="shared" si="548"/>
        <v>8.4</v>
      </c>
      <c r="BF161" s="17">
        <f t="shared" si="548"/>
        <v>8.5</v>
      </c>
      <c r="BG161" s="17">
        <f t="shared" si="548"/>
        <v>8.6</v>
      </c>
      <c r="BH161" s="17">
        <f t="shared" si="548"/>
        <v>8.6999999999999993</v>
      </c>
      <c r="BI161" s="17">
        <f t="shared" si="548"/>
        <v>10.1</v>
      </c>
      <c r="BJ161" s="17">
        <f t="shared" si="548"/>
        <v>9.1</v>
      </c>
      <c r="BK161" s="17">
        <f>SUM(BK159:BK160)</f>
        <v>8.9</v>
      </c>
      <c r="BL161" s="17">
        <f>SUM(BL159:BL160)</f>
        <v>9.1</v>
      </c>
    </row>
    <row r="162" spans="2:64" x14ac:dyDescent="0.25">
      <c r="B162" s="19"/>
      <c r="C162" s="16"/>
      <c r="D162" s="16"/>
      <c r="E162" s="49" t="s">
        <v>57</v>
      </c>
      <c r="F162" s="16"/>
      <c r="G162" s="16">
        <v>28.9</v>
      </c>
      <c r="H162" s="16"/>
      <c r="I162" s="17">
        <f>$G$132-I161</f>
        <v>70.8</v>
      </c>
      <c r="J162" s="17">
        <f t="shared" ref="J162" si="549">$G$132-J161</f>
        <v>70.8</v>
      </c>
      <c r="K162" s="17">
        <f t="shared" ref="K162" si="550">$G$132-K161</f>
        <v>66.493899999999996</v>
      </c>
      <c r="L162" s="17">
        <f t="shared" ref="L162" si="551">$G$132-L161</f>
        <v>66.291600000000003</v>
      </c>
      <c r="M162" s="17">
        <f t="shared" ref="M162" si="552">$G$132-M161</f>
        <v>66.2</v>
      </c>
      <c r="N162" s="17">
        <f t="shared" ref="N162" si="553">$G$132-N161</f>
        <v>66</v>
      </c>
      <c r="O162" s="17">
        <f t="shared" ref="O162:T162" si="554">$G$132-O161</f>
        <v>65.899999999999991</v>
      </c>
      <c r="P162" s="17">
        <f t="shared" si="554"/>
        <v>65.7</v>
      </c>
      <c r="Q162" s="17">
        <f t="shared" si="554"/>
        <v>65.5</v>
      </c>
      <c r="R162" s="17">
        <f t="shared" si="554"/>
        <v>65.899999999999991</v>
      </c>
      <c r="S162" s="17">
        <f t="shared" si="554"/>
        <v>65.8</v>
      </c>
      <c r="T162" s="17">
        <f t="shared" si="554"/>
        <v>65.7</v>
      </c>
      <c r="U162" s="17">
        <f t="shared" ref="U162" si="555">$G$132-U161</f>
        <v>65.599999999999994</v>
      </c>
      <c r="V162" s="17">
        <f t="shared" ref="V162:AB162" si="556">$G$132-V161</f>
        <v>65.599999999999994</v>
      </c>
      <c r="W162" s="17">
        <f t="shared" si="556"/>
        <v>65.599999999999994</v>
      </c>
      <c r="X162" s="17">
        <f t="shared" si="556"/>
        <v>65.2</v>
      </c>
      <c r="Y162" s="17">
        <f t="shared" si="556"/>
        <v>65.399999999999991</v>
      </c>
      <c r="Z162" s="17">
        <f t="shared" si="556"/>
        <v>65.5</v>
      </c>
      <c r="AA162" s="17">
        <f t="shared" si="556"/>
        <v>65.2</v>
      </c>
      <c r="AB162" s="17">
        <f t="shared" si="556"/>
        <v>65</v>
      </c>
      <c r="AC162" s="17">
        <f t="shared" ref="AC162" si="557">$G$132-AC161</f>
        <v>65</v>
      </c>
      <c r="AD162" s="17">
        <f t="shared" ref="AD162:AJ162" si="558">$G$132-AD161</f>
        <v>64.899999999999991</v>
      </c>
      <c r="AE162" s="17">
        <f t="shared" si="558"/>
        <v>64.899999999999991</v>
      </c>
      <c r="AF162" s="17">
        <f t="shared" si="558"/>
        <v>63.699999999999996</v>
      </c>
      <c r="AG162" s="17">
        <f t="shared" si="558"/>
        <v>64.3</v>
      </c>
      <c r="AH162" s="17">
        <f t="shared" si="558"/>
        <v>64.099999999999994</v>
      </c>
      <c r="AI162" s="17">
        <f t="shared" si="558"/>
        <v>63.699999999999996</v>
      </c>
      <c r="AJ162" s="17">
        <f t="shared" si="558"/>
        <v>63.8</v>
      </c>
      <c r="AK162" s="17">
        <f t="shared" ref="AK162" si="559">$G$132-AK161</f>
        <v>63.699999999999996</v>
      </c>
      <c r="AL162" s="17">
        <f t="shared" ref="AL162:AQ162" si="560">$G$132-AL161</f>
        <v>63.8</v>
      </c>
      <c r="AM162" s="17">
        <f t="shared" si="560"/>
        <v>63.699999999999996</v>
      </c>
      <c r="AN162" s="17">
        <f t="shared" si="560"/>
        <v>63.5</v>
      </c>
      <c r="AO162" s="17">
        <f t="shared" si="560"/>
        <v>63.4</v>
      </c>
      <c r="AP162" s="17">
        <f t="shared" si="560"/>
        <v>63.599999999999994</v>
      </c>
      <c r="AQ162" s="17">
        <f t="shared" si="560"/>
        <v>63.5</v>
      </c>
      <c r="AR162" s="17">
        <f>$G$132-AR161</f>
        <v>63.4</v>
      </c>
      <c r="AS162" s="17">
        <f>$G$132-AS161</f>
        <v>63.4</v>
      </c>
      <c r="AT162" s="17">
        <f>$G$132-AT161</f>
        <v>63.3</v>
      </c>
      <c r="AU162" s="17">
        <f t="shared" ref="AU162:AV162" si="561">$G$132-AU161</f>
        <v>63.199999999999996</v>
      </c>
      <c r="AV162" s="17">
        <f t="shared" si="561"/>
        <v>63.099999999999994</v>
      </c>
      <c r="AW162" s="17">
        <f t="shared" ref="AW162:AX162" si="562">$G$132-AW161</f>
        <v>63</v>
      </c>
      <c r="AX162" s="17">
        <f t="shared" si="562"/>
        <v>63</v>
      </c>
      <c r="AY162" s="17">
        <f t="shared" ref="AY162:AZ162" si="563">$G$132-AY161</f>
        <v>62.9</v>
      </c>
      <c r="AZ162" s="17">
        <f t="shared" si="563"/>
        <v>62.8</v>
      </c>
      <c r="BA162" s="17">
        <f t="shared" ref="BA162:BB162" si="564">$G$132-BA161</f>
        <v>62.8</v>
      </c>
      <c r="BB162" s="17">
        <f t="shared" si="564"/>
        <v>62.699999999999996</v>
      </c>
      <c r="BC162" s="17">
        <f t="shared" ref="BC162" si="565">$G$132-BC161</f>
        <v>62.599999999999994</v>
      </c>
      <c r="BD162" s="17">
        <f t="shared" ref="BD162:BJ162" si="566">$G$132-BD161</f>
        <v>62.599999999999994</v>
      </c>
      <c r="BE162" s="17">
        <f t="shared" si="566"/>
        <v>62.4</v>
      </c>
      <c r="BF162" s="17">
        <f t="shared" si="566"/>
        <v>62.3</v>
      </c>
      <c r="BG162" s="17">
        <f t="shared" si="566"/>
        <v>62.199999999999996</v>
      </c>
      <c r="BH162" s="17">
        <f t="shared" si="566"/>
        <v>62.099999999999994</v>
      </c>
      <c r="BI162" s="17">
        <f t="shared" si="566"/>
        <v>60.699999999999996</v>
      </c>
      <c r="BJ162" s="17">
        <f t="shared" si="566"/>
        <v>61.699999999999996</v>
      </c>
      <c r="BK162" s="17">
        <f>$G$132-BK161</f>
        <v>61.9</v>
      </c>
      <c r="BL162" s="17">
        <f>$G$132-BL161</f>
        <v>61.699999999999996</v>
      </c>
    </row>
    <row r="163" spans="2:64" ht="15.75" thickBot="1" x14ac:dyDescent="0.3">
      <c r="B163" s="20"/>
      <c r="C163" s="21"/>
      <c r="D163" s="21"/>
      <c r="E163" s="22" t="s">
        <v>59</v>
      </c>
      <c r="F163" s="22"/>
      <c r="G163" s="22"/>
      <c r="H163" s="22"/>
      <c r="I163" s="23">
        <f t="shared" ref="I163" si="567">I161/$G162</f>
        <v>0</v>
      </c>
      <c r="J163" s="23">
        <f t="shared" ref="J163" si="568">J161/$G162</f>
        <v>0</v>
      </c>
      <c r="K163" s="23">
        <f>K161/$G162</f>
        <v>0.14899999999999999</v>
      </c>
      <c r="L163" s="23">
        <f t="shared" ref="L163" si="569">L161/$G162</f>
        <v>0.156</v>
      </c>
      <c r="M163" s="23">
        <f t="shared" ref="M163" si="570">M161/$G162</f>
        <v>0.15916955017301038</v>
      </c>
      <c r="N163" s="23">
        <f t="shared" ref="N163:S163" si="571">N161/$G162</f>
        <v>0.16608996539792387</v>
      </c>
      <c r="O163" s="23">
        <f t="shared" si="571"/>
        <v>0.16955017301038064</v>
      </c>
      <c r="P163" s="23">
        <f t="shared" si="571"/>
        <v>0.1764705882352941</v>
      </c>
      <c r="Q163" s="23">
        <f t="shared" si="571"/>
        <v>0.18339100346020762</v>
      </c>
      <c r="R163" s="23">
        <f t="shared" si="571"/>
        <v>0.16955017301038064</v>
      </c>
      <c r="S163" s="23">
        <f t="shared" si="571"/>
        <v>0.17301038062283738</v>
      </c>
      <c r="T163" s="23">
        <f t="shared" ref="T163:U163" si="572">T161/$G162</f>
        <v>0.1764705882352941</v>
      </c>
      <c r="U163" s="23">
        <f t="shared" si="572"/>
        <v>0.17993079584775087</v>
      </c>
      <c r="V163" s="23">
        <f t="shared" ref="V163:AB163" si="573">V161/$G162</f>
        <v>0.17993079584775087</v>
      </c>
      <c r="W163" s="23">
        <f t="shared" si="573"/>
        <v>0.17993079584775087</v>
      </c>
      <c r="X163" s="23">
        <f t="shared" si="573"/>
        <v>0.19377162629757785</v>
      </c>
      <c r="Y163" s="23">
        <f t="shared" si="573"/>
        <v>0.18685121107266439</v>
      </c>
      <c r="Z163" s="23">
        <f t="shared" si="573"/>
        <v>0.18339100346020762</v>
      </c>
      <c r="AA163" s="23">
        <f t="shared" si="573"/>
        <v>0.19377162629757785</v>
      </c>
      <c r="AB163" s="23">
        <f t="shared" si="573"/>
        <v>0.20069204152249134</v>
      </c>
      <c r="AC163" s="23">
        <f t="shared" ref="AC163" si="574">AC161/$G162</f>
        <v>0.20069204152249134</v>
      </c>
      <c r="AD163" s="23">
        <f t="shared" ref="AD163:AJ163" si="575">AD161/$G162</f>
        <v>0.20415224913494812</v>
      </c>
      <c r="AE163" s="23">
        <f t="shared" si="575"/>
        <v>0.20415224913494812</v>
      </c>
      <c r="AF163" s="23">
        <f t="shared" si="575"/>
        <v>0.24567474048442905</v>
      </c>
      <c r="AG163" s="23">
        <f t="shared" si="575"/>
        <v>0.22491349480968859</v>
      </c>
      <c r="AH163" s="23">
        <f t="shared" si="575"/>
        <v>0.2318339100346021</v>
      </c>
      <c r="AI163" s="23">
        <f t="shared" si="575"/>
        <v>0.24567474048442905</v>
      </c>
      <c r="AJ163" s="23">
        <f t="shared" si="575"/>
        <v>0.24221453287197234</v>
      </c>
      <c r="AK163" s="23">
        <f t="shared" ref="AK163" si="576">AK161/$G162</f>
        <v>0.24567474048442905</v>
      </c>
      <c r="AL163" s="23">
        <f t="shared" ref="AL163:AQ163" si="577">AL161/$G162</f>
        <v>0.24221453287197234</v>
      </c>
      <c r="AM163" s="23">
        <f t="shared" si="577"/>
        <v>0.24567474048442905</v>
      </c>
      <c r="AN163" s="23">
        <f t="shared" si="577"/>
        <v>0.25259515570934254</v>
      </c>
      <c r="AO163" s="23">
        <f t="shared" si="577"/>
        <v>0.25605536332179935</v>
      </c>
      <c r="AP163" s="23">
        <f t="shared" si="577"/>
        <v>0.24913494809688583</v>
      </c>
      <c r="AQ163" s="23">
        <f t="shared" si="577"/>
        <v>0.25259515570934254</v>
      </c>
      <c r="AR163" s="23">
        <f>AR161/$G162</f>
        <v>0.25605536332179935</v>
      </c>
      <c r="AS163" s="23">
        <f>AS161/$G162</f>
        <v>0.25605536332179935</v>
      </c>
      <c r="AT163" s="23">
        <f>AT161/$G162</f>
        <v>0.25951557093425609</v>
      </c>
      <c r="AU163" s="23">
        <f t="shared" ref="AU163:AV163" si="578">AU161/$G162</f>
        <v>0.26297577854671278</v>
      </c>
      <c r="AV163" s="23">
        <f t="shared" si="578"/>
        <v>0.26643598615916958</v>
      </c>
      <c r="AW163" s="23">
        <f t="shared" ref="AW163:AX163" si="579">AW161/$G162</f>
        <v>0.26989619377162632</v>
      </c>
      <c r="AX163" s="23">
        <f t="shared" si="579"/>
        <v>0.26989619377162632</v>
      </c>
      <c r="AY163" s="23">
        <f t="shared" ref="AY163:AZ163" si="580">AY161/$G162</f>
        <v>0.27335640138408307</v>
      </c>
      <c r="AZ163" s="23">
        <f t="shared" si="580"/>
        <v>0.27681660899653981</v>
      </c>
      <c r="BA163" s="23">
        <f t="shared" ref="BA163:BB163" si="581">BA161/$G162</f>
        <v>0.27681660899653981</v>
      </c>
      <c r="BB163" s="23">
        <f t="shared" si="581"/>
        <v>0.28027681660899656</v>
      </c>
      <c r="BC163" s="23">
        <f t="shared" ref="BC163" si="582">BC161/$G162</f>
        <v>0.28373702422145325</v>
      </c>
      <c r="BD163" s="23">
        <f t="shared" ref="BD163:BJ163" si="583">BD161/$G162</f>
        <v>0.28373702422145325</v>
      </c>
      <c r="BE163" s="23">
        <f t="shared" si="583"/>
        <v>0.29065743944636679</v>
      </c>
      <c r="BF163" s="23">
        <f t="shared" si="583"/>
        <v>0.29411764705882354</v>
      </c>
      <c r="BG163" s="23">
        <f t="shared" si="583"/>
        <v>0.29757785467128028</v>
      </c>
      <c r="BH163" s="23">
        <f t="shared" si="583"/>
        <v>0.30103806228373703</v>
      </c>
      <c r="BI163" s="23">
        <f t="shared" si="583"/>
        <v>0.34948096885813151</v>
      </c>
      <c r="BJ163" s="23">
        <f t="shared" si="583"/>
        <v>0.31487889273356401</v>
      </c>
      <c r="BK163" s="23">
        <f>BK161/$G162</f>
        <v>0.30795847750865052</v>
      </c>
      <c r="BL163" s="23">
        <f>BL161/$G162</f>
        <v>0.31487889273356401</v>
      </c>
    </row>
    <row r="179" spans="4:4" ht="15" customHeight="1" x14ac:dyDescent="0.25">
      <c r="D179" s="38">
        <f>'Data Collection Sheet'!AZ108</f>
        <v>86.33</v>
      </c>
    </row>
    <row r="235" spans="4:8" ht="15" customHeight="1" x14ac:dyDescent="0.25">
      <c r="H235" t="e">
        <f>(D235/B235)*100</f>
        <v>#DIV/0!</v>
      </c>
    </row>
    <row r="240" spans="4:8" ht="15" customHeight="1" x14ac:dyDescent="0.25">
      <c r="D240" s="8">
        <f>'Data Collection Sheet'!AZ104</f>
        <v>35.08</v>
      </c>
    </row>
    <row r="335" spans="3:8" ht="15" customHeight="1" x14ac:dyDescent="0.25">
      <c r="C335" s="117">
        <v>45894</v>
      </c>
      <c r="D335">
        <f>'Data Collection Sheet'!AZ103</f>
        <v>51.25</v>
      </c>
      <c r="H335" t="e">
        <f>(D335/B335)*100</f>
        <v>#DIV/0!</v>
      </c>
    </row>
    <row r="336" spans="3:8" ht="15" customHeight="1" x14ac:dyDescent="0.25">
      <c r="C336" s="117">
        <v>45925</v>
      </c>
    </row>
    <row r="337" spans="3:3" ht="15" customHeight="1" x14ac:dyDescent="0.25">
      <c r="C337" s="117">
        <v>45955</v>
      </c>
    </row>
    <row r="338" spans="3:3" ht="15" customHeight="1" x14ac:dyDescent="0.25">
      <c r="C338" s="117">
        <v>45986</v>
      </c>
    </row>
    <row r="339" spans="3:3" ht="15" customHeight="1" x14ac:dyDescent="0.25">
      <c r="C339" s="117">
        <v>46016</v>
      </c>
    </row>
    <row r="379" spans="3:3" ht="15" customHeight="1" x14ac:dyDescent="0.25">
      <c r="C379" s="117">
        <v>45713</v>
      </c>
    </row>
  </sheetData>
  <mergeCells count="2">
    <mergeCell ref="BN8:CA8"/>
    <mergeCell ref="I8:AO8"/>
  </mergeCells>
  <phoneticPr fontId="9" type="noConversion"/>
  <conditionalFormatting sqref="I56:S56">
    <cfRule type="cellIs" dxfId="56" priority="47" operator="greaterThan">
      <formula>0.9</formula>
    </cfRule>
    <cfRule type="cellIs" dxfId="55" priority="48" operator="greaterThan">
      <formula>0.8</formula>
    </cfRule>
  </conditionalFormatting>
  <conditionalFormatting sqref="I70:S71 I79:S80">
    <cfRule type="cellIs" dxfId="54" priority="45" operator="greaterThan">
      <formula>0.9</formula>
    </cfRule>
    <cfRule type="cellIs" dxfId="53" priority="46" operator="greaterThan">
      <formula>0.8</formula>
    </cfRule>
  </conditionalFormatting>
  <conditionalFormatting sqref="I93:S93">
    <cfRule type="cellIs" dxfId="52" priority="43" operator="greaterThan">
      <formula>0.9</formula>
    </cfRule>
    <cfRule type="cellIs" dxfId="51" priority="44" operator="greaterThan">
      <formula>0.8</formula>
    </cfRule>
  </conditionalFormatting>
  <conditionalFormatting sqref="I101:S101">
    <cfRule type="cellIs" dxfId="50" priority="41" operator="greaterThan">
      <formula>0.9</formula>
    </cfRule>
    <cfRule type="cellIs" dxfId="49" priority="42" operator="greaterThan">
      <formula>0.8</formula>
    </cfRule>
  </conditionalFormatting>
  <conditionalFormatting sqref="I26:BL26">
    <cfRule type="cellIs" dxfId="48" priority="1" operator="greaterThan">
      <formula>0.9</formula>
    </cfRule>
    <cfRule type="cellIs" dxfId="47" priority="2" operator="greaterThan">
      <formula>0.8</formula>
    </cfRule>
  </conditionalFormatting>
  <conditionalFormatting sqref="I110:BL110">
    <cfRule type="cellIs" dxfId="46" priority="39" operator="greaterThan">
      <formula>0.9</formula>
    </cfRule>
    <cfRule type="cellIs" dxfId="45" priority="40" operator="greaterThan">
      <formula>0.8</formula>
    </cfRule>
  </conditionalFormatting>
  <conditionalFormatting sqref="I119:BL120">
    <cfRule type="cellIs" dxfId="44" priority="37" operator="greaterThan">
      <formula>0.9</formula>
    </cfRule>
    <cfRule type="cellIs" dxfId="43" priority="38" operator="greaterThan">
      <formula>0.8</formula>
    </cfRule>
  </conditionalFormatting>
  <conditionalFormatting sqref="I126:BL126">
    <cfRule type="cellIs" dxfId="42" priority="35" operator="greaterThan">
      <formula>0.75</formula>
    </cfRule>
    <cfRule type="cellIs" dxfId="41" priority="36" operator="greaterThan">
      <formula>0.65</formula>
    </cfRule>
  </conditionalFormatting>
  <conditionalFormatting sqref="I133:BL133">
    <cfRule type="cellIs" dxfId="40" priority="33" operator="greaterThan">
      <formula>0.75</formula>
    </cfRule>
    <cfRule type="cellIs" dxfId="39" priority="34" operator="greaterThan">
      <formula>0.65</formula>
    </cfRule>
  </conditionalFormatting>
  <conditionalFormatting sqref="I139:BL139">
    <cfRule type="cellIs" dxfId="38" priority="31" operator="greaterThan">
      <formula>0.75</formula>
    </cfRule>
    <cfRule type="cellIs" dxfId="37" priority="32" operator="greaterThan">
      <formula>0.65</formula>
    </cfRule>
  </conditionalFormatting>
  <conditionalFormatting sqref="I145:BL145">
    <cfRule type="cellIs" dxfId="36" priority="29" operator="greaterThan">
      <formula>0.75</formula>
    </cfRule>
    <cfRule type="cellIs" dxfId="35" priority="30" operator="greaterThan">
      <formula>0.65</formula>
    </cfRule>
  </conditionalFormatting>
  <conditionalFormatting sqref="I151:BL151">
    <cfRule type="cellIs" dxfId="34" priority="27" operator="greaterThan">
      <formula>0.75</formula>
    </cfRule>
    <cfRule type="cellIs" dxfId="33" priority="28" operator="greaterThan">
      <formula>0.65</formula>
    </cfRule>
  </conditionalFormatting>
  <conditionalFormatting sqref="I157:BL157">
    <cfRule type="cellIs" dxfId="32" priority="25" operator="greaterThan">
      <formula>0.75</formula>
    </cfRule>
    <cfRule type="cellIs" dxfId="31" priority="26" operator="greaterThan">
      <formula>0.65</formula>
    </cfRule>
  </conditionalFormatting>
  <conditionalFormatting sqref="I163:BL163">
    <cfRule type="cellIs" dxfId="30" priority="23" operator="greaterThan">
      <formula>0.75</formula>
    </cfRule>
    <cfRule type="cellIs" dxfId="29" priority="24" operator="greaterThan">
      <formula>0.65</formula>
    </cfRule>
  </conditionalFormatting>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4CB78-6F99-4642-8117-DC78F36B9E54}">
  <sheetPr codeName="Sheet3">
    <tabColor theme="0"/>
  </sheetPr>
  <dimension ref="A1:AZ428"/>
  <sheetViews>
    <sheetView topLeftCell="C1" zoomScale="90" zoomScaleNormal="90" workbookViewId="0">
      <pane ySplit="1" topLeftCell="A14" activePane="bottomLeft" state="frozen"/>
      <selection activeCell="I230" sqref="I230"/>
      <selection pane="bottomLeft" activeCell="D354" sqref="D354"/>
    </sheetView>
  </sheetViews>
  <sheetFormatPr defaultRowHeight="15" x14ac:dyDescent="0.25"/>
  <cols>
    <col min="1" max="1" width="51.140625" style="67" customWidth="1"/>
    <col min="2" max="2" width="13.7109375" bestFit="1" customWidth="1"/>
    <col min="3" max="4" width="8.7109375" bestFit="1" customWidth="1"/>
    <col min="5" max="5" width="11.5703125" bestFit="1" customWidth="1"/>
    <col min="6" max="6" width="11" bestFit="1" customWidth="1"/>
    <col min="7" max="7" width="8.7109375" bestFit="1" customWidth="1"/>
    <col min="8" max="8" width="10.140625" bestFit="1" customWidth="1"/>
    <col min="9" max="9" width="16.140625" bestFit="1" customWidth="1"/>
    <col min="10" max="11" width="8.7109375" bestFit="1" customWidth="1"/>
    <col min="12" max="12" width="44.140625" customWidth="1"/>
    <col min="13" max="13" width="31.7109375" bestFit="1" customWidth="1"/>
    <col min="14" max="14" width="45.7109375" bestFit="1" customWidth="1"/>
  </cols>
  <sheetData>
    <row r="1" spans="1:52" x14ac:dyDescent="0.25">
      <c r="A1" s="66" t="s">
        <v>118</v>
      </c>
      <c r="B1" s="61" t="s">
        <v>119</v>
      </c>
      <c r="C1" s="61" t="s">
        <v>2</v>
      </c>
      <c r="D1" s="61" t="s">
        <v>120</v>
      </c>
      <c r="E1" s="61" t="s">
        <v>121</v>
      </c>
      <c r="F1" s="61" t="s">
        <v>122</v>
      </c>
      <c r="G1" s="61" t="s">
        <v>123</v>
      </c>
      <c r="H1" s="61" t="s">
        <v>124</v>
      </c>
      <c r="I1" s="61" t="s">
        <v>125</v>
      </c>
      <c r="J1" s="61" t="s">
        <v>126</v>
      </c>
      <c r="AZ1" t="s">
        <v>342</v>
      </c>
    </row>
    <row r="2" spans="1:52" x14ac:dyDescent="0.25">
      <c r="A2" s="67" t="s">
        <v>127</v>
      </c>
      <c r="B2">
        <f>('Data Collection Sheet'!$G$92+'Data Collection Sheet'!$G$100)-35.5+17.2</f>
        <v>45.86</v>
      </c>
      <c r="C2" s="57">
        <v>44562</v>
      </c>
      <c r="D2" s="38">
        <f>'Data Collection Sheet'!I91+'Data Collection Sheet'!I99</f>
        <v>8.9096799999999998</v>
      </c>
      <c r="E2" s="38"/>
      <c r="F2" s="38"/>
      <c r="G2" s="38"/>
      <c r="H2" s="38">
        <f t="shared" ref="H2:H8" si="0">(D2/B2)*100</f>
        <v>19.4279982555604</v>
      </c>
      <c r="I2" s="38"/>
      <c r="J2">
        <v>90</v>
      </c>
    </row>
    <row r="3" spans="1:52" x14ac:dyDescent="0.25">
      <c r="B3">
        <f>('Data Collection Sheet'!$G$92+'Data Collection Sheet'!$G$100)-35.5+17.2</f>
        <v>45.86</v>
      </c>
      <c r="C3" s="57">
        <v>44593</v>
      </c>
      <c r="D3" s="38">
        <f>'Data Collection Sheet'!J91+'Data Collection Sheet'!J99</f>
        <v>9.8669999999999991</v>
      </c>
      <c r="E3" s="38"/>
      <c r="F3" s="38"/>
      <c r="G3" s="38"/>
      <c r="H3" s="38">
        <f t="shared" si="0"/>
        <v>21.515481901439159</v>
      </c>
      <c r="I3" s="38"/>
      <c r="J3">
        <v>90</v>
      </c>
    </row>
    <row r="4" spans="1:52" x14ac:dyDescent="0.25">
      <c r="A4" s="67" t="s">
        <v>128</v>
      </c>
      <c r="B4">
        <f>('Data Collection Sheet'!$G$92+'Data Collection Sheet'!$G$100)-35.5+17.2</f>
        <v>45.86</v>
      </c>
      <c r="C4" s="57">
        <v>44621</v>
      </c>
      <c r="D4" s="38">
        <f>SUM('Data Collection Sheet'!K91+'Data Collection Sheet'!K99)</f>
        <v>18.677</v>
      </c>
      <c r="E4" s="38"/>
      <c r="F4" s="8"/>
      <c r="G4" s="52"/>
      <c r="H4" s="38">
        <f t="shared" si="0"/>
        <v>40.726122982991711</v>
      </c>
      <c r="I4" s="38"/>
      <c r="J4">
        <v>90</v>
      </c>
    </row>
    <row r="5" spans="1:52" x14ac:dyDescent="0.25">
      <c r="A5" s="67" t="s">
        <v>129</v>
      </c>
      <c r="B5">
        <f>('Data Collection Sheet'!$G$92+'Data Collection Sheet'!$G$100)-35.5+17.2</f>
        <v>45.86</v>
      </c>
      <c r="C5" s="57">
        <v>44652</v>
      </c>
      <c r="D5" s="38">
        <f>SUM('Data Collection Sheet'!L91+'Data Collection Sheet'!L99)</f>
        <v>18.04</v>
      </c>
      <c r="E5" s="38"/>
      <c r="F5" s="8"/>
      <c r="G5" s="38"/>
      <c r="H5" s="38">
        <f t="shared" si="0"/>
        <v>39.337112952464018</v>
      </c>
      <c r="I5" s="38"/>
      <c r="J5">
        <v>90</v>
      </c>
    </row>
    <row r="6" spans="1:52" x14ac:dyDescent="0.25">
      <c r="A6" s="67" t="s">
        <v>130</v>
      </c>
      <c r="B6">
        <f>('Data Collection Sheet'!$G$92+'Data Collection Sheet'!$G$100)-35.5+17.2</f>
        <v>45.86</v>
      </c>
      <c r="C6" s="57">
        <v>44682</v>
      </c>
      <c r="D6" s="38">
        <f>SUM('Data Collection Sheet'!M91+'Data Collection Sheet'!M99)</f>
        <v>18.23</v>
      </c>
      <c r="E6" s="38"/>
      <c r="F6" s="8"/>
      <c r="G6" s="38"/>
      <c r="H6" s="38">
        <f t="shared" si="0"/>
        <v>39.751417357174006</v>
      </c>
      <c r="I6" s="38"/>
      <c r="J6">
        <v>90</v>
      </c>
    </row>
    <row r="7" spans="1:52" x14ac:dyDescent="0.25">
      <c r="B7">
        <f>('Data Collection Sheet'!$G$92+'Data Collection Sheet'!$G$100)-35.5+17.2</f>
        <v>45.86</v>
      </c>
      <c r="C7" s="57">
        <v>44713</v>
      </c>
      <c r="D7" s="38">
        <f>SUM('Data Collection Sheet'!N91+'Data Collection Sheet'!N99)</f>
        <v>18.549999999999997</v>
      </c>
      <c r="E7" s="38"/>
      <c r="F7" s="8"/>
      <c r="G7" s="38"/>
      <c r="H7" s="38">
        <f t="shared" si="0"/>
        <v>40.449193196685556</v>
      </c>
      <c r="I7" s="38"/>
      <c r="J7">
        <v>90</v>
      </c>
    </row>
    <row r="8" spans="1:52" x14ac:dyDescent="0.25">
      <c r="B8">
        <f>('Data Collection Sheet'!$G$92+'Data Collection Sheet'!$G$100)-35.5+17.2</f>
        <v>45.86</v>
      </c>
      <c r="C8" s="57">
        <v>44743</v>
      </c>
      <c r="D8" s="38">
        <f>SUM('Data Collection Sheet'!O91+'Data Collection Sheet'!O99)</f>
        <v>19.035</v>
      </c>
      <c r="E8" s="38"/>
      <c r="F8" s="8"/>
      <c r="G8" s="38"/>
      <c r="H8" s="38">
        <f t="shared" si="0"/>
        <v>41.506759703445269</v>
      </c>
      <c r="I8" s="115"/>
      <c r="J8" s="115">
        <v>90</v>
      </c>
      <c r="K8" s="115"/>
      <c r="L8" s="115"/>
      <c r="M8" s="115"/>
      <c r="N8" s="115"/>
      <c r="O8" s="115"/>
      <c r="P8" s="115"/>
      <c r="Q8" s="115"/>
      <c r="R8" s="115"/>
      <c r="S8" s="115"/>
      <c r="T8" s="115"/>
      <c r="U8" s="115"/>
      <c r="V8" s="115"/>
      <c r="W8" s="115"/>
      <c r="X8" s="115"/>
      <c r="Y8" s="115"/>
      <c r="Z8" s="115"/>
      <c r="AA8" s="115"/>
      <c r="AB8" s="115"/>
      <c r="AC8" s="115"/>
      <c r="AD8" s="115"/>
      <c r="AE8" s="115"/>
      <c r="AF8" s="115"/>
      <c r="AG8" s="115"/>
      <c r="AH8" s="115"/>
      <c r="AI8" s="115"/>
      <c r="AJ8" s="115"/>
      <c r="AK8" s="115"/>
      <c r="AL8" s="115"/>
      <c r="AM8" s="115"/>
      <c r="AN8" s="115"/>
      <c r="AO8" s="115"/>
    </row>
    <row r="9" spans="1:52" x14ac:dyDescent="0.25">
      <c r="B9">
        <f>('Data Collection Sheet'!$G$92+'Data Collection Sheet'!$G$100)-35.5+17.2</f>
        <v>45.86</v>
      </c>
      <c r="C9" s="57">
        <v>44774</v>
      </c>
      <c r="D9" s="38">
        <f>SUM('Data Collection Sheet'!P91+'Data Collection Sheet'!P99)</f>
        <v>19.16</v>
      </c>
      <c r="E9" s="38"/>
      <c r="F9" s="8"/>
      <c r="G9" s="38"/>
      <c r="H9" s="38">
        <f>(D9/B9)*100</f>
        <v>41.779328390754472</v>
      </c>
      <c r="I9" s="38"/>
      <c r="J9">
        <v>90</v>
      </c>
      <c r="AZ9" t="s">
        <v>342</v>
      </c>
    </row>
    <row r="10" spans="1:52" x14ac:dyDescent="0.25">
      <c r="A10" s="67" t="s">
        <v>131</v>
      </c>
      <c r="B10">
        <f>('Data Collection Sheet'!G92+'Data Collection Sheet'!G100)</f>
        <v>64.16</v>
      </c>
      <c r="C10" s="57">
        <v>44805</v>
      </c>
      <c r="D10" s="38">
        <f>SUM('Data Collection Sheet'!Q91+'Data Collection Sheet'!Q99)</f>
        <v>20.215</v>
      </c>
      <c r="E10" s="38"/>
      <c r="F10" s="8"/>
      <c r="G10" s="38"/>
      <c r="H10" s="38">
        <f t="shared" ref="H10:H13" si="1">(D10/B10)*100</f>
        <v>31.507169576059852</v>
      </c>
      <c r="I10" s="38"/>
      <c r="J10">
        <v>90</v>
      </c>
      <c r="AZ10">
        <v>8.77</v>
      </c>
    </row>
    <row r="11" spans="1:52" x14ac:dyDescent="0.25">
      <c r="A11" s="67" t="s">
        <v>132</v>
      </c>
      <c r="B11">
        <f>35.5+'Data Collection Sheet'!$G$100</f>
        <v>48.21</v>
      </c>
      <c r="C11" s="57">
        <v>44835</v>
      </c>
      <c r="D11" s="38">
        <f>SUM('Data Collection Sheet'!R91+'Data Collection Sheet'!R99)</f>
        <v>20.809999999999995</v>
      </c>
      <c r="E11" s="38"/>
      <c r="F11" s="8"/>
      <c r="G11" s="38"/>
      <c r="H11" s="38">
        <f t="shared" si="1"/>
        <v>43.165318398672461</v>
      </c>
      <c r="I11" s="38"/>
      <c r="J11">
        <v>90</v>
      </c>
      <c r="AZ11">
        <v>1.49</v>
      </c>
    </row>
    <row r="12" spans="1:52" x14ac:dyDescent="0.25">
      <c r="B12">
        <f>35.5+'Data Collection Sheet'!$G$100</f>
        <v>48.21</v>
      </c>
      <c r="C12" s="57">
        <v>44866</v>
      </c>
      <c r="D12" s="38">
        <f>SUM('Data Collection Sheet'!S91+'Data Collection Sheet'!S99)</f>
        <v>20.92</v>
      </c>
      <c r="E12" s="38"/>
      <c r="F12" s="8"/>
      <c r="G12" s="38"/>
      <c r="H12" s="38">
        <f t="shared" si="1"/>
        <v>43.393486828458826</v>
      </c>
      <c r="I12" s="38"/>
      <c r="J12">
        <v>90</v>
      </c>
      <c r="AZ12">
        <v>0.06</v>
      </c>
    </row>
    <row r="13" spans="1:52" x14ac:dyDescent="0.25">
      <c r="A13"/>
      <c r="B13">
        <f>35.5+'Data Collection Sheet'!$G$100</f>
        <v>48.21</v>
      </c>
      <c r="C13" s="57">
        <v>44896</v>
      </c>
      <c r="D13" s="38">
        <f>SUM('Data Collection Sheet'!T91+'Data Collection Sheet'!T99)</f>
        <v>21.35</v>
      </c>
      <c r="E13" s="38"/>
      <c r="F13" s="8"/>
      <c r="G13" s="38"/>
      <c r="H13" s="38">
        <f t="shared" si="1"/>
        <v>44.285417963078203</v>
      </c>
      <c r="I13" s="38"/>
      <c r="J13">
        <v>90</v>
      </c>
      <c r="AZ13">
        <v>25.94</v>
      </c>
    </row>
    <row r="14" spans="1:52" x14ac:dyDescent="0.25">
      <c r="B14">
        <f>35.5+'Data Collection Sheet'!$G$100</f>
        <v>48.21</v>
      </c>
      <c r="C14" s="57">
        <v>44927</v>
      </c>
      <c r="D14" s="38">
        <f>SUM('Data Collection Sheet'!U91+'Data Collection Sheet'!U99)</f>
        <v>21.48</v>
      </c>
      <c r="E14" s="38"/>
      <c r="F14" s="8"/>
      <c r="G14" s="38"/>
      <c r="H14" s="38">
        <f t="shared" ref="H14:H19" si="2">(D14/B14)*100</f>
        <v>44.555071561916613</v>
      </c>
      <c r="I14" s="38"/>
      <c r="J14">
        <v>90</v>
      </c>
      <c r="AZ14">
        <v>0.23</v>
      </c>
    </row>
    <row r="15" spans="1:52" x14ac:dyDescent="0.25">
      <c r="B15">
        <f>35.5+'Data Collection Sheet'!$G$100</f>
        <v>48.21</v>
      </c>
      <c r="C15" s="57">
        <v>44958</v>
      </c>
      <c r="D15" s="38">
        <f>SUM('Data Collection Sheet'!V91+'Data Collection Sheet'!V99)</f>
        <v>21.490000000000002</v>
      </c>
      <c r="E15" s="38"/>
      <c r="F15" s="8"/>
      <c r="G15" s="38"/>
      <c r="H15" s="38">
        <f t="shared" si="2"/>
        <v>44.575814146442653</v>
      </c>
      <c r="I15" s="38"/>
      <c r="J15">
        <v>90</v>
      </c>
      <c r="AZ15">
        <v>0.49</v>
      </c>
    </row>
    <row r="16" spans="1:52" x14ac:dyDescent="0.25">
      <c r="B16">
        <f>35.5+'Data Collection Sheet'!$G$100</f>
        <v>48.21</v>
      </c>
      <c r="C16" s="57">
        <v>44986</v>
      </c>
      <c r="D16" s="38">
        <f>SUM('Data Collection Sheet'!W91+'Data Collection Sheet'!W99)</f>
        <v>21.84</v>
      </c>
      <c r="E16" s="38"/>
      <c r="F16" s="8"/>
      <c r="G16" s="38"/>
      <c r="H16" s="38">
        <f t="shared" si="2"/>
        <v>45.301804604853764</v>
      </c>
      <c r="I16" s="38"/>
      <c r="J16">
        <v>90</v>
      </c>
      <c r="AZ16">
        <v>0.3</v>
      </c>
    </row>
    <row r="17" spans="1:52" x14ac:dyDescent="0.25">
      <c r="B17">
        <f>35.5+'Data Collection Sheet'!$G$100</f>
        <v>48.21</v>
      </c>
      <c r="C17" s="57">
        <v>45017</v>
      </c>
      <c r="D17" s="38">
        <f>SUM('Data Collection Sheet'!X91+'Data Collection Sheet'!X99)</f>
        <v>22.05</v>
      </c>
      <c r="E17" s="67"/>
      <c r="F17" s="8"/>
      <c r="G17" s="38"/>
      <c r="H17" s="38">
        <f t="shared" si="2"/>
        <v>45.737398879900439</v>
      </c>
      <c r="I17" s="38"/>
      <c r="J17">
        <v>90</v>
      </c>
      <c r="AZ17">
        <v>0</v>
      </c>
    </row>
    <row r="18" spans="1:52" x14ac:dyDescent="0.25">
      <c r="B18">
        <f>35.5+'Data Collection Sheet'!$G$100</f>
        <v>48.21</v>
      </c>
      <c r="C18" s="57">
        <v>45047</v>
      </c>
      <c r="D18" s="38">
        <f>SUM('Data Collection Sheet'!Y91+'Data Collection Sheet'!Y99)</f>
        <v>22.480000000000004</v>
      </c>
      <c r="E18" s="38"/>
      <c r="F18" s="8"/>
      <c r="G18" s="38"/>
      <c r="H18" s="38">
        <f t="shared" si="2"/>
        <v>46.629330014519816</v>
      </c>
      <c r="I18" s="38"/>
      <c r="J18">
        <v>90</v>
      </c>
      <c r="AZ18">
        <v>0</v>
      </c>
    </row>
    <row r="19" spans="1:52" x14ac:dyDescent="0.25">
      <c r="B19">
        <f>35.5+'Data Collection Sheet'!$G$100</f>
        <v>48.21</v>
      </c>
      <c r="C19" s="57">
        <v>45078</v>
      </c>
      <c r="D19" s="38">
        <f>SUM('Data Collection Sheet'!Z91+'Data Collection Sheet'!Z99)</f>
        <v>22.36</v>
      </c>
      <c r="F19" s="8"/>
      <c r="G19" s="38"/>
      <c r="H19" s="38">
        <f t="shared" si="2"/>
        <v>46.380419000207425</v>
      </c>
      <c r="I19" s="38"/>
      <c r="J19">
        <v>90</v>
      </c>
      <c r="AZ19">
        <v>0</v>
      </c>
    </row>
    <row r="20" spans="1:52" x14ac:dyDescent="0.25">
      <c r="B20">
        <f>35.5+'Data Collection Sheet'!$G$100</f>
        <v>48.21</v>
      </c>
      <c r="C20" s="57">
        <v>45108</v>
      </c>
      <c r="D20" s="38">
        <f>SUM('Data Collection Sheet'!AA91+'Data Collection Sheet'!AA99)</f>
        <v>22.589999999999996</v>
      </c>
      <c r="E20" s="38"/>
      <c r="F20" s="8"/>
      <c r="G20" s="38"/>
      <c r="H20" s="38">
        <f t="shared" ref="H20:H24" si="3">(D20/B20)*100</f>
        <v>46.857498444306152</v>
      </c>
      <c r="I20" s="38"/>
      <c r="J20">
        <v>90</v>
      </c>
      <c r="AZ20">
        <v>0</v>
      </c>
    </row>
    <row r="21" spans="1:52" x14ac:dyDescent="0.25">
      <c r="B21">
        <f>35.5+'Data Collection Sheet'!$G$100</f>
        <v>48.21</v>
      </c>
      <c r="C21" s="57">
        <v>45139</v>
      </c>
      <c r="D21" s="38">
        <f>SUM('Data Collection Sheet'!AB91+'Data Collection Sheet'!AB99)</f>
        <v>22.839999999999996</v>
      </c>
      <c r="E21" s="67">
        <v>0</v>
      </c>
      <c r="F21" s="8"/>
      <c r="G21" s="38"/>
      <c r="H21" s="38">
        <f t="shared" si="3"/>
        <v>47.376063057456953</v>
      </c>
      <c r="I21" s="38"/>
      <c r="J21">
        <v>90</v>
      </c>
    </row>
    <row r="22" spans="1:52" x14ac:dyDescent="0.25">
      <c r="B22">
        <f>35.5+'Data Collection Sheet'!$G$100</f>
        <v>48.21</v>
      </c>
      <c r="C22" s="57">
        <v>45170</v>
      </c>
      <c r="D22" s="38">
        <f>SUM('Data Collection Sheet'!AC91+'Data Collection Sheet'!AC99)</f>
        <v>21.06</v>
      </c>
      <c r="E22" s="38"/>
      <c r="F22" s="8"/>
      <c r="G22" s="38"/>
      <c r="H22" s="38">
        <f t="shared" si="3"/>
        <v>43.683883011823269</v>
      </c>
      <c r="I22" s="38"/>
      <c r="J22">
        <v>90</v>
      </c>
      <c r="AZ22">
        <v>3.39</v>
      </c>
    </row>
    <row r="23" spans="1:52" x14ac:dyDescent="0.25">
      <c r="A23" s="67" t="s">
        <v>133</v>
      </c>
      <c r="B23">
        <f>35.5+'Data Collection Sheet'!$G$100</f>
        <v>48.21</v>
      </c>
      <c r="C23" s="57">
        <v>45200</v>
      </c>
      <c r="D23" s="38">
        <f>SUM('Data Collection Sheet'!AD91+'Data Collection Sheet'!AD99)</f>
        <v>21.290000000000003</v>
      </c>
      <c r="E23" s="38"/>
      <c r="F23" s="8"/>
      <c r="G23" s="38"/>
      <c r="H23" s="38">
        <f t="shared" si="3"/>
        <v>44.160962455922018</v>
      </c>
      <c r="I23" s="38"/>
      <c r="J23">
        <v>90</v>
      </c>
      <c r="AZ23">
        <v>0.01</v>
      </c>
    </row>
    <row r="24" spans="1:52" x14ac:dyDescent="0.25">
      <c r="B24">
        <v>35</v>
      </c>
      <c r="C24" s="57">
        <v>45231</v>
      </c>
      <c r="D24" s="38">
        <f>SUM('Data Collection Sheet'!AE91+'Data Collection Sheet'!AE99)</f>
        <v>21.91</v>
      </c>
      <c r="E24" s="38"/>
      <c r="F24" s="8"/>
      <c r="G24" s="38"/>
      <c r="H24" s="38">
        <f t="shared" si="3"/>
        <v>62.6</v>
      </c>
      <c r="I24" s="38"/>
      <c r="J24">
        <v>90</v>
      </c>
    </row>
    <row r="25" spans="1:52" x14ac:dyDescent="0.25">
      <c r="B25">
        <v>35</v>
      </c>
      <c r="C25" s="57">
        <v>45261</v>
      </c>
      <c r="D25" s="38">
        <f>SUM('Data Collection Sheet'!AF91+'Data Collection Sheet'!AF99)</f>
        <v>21.919999999999998</v>
      </c>
      <c r="E25" s="38"/>
      <c r="F25" s="8"/>
      <c r="G25" s="38"/>
      <c r="H25" s="38">
        <f t="shared" ref="H25:H30" si="4">(D25/B25)*100</f>
        <v>62.628571428571419</v>
      </c>
      <c r="I25" s="38"/>
      <c r="J25">
        <v>90</v>
      </c>
    </row>
    <row r="26" spans="1:52" x14ac:dyDescent="0.25">
      <c r="B26">
        <v>35</v>
      </c>
      <c r="C26" s="57">
        <v>45292</v>
      </c>
      <c r="D26" s="38">
        <f>SUM('Data Collection Sheet'!AG91+'Data Collection Sheet'!AG99)</f>
        <v>22</v>
      </c>
      <c r="E26" s="38"/>
      <c r="F26" s="8"/>
      <c r="G26" s="38"/>
      <c r="H26" s="38">
        <f t="shared" si="4"/>
        <v>62.857142857142854</v>
      </c>
      <c r="I26" s="38"/>
      <c r="J26">
        <v>90</v>
      </c>
    </row>
    <row r="27" spans="1:52" x14ac:dyDescent="0.25">
      <c r="B27">
        <v>35</v>
      </c>
      <c r="C27" s="57">
        <v>45323</v>
      </c>
      <c r="D27" s="38">
        <f>SUM('Data Collection Sheet'!AH91+'Data Collection Sheet'!AH99)</f>
        <v>22.370000000000005</v>
      </c>
      <c r="E27" s="38"/>
      <c r="F27" s="8"/>
      <c r="G27" s="38"/>
      <c r="H27" s="38">
        <f t="shared" si="4"/>
        <v>63.914285714285725</v>
      </c>
      <c r="I27" s="38"/>
      <c r="J27">
        <v>90</v>
      </c>
    </row>
    <row r="28" spans="1:52" x14ac:dyDescent="0.25">
      <c r="B28">
        <v>35</v>
      </c>
      <c r="C28" s="57">
        <v>45352</v>
      </c>
      <c r="D28" s="38">
        <f>SUM('Data Collection Sheet'!AI91+'Data Collection Sheet'!AI99)</f>
        <v>23.24</v>
      </c>
      <c r="E28" s="38"/>
      <c r="F28" s="8"/>
      <c r="G28" s="38"/>
      <c r="H28" s="38">
        <f t="shared" si="4"/>
        <v>66.399999999999991</v>
      </c>
      <c r="I28" s="38"/>
      <c r="J28">
        <v>90</v>
      </c>
      <c r="AY28">
        <v>1.1399999999999999</v>
      </c>
      <c r="AZ28">
        <v>1.17</v>
      </c>
    </row>
    <row r="29" spans="1:52" x14ac:dyDescent="0.25">
      <c r="A29" s="67" t="s">
        <v>308</v>
      </c>
      <c r="B29">
        <f>'Data Collection Sheet'!$G$92</f>
        <v>51.449999999999996</v>
      </c>
      <c r="C29" s="57">
        <v>45383</v>
      </c>
      <c r="D29" s="38">
        <f>SUM('Data Collection Sheet'!AJ91+'Data Collection Sheet'!AJ99)</f>
        <v>24.16</v>
      </c>
      <c r="E29" s="38"/>
      <c r="F29" s="8"/>
      <c r="G29" s="38"/>
      <c r="H29" s="38">
        <f t="shared" si="4"/>
        <v>46.958211856171047</v>
      </c>
      <c r="I29" s="38"/>
      <c r="J29">
        <v>90</v>
      </c>
      <c r="AZ29">
        <v>0.37</v>
      </c>
    </row>
    <row r="30" spans="1:52" x14ac:dyDescent="0.25">
      <c r="A30" s="76" t="s">
        <v>134</v>
      </c>
      <c r="B30">
        <f>'Data Collection Sheet'!$G$92</f>
        <v>51.449999999999996</v>
      </c>
      <c r="C30" s="57">
        <v>45413</v>
      </c>
      <c r="D30" s="38">
        <f>SUM('Data Collection Sheet'!AK91+'Data Collection Sheet'!AK99)</f>
        <v>24.580000000000002</v>
      </c>
      <c r="E30" s="76">
        <v>9</v>
      </c>
      <c r="F30" s="8"/>
      <c r="G30" s="38"/>
      <c r="H30" s="38">
        <f t="shared" si="4"/>
        <v>47.774538386783291</v>
      </c>
      <c r="I30" s="38"/>
      <c r="J30">
        <v>90</v>
      </c>
      <c r="AZ30">
        <v>0.43</v>
      </c>
    </row>
    <row r="31" spans="1:52" x14ac:dyDescent="0.25">
      <c r="B31">
        <f>'Data Collection Sheet'!$G$92</f>
        <v>51.449999999999996</v>
      </c>
      <c r="C31" s="57">
        <v>45444</v>
      </c>
      <c r="D31" s="38">
        <f>SUM('Data Collection Sheet'!AL91+'Data Collection Sheet'!AL99)</f>
        <v>33.119999999999997</v>
      </c>
      <c r="E31" s="38"/>
      <c r="F31" s="8"/>
      <c r="G31" s="38"/>
      <c r="H31" s="38">
        <f t="shared" ref="H31:H36" si="5">(D31/B31)*100</f>
        <v>64.373177842565596</v>
      </c>
      <c r="I31" s="38"/>
      <c r="J31">
        <v>90</v>
      </c>
    </row>
    <row r="32" spans="1:52" x14ac:dyDescent="0.25">
      <c r="A32" s="111"/>
      <c r="B32">
        <f>'Data Collection Sheet'!$G$92</f>
        <v>51.449999999999996</v>
      </c>
      <c r="C32" s="57">
        <v>45474</v>
      </c>
      <c r="D32" s="38">
        <f>SUM('Data Collection Sheet'!AM91+'Data Collection Sheet'!AM99)</f>
        <v>34.019999999999996</v>
      </c>
      <c r="E32" s="110"/>
      <c r="F32" s="8"/>
      <c r="G32" s="38"/>
      <c r="H32" s="38">
        <f t="shared" si="5"/>
        <v>66.122448979591837</v>
      </c>
      <c r="I32" s="38"/>
      <c r="J32">
        <v>90</v>
      </c>
    </row>
    <row r="33" spans="1:52" x14ac:dyDescent="0.25">
      <c r="B33">
        <f>'Data Collection Sheet'!$G$92</f>
        <v>51.449999999999996</v>
      </c>
      <c r="C33" s="57">
        <v>45505</v>
      </c>
      <c r="D33" s="38">
        <f>SUM('Data Collection Sheet'!AN91+'Data Collection Sheet'!AN99)</f>
        <v>33.86</v>
      </c>
      <c r="E33" s="38"/>
      <c r="F33" s="8"/>
      <c r="G33" s="38"/>
      <c r="H33" s="38">
        <f t="shared" si="5"/>
        <v>65.81146744412051</v>
      </c>
      <c r="I33" s="38"/>
      <c r="J33">
        <v>90</v>
      </c>
      <c r="AZ33">
        <v>1.19</v>
      </c>
    </row>
    <row r="34" spans="1:52" x14ac:dyDescent="0.25">
      <c r="B34">
        <f>'Data Collection Sheet'!$G$92</f>
        <v>51.449999999999996</v>
      </c>
      <c r="C34" s="57">
        <v>45536</v>
      </c>
      <c r="D34" s="38">
        <f>SUM('Data Collection Sheet'!AO91+'Data Collection Sheet'!AO99)</f>
        <v>34.299999999999997</v>
      </c>
      <c r="E34" s="38"/>
      <c r="F34" s="8"/>
      <c r="G34" s="38"/>
      <c r="H34" s="38">
        <f t="shared" si="5"/>
        <v>66.666666666666657</v>
      </c>
      <c r="I34" s="38"/>
      <c r="J34">
        <v>90</v>
      </c>
      <c r="AZ34">
        <v>2.61</v>
      </c>
    </row>
    <row r="35" spans="1:52" x14ac:dyDescent="0.25">
      <c r="B35">
        <f>'Data Collection Sheet'!$G$92</f>
        <v>51.449999999999996</v>
      </c>
      <c r="C35" s="57">
        <v>45566</v>
      </c>
      <c r="D35" s="38">
        <f>SUM('Data Collection Sheet'!AP91+'Data Collection Sheet'!AP99)</f>
        <v>34.79</v>
      </c>
      <c r="E35" s="38"/>
      <c r="F35" s="8"/>
      <c r="G35" s="38"/>
      <c r="H35" s="38">
        <f t="shared" si="5"/>
        <v>67.61904761904762</v>
      </c>
      <c r="I35" s="38"/>
      <c r="J35">
        <v>90</v>
      </c>
      <c r="AZ35">
        <v>0</v>
      </c>
    </row>
    <row r="36" spans="1:52" x14ac:dyDescent="0.25">
      <c r="B36">
        <f>'Data Collection Sheet'!$G$92</f>
        <v>51.449999999999996</v>
      </c>
      <c r="C36" s="57">
        <v>45597</v>
      </c>
      <c r="D36" s="38">
        <f>SUM('Data Collection Sheet'!AQ91+'Data Collection Sheet'!AQ99)</f>
        <v>35.229999999999997</v>
      </c>
      <c r="E36" s="38"/>
      <c r="F36" s="8"/>
      <c r="G36" s="38"/>
      <c r="H36" s="38">
        <f t="shared" si="5"/>
        <v>68.474246841593782</v>
      </c>
      <c r="I36" s="38"/>
      <c r="J36">
        <v>90</v>
      </c>
      <c r="AZ36">
        <v>0.54</v>
      </c>
    </row>
    <row r="37" spans="1:52" x14ac:dyDescent="0.25">
      <c r="A37" s="67" t="s">
        <v>351</v>
      </c>
      <c r="B37">
        <f>'Data Collection Sheet'!$G$92</f>
        <v>51.449999999999996</v>
      </c>
      <c r="C37" s="57">
        <v>45627</v>
      </c>
      <c r="D37" s="38">
        <f>SUM('Data Collection Sheet'!AR91+'Data Collection Sheet'!AR99)</f>
        <v>24.05</v>
      </c>
      <c r="E37" s="38"/>
      <c r="F37" s="8"/>
      <c r="G37" s="38"/>
      <c r="H37" s="38">
        <f>(D37/B37)*100</f>
        <v>46.744412050534507</v>
      </c>
      <c r="I37" s="38"/>
      <c r="J37">
        <v>90</v>
      </c>
      <c r="AZ37">
        <v>0</v>
      </c>
    </row>
    <row r="38" spans="1:52" x14ac:dyDescent="0.25">
      <c r="B38">
        <f>'Data Collection Sheet'!$G$92</f>
        <v>51.449999999999996</v>
      </c>
      <c r="C38" s="57">
        <v>45658</v>
      </c>
      <c r="D38" s="38">
        <f>SUM('Data Collection Sheet'!AS91+'Data Collection Sheet'!AS99)</f>
        <v>27.91</v>
      </c>
      <c r="E38" s="38"/>
      <c r="F38" s="8"/>
      <c r="G38" s="38"/>
      <c r="H38" s="38">
        <f>(D38/B38)*100</f>
        <v>54.246841593780374</v>
      </c>
      <c r="I38" s="38"/>
      <c r="J38">
        <v>90</v>
      </c>
      <c r="AZ38">
        <v>0.55000000000000004</v>
      </c>
    </row>
    <row r="39" spans="1:52" x14ac:dyDescent="0.25">
      <c r="B39">
        <f>'Data Collection Sheet'!$G$92</f>
        <v>51.449999999999996</v>
      </c>
      <c r="C39" s="57">
        <v>45689</v>
      </c>
      <c r="D39" s="38">
        <f>SUM('Data Collection Sheet'!AT91+'Data Collection Sheet'!AT99)</f>
        <v>26.56</v>
      </c>
      <c r="E39" s="38"/>
      <c r="F39" s="8"/>
      <c r="G39" s="38"/>
      <c r="H39" s="38">
        <f>(D39/B39)*100</f>
        <v>51.622934888241012</v>
      </c>
      <c r="I39" s="38"/>
      <c r="J39">
        <v>90</v>
      </c>
      <c r="AZ39">
        <v>0.93</v>
      </c>
    </row>
    <row r="40" spans="1:52" x14ac:dyDescent="0.25">
      <c r="B40">
        <f>'Data Collection Sheet'!$G$92</f>
        <v>51.449999999999996</v>
      </c>
      <c r="C40" s="57">
        <v>45717</v>
      </c>
      <c r="D40" s="38">
        <f>SUM('Data Collection Sheet'!AU91+'Data Collection Sheet'!AU99)</f>
        <v>26.56</v>
      </c>
      <c r="E40" s="38"/>
      <c r="F40" s="8"/>
      <c r="G40" s="38"/>
      <c r="H40" s="38">
        <f t="shared" ref="H40:H41" si="6">(D40/B40)*100</f>
        <v>51.622934888241012</v>
      </c>
      <c r="I40" s="38"/>
      <c r="J40">
        <v>90</v>
      </c>
      <c r="AZ40">
        <v>0.66</v>
      </c>
    </row>
    <row r="41" spans="1:52" x14ac:dyDescent="0.25">
      <c r="B41">
        <f>'Data Collection Sheet'!$G$92</f>
        <v>51.449999999999996</v>
      </c>
      <c r="C41" s="57">
        <v>45748</v>
      </c>
      <c r="D41" s="38">
        <f>SUM('Data Collection Sheet'!AV91+'Data Collection Sheet'!AV99)</f>
        <v>28.38</v>
      </c>
      <c r="E41" s="38"/>
      <c r="F41" s="8"/>
      <c r="G41" s="38"/>
      <c r="H41" s="38">
        <f t="shared" si="6"/>
        <v>55.160349854227405</v>
      </c>
      <c r="I41" s="38"/>
      <c r="J41">
        <v>90</v>
      </c>
      <c r="AZ41">
        <v>2.16</v>
      </c>
    </row>
    <row r="42" spans="1:52" x14ac:dyDescent="0.25">
      <c r="B42">
        <f>'Data Collection Sheet'!$G$92</f>
        <v>51.449999999999996</v>
      </c>
      <c r="C42" s="57">
        <v>45778</v>
      </c>
      <c r="D42" s="38">
        <f>SUM('Data Collection Sheet'!AW91+'Data Collection Sheet'!AW99)</f>
        <v>29.029999999999998</v>
      </c>
      <c r="E42" s="38"/>
      <c r="F42" s="8"/>
      <c r="G42" s="38"/>
      <c r="H42" s="38">
        <f t="shared" ref="H42" si="7">(D42/B42)*100</f>
        <v>56.423712342079689</v>
      </c>
      <c r="I42" s="38"/>
      <c r="J42">
        <v>90</v>
      </c>
      <c r="AZ42">
        <v>0.31</v>
      </c>
    </row>
    <row r="43" spans="1:52" x14ac:dyDescent="0.25">
      <c r="B43">
        <f>'Data Collection Sheet'!$G$92</f>
        <v>51.449999999999996</v>
      </c>
      <c r="C43" s="57">
        <v>45809</v>
      </c>
      <c r="D43" s="38">
        <f>SUM('Data Collection Sheet'!AX91+'Data Collection Sheet'!AX99)</f>
        <v>29.499999999999996</v>
      </c>
      <c r="E43" s="38"/>
      <c r="F43" s="8"/>
      <c r="G43" s="38"/>
      <c r="H43" s="38">
        <f t="shared" ref="H43" si="8">(D43/B43)*100</f>
        <v>57.337220602526727</v>
      </c>
      <c r="I43" s="38"/>
      <c r="J43">
        <v>90</v>
      </c>
      <c r="AZ43">
        <v>1.91</v>
      </c>
    </row>
    <row r="44" spans="1:52" x14ac:dyDescent="0.25">
      <c r="A44"/>
      <c r="B44">
        <f>'Data Collection Sheet'!$G$92</f>
        <v>51.449999999999996</v>
      </c>
      <c r="C44" s="57">
        <v>45839</v>
      </c>
      <c r="D44" s="38">
        <f>SUM('Data Collection Sheet'!AY91+'Data Collection Sheet'!AY99)</f>
        <v>30.07</v>
      </c>
      <c r="E44" s="38"/>
      <c r="F44" s="8"/>
      <c r="G44" s="38"/>
      <c r="H44" s="38">
        <f t="shared" ref="H44" si="9">(D44/B44)*100</f>
        <v>58.445092322643347</v>
      </c>
      <c r="I44" s="38"/>
      <c r="J44">
        <v>90</v>
      </c>
      <c r="AZ44">
        <v>0.86</v>
      </c>
    </row>
    <row r="45" spans="1:52" x14ac:dyDescent="0.25">
      <c r="B45">
        <f>'Data Collection Sheet'!$G$92</f>
        <v>51.449999999999996</v>
      </c>
      <c r="C45" s="57">
        <v>45870</v>
      </c>
      <c r="D45" s="38">
        <f>SUM('Data Collection Sheet'!AZ91+'Data Collection Sheet'!AZ99)</f>
        <v>30.64</v>
      </c>
      <c r="E45" s="38"/>
      <c r="F45" s="8"/>
      <c r="G45" s="38"/>
      <c r="H45" s="38">
        <f t="shared" ref="H45" si="10">(D45/B45)*100</f>
        <v>59.552964042759967</v>
      </c>
      <c r="I45" s="38"/>
      <c r="J45">
        <v>90</v>
      </c>
      <c r="AZ45">
        <v>1.51</v>
      </c>
    </row>
    <row r="46" spans="1:52" x14ac:dyDescent="0.25">
      <c r="B46">
        <f>'Data Collection Sheet'!$G$92</f>
        <v>51.449999999999996</v>
      </c>
      <c r="C46" s="57">
        <v>45901</v>
      </c>
      <c r="D46" s="38">
        <f>SUM('Data Collection Sheet'!BA91+'Data Collection Sheet'!BA99)</f>
        <v>30.599999999999998</v>
      </c>
      <c r="E46" s="38"/>
      <c r="F46" s="8"/>
      <c r="G46" s="38"/>
      <c r="H46" s="38">
        <f t="shared" ref="H46" si="11">(D46/B46)*100</f>
        <v>59.475218658892125</v>
      </c>
      <c r="I46" s="38"/>
      <c r="J46">
        <v>90</v>
      </c>
      <c r="AZ46">
        <v>20.16</v>
      </c>
    </row>
    <row r="47" spans="1:52" x14ac:dyDescent="0.25">
      <c r="B47">
        <f>'Data Collection Sheet'!$G$92</f>
        <v>51.449999999999996</v>
      </c>
      <c r="C47" s="57">
        <v>45931</v>
      </c>
      <c r="D47" s="38">
        <f>SUM('Data Collection Sheet'!BB91+'Data Collection Sheet'!BB99)</f>
        <v>31.259999999999998</v>
      </c>
      <c r="E47" s="38"/>
      <c r="F47" s="8"/>
      <c r="G47" s="38"/>
      <c r="H47" s="38">
        <f t="shared" ref="H47" si="12">(D47/B47)*100</f>
        <v>60.758017492711367</v>
      </c>
      <c r="I47" s="38"/>
      <c r="J47">
        <v>90</v>
      </c>
      <c r="AZ47">
        <v>0</v>
      </c>
    </row>
    <row r="48" spans="1:52" x14ac:dyDescent="0.25">
      <c r="B48">
        <f>'Data Collection Sheet'!$G$92</f>
        <v>51.449999999999996</v>
      </c>
      <c r="C48" s="57">
        <v>45962</v>
      </c>
      <c r="D48" s="38">
        <f>SUM('Data Collection Sheet'!BC91+'Data Collection Sheet'!BC99)</f>
        <v>31.67</v>
      </c>
      <c r="E48" s="38"/>
      <c r="F48" s="8"/>
      <c r="G48" s="38"/>
      <c r="H48" s="38">
        <f t="shared" ref="H48" si="13">(D48/B48)*100</f>
        <v>61.55490767735666</v>
      </c>
      <c r="I48" s="38"/>
      <c r="J48">
        <v>90</v>
      </c>
      <c r="AZ48">
        <v>0.49</v>
      </c>
    </row>
    <row r="49" spans="1:52" x14ac:dyDescent="0.25">
      <c r="B49">
        <f>'Data Collection Sheet'!$G$92</f>
        <v>51.449999999999996</v>
      </c>
      <c r="C49" s="57">
        <v>45992</v>
      </c>
      <c r="D49" s="38">
        <f>SUM('Data Collection Sheet'!BD91+'Data Collection Sheet'!BD99)</f>
        <v>31.72</v>
      </c>
      <c r="E49" s="38"/>
      <c r="F49" s="8"/>
      <c r="G49" s="38"/>
      <c r="H49" s="38">
        <f t="shared" ref="H49:H54" si="14">(D49/B49)*100</f>
        <v>61.652089407191447</v>
      </c>
      <c r="I49" s="38"/>
      <c r="J49">
        <v>90</v>
      </c>
      <c r="AZ49">
        <v>0.03</v>
      </c>
    </row>
    <row r="50" spans="1:52" x14ac:dyDescent="0.25">
      <c r="B50">
        <f>'Data Collection Sheet'!$G$92</f>
        <v>51.449999999999996</v>
      </c>
      <c r="C50" s="57">
        <v>46023</v>
      </c>
      <c r="D50" s="38">
        <f>SUM('Data Collection Sheet'!BE91+'Data Collection Sheet'!BE99)</f>
        <v>31.429999999999996</v>
      </c>
      <c r="E50" s="38"/>
      <c r="F50" s="8"/>
      <c r="G50" s="38"/>
      <c r="H50" s="38">
        <f t="shared" si="14"/>
        <v>61.088435374149654</v>
      </c>
      <c r="I50" s="38"/>
      <c r="J50">
        <v>90</v>
      </c>
      <c r="AY50">
        <v>0</v>
      </c>
      <c r="AZ50">
        <v>0</v>
      </c>
    </row>
    <row r="51" spans="1:52" x14ac:dyDescent="0.25">
      <c r="B51">
        <f>'Data Collection Sheet'!$G$92</f>
        <v>51.449999999999996</v>
      </c>
      <c r="C51" s="57">
        <v>46054</v>
      </c>
      <c r="D51" s="38">
        <f>SUM('Data Collection Sheet'!BF91+'Data Collection Sheet'!BF99)</f>
        <v>30.29</v>
      </c>
      <c r="E51" s="38"/>
      <c r="F51" s="8"/>
      <c r="G51" s="38"/>
      <c r="H51" s="38">
        <f t="shared" si="14"/>
        <v>58.872691933916435</v>
      </c>
      <c r="I51" s="38"/>
      <c r="J51">
        <v>90</v>
      </c>
    </row>
    <row r="52" spans="1:52" x14ac:dyDescent="0.25">
      <c r="A52" s="67" t="s">
        <v>135</v>
      </c>
      <c r="B52">
        <f>'Data Collection Sheet'!$G$92</f>
        <v>51.449999999999996</v>
      </c>
      <c r="C52" s="57">
        <v>46082</v>
      </c>
      <c r="D52" s="38">
        <f>SUM('Data Collection Sheet'!BG91+'Data Collection Sheet'!BG99)</f>
        <v>30.939999999999998</v>
      </c>
      <c r="E52" s="38"/>
      <c r="F52" s="8"/>
      <c r="G52" s="38"/>
      <c r="H52" s="38">
        <f t="shared" si="14"/>
        <v>60.136054421768705</v>
      </c>
      <c r="I52" s="38"/>
      <c r="J52">
        <v>90</v>
      </c>
      <c r="AZ52">
        <v>23.17</v>
      </c>
    </row>
    <row r="53" spans="1:52" x14ac:dyDescent="0.25">
      <c r="A53" s="67" t="s">
        <v>136</v>
      </c>
      <c r="B53">
        <f>'Data Collection Sheet'!$G$92</f>
        <v>51.449999999999996</v>
      </c>
      <c r="C53" s="57">
        <v>46113</v>
      </c>
      <c r="D53" s="38">
        <f>SUM('Data Collection Sheet'!BH91+'Data Collection Sheet'!BH99)</f>
        <v>31.660000000000004</v>
      </c>
      <c r="E53" s="38"/>
      <c r="F53" s="8"/>
      <c r="G53" s="38"/>
      <c r="H53" s="38">
        <f t="shared" si="14"/>
        <v>61.535471331389715</v>
      </c>
      <c r="I53" s="38"/>
      <c r="J53">
        <v>90</v>
      </c>
      <c r="AZ53">
        <v>4.33</v>
      </c>
    </row>
    <row r="54" spans="1:52" x14ac:dyDescent="0.25">
      <c r="B54">
        <f>'Data Collection Sheet'!$G$92</f>
        <v>51.449999999999996</v>
      </c>
      <c r="C54" s="57">
        <v>46143</v>
      </c>
      <c r="D54" s="38">
        <f>SUM('Data Collection Sheet'!BI91+'Data Collection Sheet'!BI99)</f>
        <v>32.4</v>
      </c>
      <c r="E54" s="38"/>
      <c r="F54" s="8"/>
      <c r="G54" s="38"/>
      <c r="H54" s="38">
        <f t="shared" si="14"/>
        <v>62.973760932944614</v>
      </c>
      <c r="I54" s="38"/>
      <c r="J54">
        <v>90</v>
      </c>
    </row>
    <row r="55" spans="1:52" x14ac:dyDescent="0.25">
      <c r="B55">
        <f>'Data Collection Sheet'!$G$92</f>
        <v>51.449999999999996</v>
      </c>
      <c r="C55" s="57">
        <v>46174</v>
      </c>
      <c r="D55" s="38">
        <f>SUM('Data Collection Sheet'!BJ91+'Data Collection Sheet'!BJ99)</f>
        <v>32.910000000000004</v>
      </c>
      <c r="E55" s="38"/>
      <c r="F55" s="8"/>
      <c r="G55" s="38"/>
      <c r="H55" s="38">
        <f>(D55/B55)*100</f>
        <v>63.965014577259481</v>
      </c>
      <c r="I55" s="38"/>
      <c r="J55">
        <v>90</v>
      </c>
    </row>
    <row r="56" spans="1:52" x14ac:dyDescent="0.25">
      <c r="B56">
        <f>'Data Collection Sheet'!$G$92</f>
        <v>51.449999999999996</v>
      </c>
      <c r="C56" s="57">
        <v>46204</v>
      </c>
      <c r="D56" s="38">
        <f>SUM('Data Collection Sheet'!BK91+'Data Collection Sheet'!BK99)</f>
        <v>32.92</v>
      </c>
      <c r="E56" s="38"/>
      <c r="F56" s="8"/>
      <c r="G56" s="38"/>
      <c r="H56" s="38">
        <f>(D56/B56)*100</f>
        <v>63.984450923226447</v>
      </c>
      <c r="I56" s="38"/>
      <c r="J56">
        <v>90</v>
      </c>
    </row>
    <row r="57" spans="1:52" x14ac:dyDescent="0.25">
      <c r="A57"/>
      <c r="B57">
        <f>'Data Collection Sheet'!$G$92</f>
        <v>51.449999999999996</v>
      </c>
      <c r="C57" s="57">
        <v>46235</v>
      </c>
      <c r="D57" s="38">
        <f>SUM('Data Collection Sheet'!BL91+'Data Collection Sheet'!BL99)</f>
        <v>32.589999999999996</v>
      </c>
      <c r="E57" s="38"/>
      <c r="F57" s="8">
        <v>7.12</v>
      </c>
      <c r="G57" s="38">
        <f>D57</f>
        <v>32.589999999999996</v>
      </c>
      <c r="H57" s="38">
        <f>(D57/B57)*100</f>
        <v>63.343051506316804</v>
      </c>
      <c r="I57" s="38">
        <f>(G57/B57)*100</f>
        <v>63.343051506316804</v>
      </c>
      <c r="J57">
        <v>90</v>
      </c>
    </row>
    <row r="58" spans="1:52" x14ac:dyDescent="0.25">
      <c r="A58"/>
      <c r="B58">
        <f>'Data Collection Sheet'!$G$92</f>
        <v>51.449999999999996</v>
      </c>
      <c r="C58" s="57">
        <v>46266</v>
      </c>
      <c r="D58" s="38"/>
      <c r="E58" s="38"/>
      <c r="F58" s="8">
        <v>1.08</v>
      </c>
      <c r="G58" s="38">
        <f t="shared" ref="G58:G73" si="15">G57*(1+(F58^(1/12)-1))+E58</f>
        <v>32.799685041285009</v>
      </c>
      <c r="H58" s="38"/>
      <c r="I58" s="38">
        <f t="shared" ref="I58:I72" si="16">(G58/B58)*100</f>
        <v>63.750602606967952</v>
      </c>
      <c r="J58">
        <v>90</v>
      </c>
      <c r="AZ58">
        <v>16.010000000000002</v>
      </c>
    </row>
    <row r="59" spans="1:52" x14ac:dyDescent="0.25">
      <c r="A59"/>
      <c r="B59">
        <f>'Data Collection Sheet'!$G$92</f>
        <v>51.449999999999996</v>
      </c>
      <c r="C59" s="57">
        <v>46296</v>
      </c>
      <c r="D59" s="38"/>
      <c r="E59" s="38"/>
      <c r="F59" s="8">
        <v>1.08</v>
      </c>
      <c r="G59" s="38">
        <f t="shared" si="15"/>
        <v>33.010719202439269</v>
      </c>
      <c r="H59" s="38"/>
      <c r="I59" s="38">
        <f t="shared" si="16"/>
        <v>64.160775903672047</v>
      </c>
      <c r="J59">
        <v>90</v>
      </c>
      <c r="AZ59">
        <v>0.21</v>
      </c>
    </row>
    <row r="60" spans="1:52" x14ac:dyDescent="0.25">
      <c r="A60"/>
      <c r="B60">
        <f>'Data Collection Sheet'!$G$92</f>
        <v>51.449999999999996</v>
      </c>
      <c r="C60" s="57">
        <v>46327</v>
      </c>
      <c r="D60" s="38"/>
      <c r="E60" s="38"/>
      <c r="F60" s="8">
        <v>1.08</v>
      </c>
      <c r="G60" s="38">
        <f t="shared" si="15"/>
        <v>33.223111163740633</v>
      </c>
      <c r="H60" s="38"/>
      <c r="I60" s="38">
        <f t="shared" si="16"/>
        <v>64.573588267717469</v>
      </c>
      <c r="J60">
        <v>90</v>
      </c>
      <c r="AZ60">
        <v>0</v>
      </c>
    </row>
    <row r="61" spans="1:52" x14ac:dyDescent="0.25">
      <c r="A61"/>
      <c r="B61">
        <f>'Data Collection Sheet'!$G$92</f>
        <v>51.449999999999996</v>
      </c>
      <c r="C61" s="57">
        <v>46357</v>
      </c>
      <c r="D61" s="38"/>
      <c r="E61" s="38"/>
      <c r="F61" s="8">
        <v>1.08</v>
      </c>
      <c r="G61" s="38">
        <f t="shared" si="15"/>
        <v>33.43686966131613</v>
      </c>
      <c r="H61" s="38"/>
      <c r="I61" s="38">
        <f t="shared" si="16"/>
        <v>64.98905667894293</v>
      </c>
      <c r="J61">
        <v>90</v>
      </c>
      <c r="AZ61">
        <v>4.0599999999999996</v>
      </c>
    </row>
    <row r="62" spans="1:52" x14ac:dyDescent="0.25">
      <c r="B62">
        <f>'Data Collection Sheet'!$G$92</f>
        <v>51.449999999999996</v>
      </c>
      <c r="C62" s="57">
        <v>46388</v>
      </c>
      <c r="D62" s="38"/>
      <c r="E62" s="38"/>
      <c r="F62" s="8">
        <v>1.08</v>
      </c>
      <c r="G62" s="38">
        <f t="shared" si="15"/>
        <v>33.652003487501297</v>
      </c>
      <c r="H62" s="38"/>
      <c r="I62" s="38">
        <f t="shared" si="16"/>
        <v>65.407198226435952</v>
      </c>
      <c r="J62">
        <v>90</v>
      </c>
      <c r="AZ62">
        <v>0</v>
      </c>
    </row>
    <row r="63" spans="1:52" x14ac:dyDescent="0.25">
      <c r="B63">
        <f>'Data Collection Sheet'!$G$92</f>
        <v>51.449999999999996</v>
      </c>
      <c r="C63" s="57">
        <v>46419</v>
      </c>
      <c r="D63" s="38"/>
      <c r="E63" s="38"/>
      <c r="F63" s="8">
        <v>1.08</v>
      </c>
      <c r="G63" s="38">
        <f t="shared" si="15"/>
        <v>33.868521491201818</v>
      </c>
      <c r="H63" s="38"/>
      <c r="I63" s="38">
        <f t="shared" si="16"/>
        <v>65.828030109235797</v>
      </c>
      <c r="J63">
        <v>90</v>
      </c>
      <c r="AZ63">
        <v>0</v>
      </c>
    </row>
    <row r="64" spans="1:52" x14ac:dyDescent="0.25">
      <c r="B64">
        <f>'Data Collection Sheet'!$G$92</f>
        <v>51.449999999999996</v>
      </c>
      <c r="C64" s="57">
        <v>46447</v>
      </c>
      <c r="D64" s="38"/>
      <c r="E64" s="38"/>
      <c r="F64" s="8">
        <v>1.08</v>
      </c>
      <c r="G64" s="38">
        <f t="shared" si="15"/>
        <v>34.086432578257508</v>
      </c>
      <c r="H64" s="38"/>
      <c r="I64" s="38">
        <f t="shared" si="16"/>
        <v>66.251569637040845</v>
      </c>
      <c r="J64">
        <v>90</v>
      </c>
      <c r="AZ64">
        <v>0</v>
      </c>
    </row>
    <row r="65" spans="2:52" x14ac:dyDescent="0.25">
      <c r="B65">
        <f>'Data Collection Sheet'!$G$92</f>
        <v>51.449999999999996</v>
      </c>
      <c r="C65" s="57">
        <v>46478</v>
      </c>
      <c r="D65" s="38"/>
      <c r="E65" s="38"/>
      <c r="F65" s="8">
        <v>1.08</v>
      </c>
      <c r="G65" s="38">
        <f t="shared" si="15"/>
        <v>34.305745711808619</v>
      </c>
      <c r="H65" s="38"/>
      <c r="I65" s="38">
        <f t="shared" si="16"/>
        <v>66.677834230920553</v>
      </c>
      <c r="J65">
        <v>90</v>
      </c>
    </row>
    <row r="66" spans="2:52" x14ac:dyDescent="0.25">
      <c r="B66">
        <f>'Data Collection Sheet'!$G$92</f>
        <v>51.449999999999996</v>
      </c>
      <c r="C66" s="57">
        <v>46508</v>
      </c>
      <c r="D66" s="38"/>
      <c r="E66" s="38"/>
      <c r="F66" s="8">
        <v>1.08</v>
      </c>
      <c r="G66" s="38">
        <f t="shared" si="15"/>
        <v>34.526469912664517</v>
      </c>
      <c r="H66" s="38"/>
      <c r="I66" s="38">
        <f t="shared" si="16"/>
        <v>67.106841424032098</v>
      </c>
      <c r="J66">
        <v>90</v>
      </c>
      <c r="AZ66">
        <v>9.76</v>
      </c>
    </row>
    <row r="67" spans="2:52" x14ac:dyDescent="0.25">
      <c r="B67">
        <f>'Data Collection Sheet'!$G$92</f>
        <v>51.449999999999996</v>
      </c>
      <c r="C67" s="57">
        <v>46539</v>
      </c>
      <c r="D67" s="38"/>
      <c r="E67" s="38"/>
      <c r="F67" s="8">
        <v>1.08</v>
      </c>
      <c r="G67" s="38">
        <f t="shared" si="15"/>
        <v>34.748614259674731</v>
      </c>
      <c r="H67" s="38"/>
      <c r="I67" s="38">
        <f t="shared" si="16"/>
        <v>67.538608862341562</v>
      </c>
      <c r="J67">
        <v>90</v>
      </c>
      <c r="AZ67">
        <v>0</v>
      </c>
    </row>
    <row r="68" spans="2:52" x14ac:dyDescent="0.25">
      <c r="B68">
        <f>'Data Collection Sheet'!$G$92</f>
        <v>51.449999999999996</v>
      </c>
      <c r="C68" s="57">
        <v>46569</v>
      </c>
      <c r="D68" s="38"/>
      <c r="E68" s="38"/>
      <c r="F68" s="8">
        <v>1.08</v>
      </c>
      <c r="G68" s="38">
        <f t="shared" si="15"/>
        <v>34.972187890102376</v>
      </c>
      <c r="H68" s="38"/>
      <c r="I68" s="38">
        <f t="shared" si="16"/>
        <v>67.97315430534961</v>
      </c>
      <c r="J68">
        <v>90</v>
      </c>
    </row>
    <row r="69" spans="2:52" x14ac:dyDescent="0.25">
      <c r="B69">
        <f>'Data Collection Sheet'!$G$92</f>
        <v>51.449999999999996</v>
      </c>
      <c r="C69" s="57">
        <v>46600</v>
      </c>
      <c r="D69" s="38"/>
      <c r="E69" s="38"/>
      <c r="F69" s="8">
        <v>1.08</v>
      </c>
      <c r="G69" s="38">
        <f t="shared" si="15"/>
        <v>35.197199999999995</v>
      </c>
      <c r="H69" s="38"/>
      <c r="I69" s="38">
        <f t="shared" si="16"/>
        <v>68.410495626822154</v>
      </c>
      <c r="J69">
        <v>90</v>
      </c>
    </row>
    <row r="70" spans="2:52" x14ac:dyDescent="0.25">
      <c r="B70">
        <f>'Data Collection Sheet'!$G$92</f>
        <v>51.449999999999996</v>
      </c>
      <c r="C70" s="57">
        <v>46631</v>
      </c>
      <c r="D70" s="38"/>
      <c r="E70" s="38"/>
      <c r="F70" s="8">
        <v>1.08</v>
      </c>
      <c r="G70" s="38">
        <f t="shared" si="15"/>
        <v>35.42365984458781</v>
      </c>
      <c r="H70" s="38"/>
      <c r="I70" s="38">
        <f t="shared" si="16"/>
        <v>68.850650815525398</v>
      </c>
      <c r="J70">
        <v>90</v>
      </c>
    </row>
    <row r="71" spans="2:52" x14ac:dyDescent="0.25">
      <c r="B71">
        <f>'Data Collection Sheet'!$G$92</f>
        <v>51.449999999999996</v>
      </c>
      <c r="C71" s="57">
        <v>46661</v>
      </c>
      <c r="D71" s="38"/>
      <c r="E71" s="38"/>
      <c r="F71" s="8">
        <v>1.08</v>
      </c>
      <c r="G71" s="38">
        <f t="shared" si="15"/>
        <v>35.651576738634411</v>
      </c>
      <c r="H71" s="38"/>
      <c r="I71" s="38">
        <f t="shared" si="16"/>
        <v>69.293637975965822</v>
      </c>
      <c r="J71">
        <v>90</v>
      </c>
    </row>
    <row r="72" spans="2:52" x14ac:dyDescent="0.25">
      <c r="B72">
        <f>'Data Collection Sheet'!$G$92</f>
        <v>51.449999999999996</v>
      </c>
      <c r="C72" s="57">
        <v>46692</v>
      </c>
      <c r="D72" s="38"/>
      <c r="E72" s="38"/>
      <c r="F72" s="8">
        <v>1.08</v>
      </c>
      <c r="G72" s="38">
        <f t="shared" si="15"/>
        <v>35.880960056839882</v>
      </c>
      <c r="H72" s="38"/>
      <c r="I72" s="38">
        <f t="shared" si="16"/>
        <v>69.739475329134862</v>
      </c>
      <c r="J72">
        <v>90</v>
      </c>
      <c r="AZ72">
        <v>0.22</v>
      </c>
    </row>
    <row r="73" spans="2:52" x14ac:dyDescent="0.25">
      <c r="B73">
        <f>'Data Collection Sheet'!$G$92</f>
        <v>51.449999999999996</v>
      </c>
      <c r="C73" s="57">
        <v>46722</v>
      </c>
      <c r="D73" s="38"/>
      <c r="E73" s="38"/>
      <c r="F73" s="8">
        <v>1.08</v>
      </c>
      <c r="G73" s="38">
        <f t="shared" si="15"/>
        <v>36.111819234221421</v>
      </c>
      <c r="H73" s="38"/>
      <c r="I73" s="38">
        <f t="shared" ref="I73:I124" si="17">(G73/B73)*100</f>
        <v>70.18818121325836</v>
      </c>
      <c r="J73">
        <v>90</v>
      </c>
      <c r="AZ73">
        <v>1.17</v>
      </c>
    </row>
    <row r="74" spans="2:52" x14ac:dyDescent="0.25">
      <c r="B74">
        <f>'Data Collection Sheet'!$G$92</f>
        <v>51.449999999999996</v>
      </c>
      <c r="C74" s="57">
        <v>46753</v>
      </c>
      <c r="D74" s="38"/>
      <c r="E74" s="38"/>
      <c r="F74" s="8">
        <v>1.08</v>
      </c>
      <c r="G74" s="38">
        <f t="shared" ref="G74:G123" si="18">G73*(1+(F74^(1/12)-1))+E74</f>
        <v>36.344163766501403</v>
      </c>
      <c r="H74" s="38"/>
      <c r="I74" s="38">
        <f t="shared" si="17"/>
        <v>70.639774084550837</v>
      </c>
      <c r="J74">
        <v>90</v>
      </c>
      <c r="AZ74">
        <v>2.89</v>
      </c>
    </row>
    <row r="75" spans="2:52" x14ac:dyDescent="0.25">
      <c r="B75">
        <f>'Data Collection Sheet'!$G$92</f>
        <v>51.449999999999996</v>
      </c>
      <c r="C75" s="57">
        <v>46784</v>
      </c>
      <c r="D75" s="38"/>
      <c r="E75" s="38"/>
      <c r="F75" s="8">
        <v>1.08</v>
      </c>
      <c r="G75" s="38">
        <f t="shared" si="18"/>
        <v>36.578003210497968</v>
      </c>
      <c r="H75" s="38"/>
      <c r="I75" s="38">
        <f t="shared" si="17"/>
        <v>71.094272517974673</v>
      </c>
      <c r="J75">
        <v>90</v>
      </c>
      <c r="AZ75">
        <v>10.16</v>
      </c>
    </row>
    <row r="76" spans="2:52" x14ac:dyDescent="0.25">
      <c r="B76">
        <f>'Data Collection Sheet'!$G$92</f>
        <v>51.449999999999996</v>
      </c>
      <c r="C76" s="57">
        <v>46813</v>
      </c>
      <c r="D76" s="38"/>
      <c r="E76" s="38"/>
      <c r="F76" s="8">
        <v>1.08</v>
      </c>
      <c r="G76" s="38">
        <f t="shared" si="18"/>
        <v>36.813347184518115</v>
      </c>
      <c r="H76" s="38"/>
      <c r="I76" s="38">
        <f t="shared" si="17"/>
        <v>71.551695208004119</v>
      </c>
      <c r="J76">
        <v>90</v>
      </c>
      <c r="AZ76">
        <v>0.39</v>
      </c>
    </row>
    <row r="77" spans="2:52" x14ac:dyDescent="0.25">
      <c r="B77">
        <f>'Data Collection Sheet'!$G$92</f>
        <v>51.449999999999996</v>
      </c>
      <c r="C77" s="57">
        <v>46844</v>
      </c>
      <c r="D77" s="38"/>
      <c r="E77" s="38"/>
      <c r="F77" s="8">
        <v>1.08</v>
      </c>
      <c r="G77" s="38">
        <f t="shared" si="18"/>
        <v>37.050205368753318</v>
      </c>
      <c r="H77" s="38"/>
      <c r="I77" s="38">
        <f t="shared" si="17"/>
        <v>72.012060969394213</v>
      </c>
      <c r="J77">
        <v>90</v>
      </c>
      <c r="AZ77">
        <v>0.28000000000000003</v>
      </c>
    </row>
    <row r="78" spans="2:52" x14ac:dyDescent="0.25">
      <c r="B78">
        <f>'Data Collection Sheet'!$G$92</f>
        <v>51.449999999999996</v>
      </c>
      <c r="C78" s="57">
        <v>46874</v>
      </c>
      <c r="D78" s="38"/>
      <c r="E78" s="38"/>
      <c r="F78" s="8">
        <v>1.08</v>
      </c>
      <c r="G78" s="38">
        <f t="shared" si="18"/>
        <v>37.28858750567769</v>
      </c>
      <c r="H78" s="38"/>
      <c r="I78" s="38">
        <f t="shared" si="17"/>
        <v>72.475388737954702</v>
      </c>
      <c r="J78">
        <v>90</v>
      </c>
      <c r="AZ78">
        <v>0</v>
      </c>
    </row>
    <row r="79" spans="2:52" x14ac:dyDescent="0.25">
      <c r="B79">
        <f>'Data Collection Sheet'!$G$92</f>
        <v>51.449999999999996</v>
      </c>
      <c r="C79" s="57">
        <v>46905</v>
      </c>
      <c r="D79" s="38"/>
      <c r="E79" s="38"/>
      <c r="F79" s="8">
        <v>1.08</v>
      </c>
      <c r="G79" s="38">
        <f t="shared" si="18"/>
        <v>37.52850340044872</v>
      </c>
      <c r="H79" s="38"/>
      <c r="I79" s="38">
        <f t="shared" si="17"/>
        <v>72.941697571328916</v>
      </c>
      <c r="J79">
        <v>90</v>
      </c>
    </row>
    <row r="80" spans="2:52" x14ac:dyDescent="0.25">
      <c r="B80">
        <f>'Data Collection Sheet'!$G$92</f>
        <v>51.449999999999996</v>
      </c>
      <c r="C80" s="57">
        <v>46935</v>
      </c>
      <c r="D80" s="38"/>
      <c r="E80" s="38"/>
      <c r="F80" s="8">
        <v>1.08</v>
      </c>
      <c r="G80" s="38">
        <f t="shared" si="18"/>
        <v>37.769962921310572</v>
      </c>
      <c r="H80" s="38"/>
      <c r="I80" s="38">
        <f t="shared" si="17"/>
        <v>73.411006649777605</v>
      </c>
      <c r="J80">
        <v>90</v>
      </c>
      <c r="AZ80">
        <v>14.85</v>
      </c>
    </row>
    <row r="81" spans="2:52" x14ac:dyDescent="0.25">
      <c r="B81">
        <f>'Data Collection Sheet'!$G$92</f>
        <v>51.449999999999996</v>
      </c>
      <c r="C81" s="57">
        <v>46966</v>
      </c>
      <c r="D81" s="38"/>
      <c r="E81" s="38"/>
      <c r="F81" s="8">
        <v>1.08</v>
      </c>
      <c r="G81" s="38">
        <f t="shared" si="18"/>
        <v>38.012975999999995</v>
      </c>
      <c r="H81" s="38"/>
      <c r="I81" s="38">
        <f t="shared" si="17"/>
        <v>73.883335276967927</v>
      </c>
      <c r="J81">
        <v>90</v>
      </c>
      <c r="AZ81">
        <v>0.68</v>
      </c>
    </row>
    <row r="82" spans="2:52" x14ac:dyDescent="0.25">
      <c r="B82">
        <f>'Data Collection Sheet'!$G$92</f>
        <v>51.449999999999996</v>
      </c>
      <c r="C82" s="57">
        <v>46997</v>
      </c>
      <c r="D82" s="38"/>
      <c r="E82" s="38"/>
      <c r="F82" s="8">
        <v>1.08</v>
      </c>
      <c r="G82" s="38">
        <f t="shared" si="18"/>
        <v>38.257552632154834</v>
      </c>
      <c r="H82" s="38"/>
      <c r="I82" s="38">
        <f t="shared" si="17"/>
        <v>74.35870288076741</v>
      </c>
      <c r="J82">
        <v>90</v>
      </c>
    </row>
    <row r="83" spans="2:52" x14ac:dyDescent="0.25">
      <c r="B83">
        <f>'Data Collection Sheet'!$G$92</f>
        <v>51.449999999999996</v>
      </c>
      <c r="C83" s="57">
        <v>47027</v>
      </c>
      <c r="D83" s="38"/>
      <c r="E83" s="38"/>
      <c r="F83" s="8">
        <v>1.08</v>
      </c>
      <c r="G83" s="38">
        <f t="shared" si="18"/>
        <v>38.503702877725161</v>
      </c>
      <c r="H83" s="38"/>
      <c r="I83" s="38">
        <f t="shared" si="17"/>
        <v>74.837129014043086</v>
      </c>
      <c r="J83">
        <v>90</v>
      </c>
    </row>
    <row r="84" spans="2:52" x14ac:dyDescent="0.25">
      <c r="B84">
        <f>'Data Collection Sheet'!$G$92</f>
        <v>51.449999999999996</v>
      </c>
      <c r="C84" s="57">
        <v>47058</v>
      </c>
      <c r="D84" s="38"/>
      <c r="E84" s="38"/>
      <c r="F84" s="8">
        <v>1.08</v>
      </c>
      <c r="G84" s="38">
        <f t="shared" si="18"/>
        <v>38.75143686138707</v>
      </c>
      <c r="H84" s="38"/>
      <c r="I84" s="38">
        <f t="shared" si="17"/>
        <v>75.31863335546565</v>
      </c>
      <c r="J84">
        <v>90</v>
      </c>
    </row>
    <row r="85" spans="2:52" x14ac:dyDescent="0.25">
      <c r="B85">
        <f>'Data Collection Sheet'!$G$92</f>
        <v>51.449999999999996</v>
      </c>
      <c r="C85" s="57">
        <v>47088</v>
      </c>
      <c r="D85" s="38"/>
      <c r="E85" s="38"/>
      <c r="F85" s="8">
        <v>1.08</v>
      </c>
      <c r="G85" s="38">
        <f t="shared" si="18"/>
        <v>39.00076477295913</v>
      </c>
      <c r="H85" s="38"/>
      <c r="I85" s="38">
        <f t="shared" si="17"/>
        <v>75.803235710319015</v>
      </c>
      <c r="J85">
        <v>90</v>
      </c>
    </row>
    <row r="86" spans="2:52" x14ac:dyDescent="0.25">
      <c r="B86">
        <f>'Data Collection Sheet'!$G$92</f>
        <v>51.449999999999996</v>
      </c>
      <c r="C86" s="57">
        <v>47119</v>
      </c>
      <c r="D86" s="38"/>
      <c r="E86" s="38"/>
      <c r="F86" s="8">
        <v>1.08</v>
      </c>
      <c r="G86" s="38">
        <f t="shared" si="18"/>
        <v>39.251696867821508</v>
      </c>
      <c r="H86" s="38"/>
      <c r="I86" s="38">
        <f t="shared" si="17"/>
        <v>76.29095601131489</v>
      </c>
      <c r="J86">
        <v>90</v>
      </c>
    </row>
    <row r="87" spans="2:52" x14ac:dyDescent="0.25">
      <c r="B87">
        <f>'Data Collection Sheet'!$G$92</f>
        <v>51.449999999999996</v>
      </c>
      <c r="C87" s="57">
        <v>47150</v>
      </c>
      <c r="D87" s="38"/>
      <c r="E87" s="38"/>
      <c r="F87" s="8">
        <v>1.08</v>
      </c>
      <c r="G87" s="38">
        <f t="shared" si="18"/>
        <v>39.504243467337801</v>
      </c>
      <c r="H87" s="38"/>
      <c r="I87" s="38">
        <f t="shared" si="17"/>
        <v>76.781814319412646</v>
      </c>
      <c r="J87">
        <v>90</v>
      </c>
    </row>
    <row r="88" spans="2:52" x14ac:dyDescent="0.25">
      <c r="B88">
        <f>'Data Collection Sheet'!$G$92</f>
        <v>51.449999999999996</v>
      </c>
      <c r="C88" s="57">
        <v>47178</v>
      </c>
      <c r="D88" s="38"/>
      <c r="E88" s="38"/>
      <c r="F88" s="8">
        <v>1.08</v>
      </c>
      <c r="G88" s="38">
        <f t="shared" si="18"/>
        <v>39.758414959279555</v>
      </c>
      <c r="H88" s="38"/>
      <c r="I88" s="38">
        <f t="shared" si="17"/>
        <v>77.27583082464443</v>
      </c>
      <c r="J88">
        <v>90</v>
      </c>
    </row>
    <row r="89" spans="2:52" x14ac:dyDescent="0.25">
      <c r="B89">
        <f>'Data Collection Sheet'!$G$92</f>
        <v>51.449999999999996</v>
      </c>
      <c r="C89" s="57">
        <v>47209</v>
      </c>
      <c r="D89" s="38"/>
      <c r="E89" s="38"/>
      <c r="F89" s="8">
        <v>1.08</v>
      </c>
      <c r="G89" s="38">
        <f t="shared" si="18"/>
        <v>40.014221798253573</v>
      </c>
      <c r="H89" s="38"/>
      <c r="I89" s="38">
        <f t="shared" si="17"/>
        <v>77.773025846945714</v>
      </c>
      <c r="J89">
        <v>90</v>
      </c>
    </row>
    <row r="90" spans="2:52" x14ac:dyDescent="0.25">
      <c r="B90">
        <f>'Data Collection Sheet'!$G$92</f>
        <v>51.449999999999996</v>
      </c>
      <c r="C90" s="57">
        <v>47239</v>
      </c>
      <c r="D90" s="38"/>
      <c r="E90" s="38"/>
      <c r="F90" s="8">
        <v>1.08</v>
      </c>
      <c r="G90" s="38">
        <f t="shared" si="18"/>
        <v>40.271674506131895</v>
      </c>
      <c r="H90" s="38"/>
      <c r="I90" s="38">
        <f t="shared" si="17"/>
        <v>78.273419836991053</v>
      </c>
      <c r="J90">
        <v>90</v>
      </c>
    </row>
    <row r="91" spans="2:52" x14ac:dyDescent="0.25">
      <c r="B91">
        <f>'Data Collection Sheet'!$G$92</f>
        <v>51.449999999999996</v>
      </c>
      <c r="C91" s="57">
        <v>47270</v>
      </c>
      <c r="D91" s="38"/>
      <c r="E91" s="38"/>
      <c r="F91" s="8">
        <v>1.08</v>
      </c>
      <c r="G91" s="38">
        <f t="shared" si="18"/>
        <v>40.530783672484603</v>
      </c>
      <c r="H91" s="38"/>
      <c r="I91" s="38">
        <f t="shared" si="17"/>
        <v>78.777033377035195</v>
      </c>
      <c r="J91">
        <v>90</v>
      </c>
    </row>
    <row r="92" spans="2:52" x14ac:dyDescent="0.25">
      <c r="B92">
        <f>'Data Collection Sheet'!$G$92</f>
        <v>51.449999999999996</v>
      </c>
      <c r="C92" s="57">
        <v>47300</v>
      </c>
      <c r="D92" s="38"/>
      <c r="E92" s="38"/>
      <c r="F92" s="8">
        <v>1.08</v>
      </c>
      <c r="G92" s="38">
        <f t="shared" si="18"/>
        <v>40.791559955015401</v>
      </c>
      <c r="H92" s="38"/>
      <c r="I92" s="38">
        <f t="shared" si="17"/>
        <v>79.283887181759766</v>
      </c>
      <c r="J92">
        <v>90</v>
      </c>
    </row>
    <row r="93" spans="2:52" x14ac:dyDescent="0.25">
      <c r="B93">
        <f>'Data Collection Sheet'!$G$92</f>
        <v>51.449999999999996</v>
      </c>
      <c r="C93" s="57">
        <v>47331</v>
      </c>
      <c r="D93" s="38"/>
      <c r="E93" s="38"/>
      <c r="F93" s="8">
        <v>1.08</v>
      </c>
      <c r="G93" s="38">
        <f t="shared" si="18"/>
        <v>41.05401407999998</v>
      </c>
      <c r="H93" s="38"/>
      <c r="I93" s="38">
        <f t="shared" si="17"/>
        <v>79.794002099125336</v>
      </c>
      <c r="J93">
        <v>90</v>
      </c>
    </row>
    <row r="94" spans="2:52" x14ac:dyDescent="0.25">
      <c r="B94">
        <f>'Data Collection Sheet'!$G$92</f>
        <v>51.449999999999996</v>
      </c>
      <c r="C94" s="57">
        <v>47362</v>
      </c>
      <c r="D94" s="38"/>
      <c r="E94" s="38"/>
      <c r="F94" s="8">
        <v>1.08</v>
      </c>
      <c r="G94" s="38">
        <f t="shared" si="18"/>
        <v>41.318156842727205</v>
      </c>
      <c r="H94" s="38"/>
      <c r="I94" s="38">
        <f t="shared" si="17"/>
        <v>80.30739911122879</v>
      </c>
      <c r="J94">
        <v>90</v>
      </c>
      <c r="AZ94">
        <v>51.25</v>
      </c>
    </row>
    <row r="95" spans="2:52" x14ac:dyDescent="0.25">
      <c r="B95">
        <f>'Data Collection Sheet'!$G$92</f>
        <v>51.449999999999996</v>
      </c>
      <c r="C95" s="57">
        <v>47392</v>
      </c>
      <c r="D95" s="38"/>
      <c r="E95" s="38"/>
      <c r="F95" s="8">
        <v>1.08</v>
      </c>
      <c r="G95" s="38">
        <f t="shared" si="18"/>
        <v>41.583999107943157</v>
      </c>
      <c r="H95" s="38"/>
      <c r="I95" s="38">
        <f t="shared" si="17"/>
        <v>80.824099335166494</v>
      </c>
      <c r="J95">
        <v>90</v>
      </c>
      <c r="AZ95">
        <v>35.08</v>
      </c>
    </row>
    <row r="96" spans="2:52" x14ac:dyDescent="0.25">
      <c r="B96">
        <f>'Data Collection Sheet'!$G$92</f>
        <v>51.449999999999996</v>
      </c>
      <c r="C96" s="57">
        <v>47423</v>
      </c>
      <c r="D96" s="38"/>
      <c r="E96" s="38"/>
      <c r="F96" s="8">
        <v>1.08</v>
      </c>
      <c r="G96" s="38">
        <f t="shared" si="18"/>
        <v>41.85155181029802</v>
      </c>
      <c r="H96" s="38"/>
      <c r="I96" s="38">
        <f t="shared" si="17"/>
        <v>81.344124023902864</v>
      </c>
      <c r="J96">
        <v>90</v>
      </c>
    </row>
    <row r="97" spans="2:52" x14ac:dyDescent="0.25">
      <c r="B97">
        <f>'Data Collection Sheet'!$G$92</f>
        <v>51.449999999999996</v>
      </c>
      <c r="C97" s="57">
        <v>47453</v>
      </c>
      <c r="D97" s="38"/>
      <c r="E97" s="38"/>
      <c r="F97" s="8">
        <v>1.08</v>
      </c>
      <c r="G97" s="38">
        <f t="shared" si="18"/>
        <v>42.120825954795848</v>
      </c>
      <c r="H97" s="38"/>
      <c r="I97" s="38">
        <f t="shared" si="17"/>
        <v>81.867494567144519</v>
      </c>
      <c r="J97">
        <v>90</v>
      </c>
    </row>
    <row r="98" spans="2:52" x14ac:dyDescent="0.25">
      <c r="B98">
        <f>'Data Collection Sheet'!$G$92</f>
        <v>51.449999999999996</v>
      </c>
      <c r="C98" s="57">
        <v>47484</v>
      </c>
      <c r="D98" s="38"/>
      <c r="E98" s="38"/>
      <c r="F98" s="8">
        <v>1.08</v>
      </c>
      <c r="G98" s="38">
        <f t="shared" si="18"/>
        <v>42.391832617247218</v>
      </c>
      <c r="H98" s="38"/>
      <c r="I98" s="38">
        <f t="shared" si="17"/>
        <v>82.39423249222007</v>
      </c>
      <c r="J98">
        <v>90</v>
      </c>
    </row>
    <row r="99" spans="2:52" x14ac:dyDescent="0.25">
      <c r="B99">
        <f>'Data Collection Sheet'!$G$92</f>
        <v>51.449999999999996</v>
      </c>
      <c r="C99" s="57">
        <v>47515</v>
      </c>
      <c r="D99" s="38"/>
      <c r="E99" s="38"/>
      <c r="F99" s="8">
        <v>1.08</v>
      </c>
      <c r="G99" s="38">
        <f t="shared" si="18"/>
        <v>42.664582944724813</v>
      </c>
      <c r="H99" s="38"/>
      <c r="I99" s="38">
        <f t="shared" si="17"/>
        <v>82.924359464965633</v>
      </c>
      <c r="J99">
        <v>90</v>
      </c>
    </row>
    <row r="100" spans="2:52" x14ac:dyDescent="0.25">
      <c r="B100">
        <f>'Data Collection Sheet'!$G$92</f>
        <v>51.449999999999996</v>
      </c>
      <c r="C100" s="57">
        <v>47543</v>
      </c>
      <c r="D100" s="38"/>
      <c r="E100" s="38"/>
      <c r="F100" s="8">
        <v>1.08</v>
      </c>
      <c r="G100" s="38">
        <f t="shared" si="18"/>
        <v>42.93908815602191</v>
      </c>
      <c r="H100" s="38"/>
      <c r="I100" s="38">
        <f t="shared" si="17"/>
        <v>83.457897290615961</v>
      </c>
      <c r="J100">
        <v>90</v>
      </c>
    </row>
    <row r="101" spans="2:52" x14ac:dyDescent="0.25">
      <c r="B101">
        <f>'Data Collection Sheet'!$G$92</f>
        <v>51.449999999999996</v>
      </c>
      <c r="C101" s="57">
        <v>47574</v>
      </c>
      <c r="D101" s="38"/>
      <c r="E101" s="38"/>
      <c r="F101" s="8">
        <v>1.08</v>
      </c>
      <c r="G101" s="38">
        <f t="shared" si="18"/>
        <v>43.215359542113845</v>
      </c>
      <c r="H101" s="38"/>
      <c r="I101" s="38">
        <f t="shared" si="17"/>
        <v>83.994867914701359</v>
      </c>
      <c r="J101">
        <v>90</v>
      </c>
    </row>
    <row r="102" spans="2:52" x14ac:dyDescent="0.25">
      <c r="B102">
        <f>'Data Collection Sheet'!$G$92</f>
        <v>51.449999999999996</v>
      </c>
      <c r="C102" s="57">
        <v>47604</v>
      </c>
      <c r="D102" s="38"/>
      <c r="E102" s="38"/>
      <c r="F102" s="8">
        <v>1.08</v>
      </c>
      <c r="G102" s="38">
        <f t="shared" si="18"/>
        <v>43.493408466622427</v>
      </c>
      <c r="H102" s="38"/>
      <c r="I102" s="38">
        <f t="shared" si="17"/>
        <v>84.535293423950293</v>
      </c>
      <c r="J102">
        <v>90</v>
      </c>
    </row>
    <row r="103" spans="2:52" x14ac:dyDescent="0.25">
      <c r="B103">
        <f>'Data Collection Sheet'!$G$92</f>
        <v>51.449999999999996</v>
      </c>
      <c r="C103" s="57">
        <v>47635</v>
      </c>
      <c r="D103" s="38"/>
      <c r="E103" s="38"/>
      <c r="F103" s="8">
        <v>1.08</v>
      </c>
      <c r="G103" s="38">
        <f t="shared" si="18"/>
        <v>43.773246366283352</v>
      </c>
      <c r="H103" s="38"/>
      <c r="I103" s="38">
        <f t="shared" si="17"/>
        <v>85.079196047197968</v>
      </c>
      <c r="J103">
        <v>90</v>
      </c>
      <c r="AZ103">
        <v>10.98</v>
      </c>
    </row>
    <row r="104" spans="2:52" x14ac:dyDescent="0.25">
      <c r="B104">
        <f>'Data Collection Sheet'!$G$92</f>
        <v>51.449999999999996</v>
      </c>
      <c r="C104" s="57">
        <v>47665</v>
      </c>
      <c r="D104" s="38"/>
      <c r="E104" s="38"/>
      <c r="F104" s="8">
        <v>1.08</v>
      </c>
      <c r="G104" s="38">
        <f t="shared" si="18"/>
        <v>44.054884751416616</v>
      </c>
      <c r="H104" s="38"/>
      <c r="I104" s="38">
        <f t="shared" si="17"/>
        <v>85.626598156300531</v>
      </c>
      <c r="J104">
        <v>90</v>
      </c>
      <c r="AY104">
        <v>9.43</v>
      </c>
      <c r="AZ104">
        <v>9.4700000000000006</v>
      </c>
    </row>
    <row r="105" spans="2:52" x14ac:dyDescent="0.25">
      <c r="B105">
        <f>'Data Collection Sheet'!$G$92</f>
        <v>51.449999999999996</v>
      </c>
      <c r="C105" s="57">
        <v>47696</v>
      </c>
      <c r="D105" s="38"/>
      <c r="E105" s="38"/>
      <c r="F105" s="8">
        <v>1.08</v>
      </c>
      <c r="G105" s="38">
        <f t="shared" si="18"/>
        <v>44.338335206399961</v>
      </c>
      <c r="H105" s="38"/>
      <c r="I105" s="38">
        <f t="shared" si="17"/>
        <v>86.177522267055323</v>
      </c>
      <c r="J105">
        <v>90</v>
      </c>
    </row>
    <row r="106" spans="2:52" x14ac:dyDescent="0.25">
      <c r="B106">
        <f>'Data Collection Sheet'!$G$92</f>
        <v>51.449999999999996</v>
      </c>
      <c r="C106" s="57">
        <v>47727</v>
      </c>
      <c r="D106" s="38"/>
      <c r="E106" s="38"/>
      <c r="F106" s="8">
        <v>1.08</v>
      </c>
      <c r="G106" s="38">
        <f t="shared" si="18"/>
        <v>44.623609390145361</v>
      </c>
      <c r="H106" s="38"/>
      <c r="I106" s="38">
        <f t="shared" si="17"/>
        <v>86.731991040127042</v>
      </c>
      <c r="J106">
        <v>90</v>
      </c>
    </row>
    <row r="107" spans="2:52" x14ac:dyDescent="0.25">
      <c r="B107">
        <f>'Data Collection Sheet'!$G$92</f>
        <v>51.449999999999996</v>
      </c>
      <c r="C107" s="57">
        <v>47757</v>
      </c>
      <c r="D107" s="38"/>
      <c r="E107" s="38"/>
      <c r="F107" s="8">
        <v>1.08</v>
      </c>
      <c r="G107" s="38">
        <f t="shared" si="18"/>
        <v>44.910719036578591</v>
      </c>
      <c r="H107" s="38"/>
      <c r="I107" s="38">
        <f t="shared" si="17"/>
        <v>87.290027281979775</v>
      </c>
      <c r="J107">
        <v>90</v>
      </c>
    </row>
    <row r="108" spans="2:52" x14ac:dyDescent="0.25">
      <c r="B108">
        <f>'Data Collection Sheet'!$G$92</f>
        <v>51.449999999999996</v>
      </c>
      <c r="C108" s="57">
        <v>47788</v>
      </c>
      <c r="D108" s="38"/>
      <c r="E108" s="38"/>
      <c r="F108" s="8">
        <v>1.08</v>
      </c>
      <c r="G108" s="38">
        <f t="shared" si="18"/>
        <v>45.19967595512184</v>
      </c>
      <c r="H108" s="38"/>
      <c r="I108" s="38">
        <f t="shared" si="17"/>
        <v>87.851653945815059</v>
      </c>
      <c r="J108">
        <v>90</v>
      </c>
    </row>
    <row r="109" spans="2:52" x14ac:dyDescent="0.25">
      <c r="B109">
        <f>'Data Collection Sheet'!$G$92</f>
        <v>51.449999999999996</v>
      </c>
      <c r="C109" s="57">
        <v>47818</v>
      </c>
      <c r="D109" s="38"/>
      <c r="E109" s="38"/>
      <c r="F109" s="8">
        <v>1.08</v>
      </c>
      <c r="G109" s="38">
        <f t="shared" si="18"/>
        <v>45.490492031179492</v>
      </c>
      <c r="H109" s="38"/>
      <c r="I109" s="38">
        <f t="shared" si="17"/>
        <v>88.416894132516035</v>
      </c>
      <c r="J109">
        <v>90</v>
      </c>
    </row>
    <row r="110" spans="2:52" x14ac:dyDescent="0.25">
      <c r="B110">
        <f>'Data Collection Sheet'!$G$92</f>
        <v>51.449999999999996</v>
      </c>
      <c r="C110" s="57">
        <v>47849</v>
      </c>
      <c r="D110" s="38"/>
      <c r="E110" s="38"/>
      <c r="F110" s="8">
        <v>1.08</v>
      </c>
      <c r="G110" s="38">
        <f t="shared" si="18"/>
        <v>45.78317922662697</v>
      </c>
      <c r="H110" s="38"/>
      <c r="I110" s="38">
        <f t="shared" si="17"/>
        <v>88.985771091597627</v>
      </c>
      <c r="J110">
        <v>90</v>
      </c>
    </row>
    <row r="111" spans="2:52" x14ac:dyDescent="0.25">
      <c r="B111">
        <f>'Data Collection Sheet'!$G$92</f>
        <v>51.449999999999996</v>
      </c>
      <c r="C111" s="57">
        <v>47880</v>
      </c>
      <c r="D111" s="38"/>
      <c r="E111" s="38"/>
      <c r="F111" s="8">
        <v>1.08</v>
      </c>
      <c r="G111" s="38">
        <f t="shared" si="18"/>
        <v>46.077749580302772</v>
      </c>
      <c r="H111" s="38"/>
      <c r="I111" s="38">
        <f t="shared" si="17"/>
        <v>89.558308222162836</v>
      </c>
      <c r="J111">
        <v>90</v>
      </c>
      <c r="AZ111" s="116">
        <v>0</v>
      </c>
    </row>
    <row r="112" spans="2:52" x14ac:dyDescent="0.25">
      <c r="B112">
        <f>'Data Collection Sheet'!$G$92</f>
        <v>51.449999999999996</v>
      </c>
      <c r="C112" s="57">
        <v>47908</v>
      </c>
      <c r="D112" s="38"/>
      <c r="E112" s="38"/>
      <c r="F112" s="8">
        <v>1.08</v>
      </c>
      <c r="G112" s="38">
        <f t="shared" si="18"/>
        <v>46.374215208503635</v>
      </c>
      <c r="H112" s="38"/>
      <c r="I112" s="38">
        <f t="shared" si="17"/>
        <v>90.134529073865195</v>
      </c>
      <c r="J112">
        <v>90</v>
      </c>
    </row>
    <row r="113" spans="1:52" x14ac:dyDescent="0.25">
      <c r="B113">
        <f>'Data Collection Sheet'!$G$92</f>
        <v>51.449999999999996</v>
      </c>
      <c r="C113" s="57">
        <v>47939</v>
      </c>
      <c r="D113" s="38"/>
      <c r="E113" s="38"/>
      <c r="F113" s="8">
        <v>1.08</v>
      </c>
      <c r="G113" s="38">
        <f t="shared" si="18"/>
        <v>46.672588305482925</v>
      </c>
      <c r="H113" s="38"/>
      <c r="I113" s="38">
        <f t="shared" si="17"/>
        <v>90.714457347877413</v>
      </c>
      <c r="J113">
        <v>90</v>
      </c>
      <c r="AY113">
        <v>12.3</v>
      </c>
      <c r="AZ113">
        <v>12.2</v>
      </c>
    </row>
    <row r="114" spans="1:52" x14ac:dyDescent="0.25">
      <c r="B114">
        <f>'Data Collection Sheet'!$G$92</f>
        <v>51.449999999999996</v>
      </c>
      <c r="C114" s="57">
        <v>47969</v>
      </c>
      <c r="D114" s="38"/>
      <c r="E114" s="38"/>
      <c r="F114" s="8">
        <v>1.08</v>
      </c>
      <c r="G114" s="38">
        <f t="shared" si="18"/>
        <v>46.972881143952193</v>
      </c>
      <c r="H114" s="38"/>
      <c r="I114" s="38">
        <f t="shared" si="17"/>
        <v>91.298116897866279</v>
      </c>
      <c r="J114">
        <v>90</v>
      </c>
    </row>
    <row r="115" spans="1:52" x14ac:dyDescent="0.25">
      <c r="B115">
        <f>'Data Collection Sheet'!$G$92</f>
        <v>51.449999999999996</v>
      </c>
      <c r="C115" s="57">
        <v>48000</v>
      </c>
      <c r="D115" s="38"/>
      <c r="E115" s="38"/>
      <c r="F115" s="8">
        <v>1.08</v>
      </c>
      <c r="G115" s="38">
        <f t="shared" si="18"/>
        <v>47.275106075585995</v>
      </c>
      <c r="H115" s="38"/>
      <c r="I115" s="38">
        <f t="shared" si="17"/>
        <v>91.885531730973753</v>
      </c>
      <c r="J115">
        <v>90</v>
      </c>
    </row>
    <row r="116" spans="1:52" x14ac:dyDescent="0.25">
      <c r="B116">
        <f>'Data Collection Sheet'!$G$92</f>
        <v>51.449999999999996</v>
      </c>
      <c r="C116" s="57">
        <v>48030</v>
      </c>
      <c r="D116" s="38"/>
      <c r="E116" s="38"/>
      <c r="F116" s="8">
        <v>1.08</v>
      </c>
      <c r="G116" s="38">
        <f t="shared" si="18"/>
        <v>47.579275531529923</v>
      </c>
      <c r="H116" s="38"/>
      <c r="I116" s="38">
        <f t="shared" si="17"/>
        <v>92.476726008804519</v>
      </c>
      <c r="J116">
        <v>90</v>
      </c>
    </row>
    <row r="117" spans="1:52" x14ac:dyDescent="0.25">
      <c r="B117">
        <f>'Data Collection Sheet'!$G$92</f>
        <v>51.449999999999996</v>
      </c>
      <c r="C117" s="57">
        <v>48061</v>
      </c>
      <c r="D117" s="38"/>
      <c r="E117" s="38"/>
      <c r="F117" s="8">
        <v>1.08</v>
      </c>
      <c r="G117" s="38">
        <f t="shared" si="18"/>
        <v>47.885402022911933</v>
      </c>
      <c r="H117" s="38"/>
      <c r="I117" s="38">
        <f t="shared" si="17"/>
        <v>93.071724048419696</v>
      </c>
      <c r="J117">
        <v>90</v>
      </c>
    </row>
    <row r="118" spans="1:52" x14ac:dyDescent="0.25">
      <c r="B118">
        <f>'Data Collection Sheet'!$G$92</f>
        <v>51.449999999999996</v>
      </c>
      <c r="C118" s="57">
        <v>48092</v>
      </c>
      <c r="D118" s="38"/>
      <c r="E118" s="38"/>
      <c r="F118" s="8">
        <v>1.08</v>
      </c>
      <c r="G118" s="38">
        <f t="shared" si="18"/>
        <v>48.193498141356969</v>
      </c>
      <c r="H118" s="38"/>
      <c r="I118" s="38">
        <f t="shared" si="17"/>
        <v>93.670550323337167</v>
      </c>
      <c r="J118">
        <v>90</v>
      </c>
    </row>
    <row r="119" spans="1:52" x14ac:dyDescent="0.25">
      <c r="B119">
        <f>'Data Collection Sheet'!$G$92</f>
        <v>51.449999999999996</v>
      </c>
      <c r="C119" s="57">
        <v>48122</v>
      </c>
      <c r="D119" s="38"/>
      <c r="E119" s="38"/>
      <c r="F119" s="8">
        <v>1.08</v>
      </c>
      <c r="G119" s="38">
        <f t="shared" si="18"/>
        <v>48.503576559504857</v>
      </c>
      <c r="H119" s="38"/>
      <c r="I119" s="38">
        <f t="shared" si="17"/>
        <v>94.273229464538119</v>
      </c>
      <c r="J119">
        <v>90</v>
      </c>
      <c r="AY119">
        <v>49.5</v>
      </c>
      <c r="AZ119">
        <v>50.5</v>
      </c>
    </row>
    <row r="120" spans="1:52" x14ac:dyDescent="0.25">
      <c r="B120">
        <f>'Data Collection Sheet'!$G$92</f>
        <v>51.449999999999996</v>
      </c>
      <c r="C120" s="57">
        <v>48153</v>
      </c>
      <c r="D120" s="38"/>
      <c r="E120" s="38"/>
      <c r="F120" s="8">
        <v>1.08</v>
      </c>
      <c r="G120" s="38">
        <f t="shared" si="18"/>
        <v>48.815650031531568</v>
      </c>
      <c r="H120" s="38"/>
      <c r="I120" s="38">
        <f t="shared" si="17"/>
        <v>94.87978626148022</v>
      </c>
      <c r="J120">
        <v>90</v>
      </c>
    </row>
    <row r="121" spans="1:52" x14ac:dyDescent="0.25">
      <c r="B121">
        <f>'Data Collection Sheet'!$G$92</f>
        <v>51.449999999999996</v>
      </c>
      <c r="C121" s="57">
        <v>48183</v>
      </c>
      <c r="D121" s="38"/>
      <c r="E121" s="38"/>
      <c r="F121" s="8">
        <v>1.08</v>
      </c>
      <c r="G121" s="38">
        <f t="shared" si="18"/>
        <v>49.129731393673829</v>
      </c>
      <c r="H121" s="38"/>
      <c r="I121" s="38">
        <f t="shared" si="17"/>
        <v>95.490245663117264</v>
      </c>
      <c r="J121">
        <v>90</v>
      </c>
    </row>
    <row r="122" spans="1:52" x14ac:dyDescent="0.25">
      <c r="B122">
        <f>'Data Collection Sheet'!$G$92</f>
        <v>51.449999999999996</v>
      </c>
      <c r="C122" s="57">
        <v>48214</v>
      </c>
      <c r="D122" s="38"/>
      <c r="E122" s="38"/>
      <c r="F122" s="8">
        <v>1.08</v>
      </c>
      <c r="G122" s="38">
        <f t="shared" si="18"/>
        <v>49.445833564757109</v>
      </c>
      <c r="H122" s="38"/>
      <c r="I122" s="38">
        <f t="shared" si="17"/>
        <v>96.104632778925392</v>
      </c>
      <c r="J122">
        <v>90</v>
      </c>
    </row>
    <row r="123" spans="1:52" x14ac:dyDescent="0.25">
      <c r="B123">
        <f>'Data Collection Sheet'!$G$92</f>
        <v>51.449999999999996</v>
      </c>
      <c r="C123" s="57">
        <v>48245</v>
      </c>
      <c r="D123" s="38"/>
      <c r="E123" s="38"/>
      <c r="F123" s="8">
        <v>1.08</v>
      </c>
      <c r="G123" s="38">
        <f t="shared" si="18"/>
        <v>49.763969546726976</v>
      </c>
      <c r="H123" s="38"/>
      <c r="I123" s="38">
        <f t="shared" si="17"/>
        <v>96.722972879935824</v>
      </c>
      <c r="J123">
        <v>90</v>
      </c>
      <c r="AZ123" s="38">
        <f>$G$123-AZ122</f>
        <v>49.763969546726976</v>
      </c>
    </row>
    <row r="124" spans="1:52" x14ac:dyDescent="0.25">
      <c r="A124" s="67" t="s">
        <v>137</v>
      </c>
      <c r="B124">
        <f>'Data Collection Sheet'!$G$92</f>
        <v>51.449999999999996</v>
      </c>
      <c r="C124" s="57">
        <v>48274</v>
      </c>
      <c r="D124" s="38"/>
      <c r="E124" s="38"/>
      <c r="F124" s="8">
        <v>1.08</v>
      </c>
      <c r="G124" s="38">
        <f>G123+19.2</f>
        <v>68.963969546726972</v>
      </c>
      <c r="H124" s="38"/>
      <c r="I124" s="38">
        <f t="shared" si="17"/>
        <v>134.04075713649559</v>
      </c>
      <c r="J124">
        <v>90</v>
      </c>
      <c r="AZ124">
        <f>AZ122/90</f>
        <v>0</v>
      </c>
    </row>
    <row r="125" spans="1:52" x14ac:dyDescent="0.25">
      <c r="B125" s="38"/>
      <c r="C125" s="53"/>
      <c r="E125" s="38"/>
      <c r="G125" s="38"/>
      <c r="H125" s="38"/>
      <c r="I125" s="38"/>
    </row>
    <row r="126" spans="1:52" x14ac:dyDescent="0.25">
      <c r="A126" s="93" t="s">
        <v>138</v>
      </c>
      <c r="B126" s="49" t="s">
        <v>119</v>
      </c>
      <c r="C126" s="49" t="s">
        <v>2</v>
      </c>
      <c r="D126" s="49" t="s">
        <v>120</v>
      </c>
      <c r="E126" s="94" t="s">
        <v>139</v>
      </c>
      <c r="F126" s="49"/>
      <c r="G126" s="49" t="s">
        <v>123</v>
      </c>
      <c r="H126" s="49" t="s">
        <v>124</v>
      </c>
      <c r="I126" s="49" t="s">
        <v>125</v>
      </c>
      <c r="J126" s="49" t="s">
        <v>126</v>
      </c>
      <c r="AY126">
        <v>32.1</v>
      </c>
      <c r="AZ126">
        <v>31.3</v>
      </c>
    </row>
    <row r="127" spans="1:52" x14ac:dyDescent="0.25">
      <c r="A127" s="67" t="s">
        <v>140</v>
      </c>
      <c r="B127">
        <v>129</v>
      </c>
      <c r="C127" s="53" t="s">
        <v>141</v>
      </c>
      <c r="D127" s="38">
        <f>'Data Collection Sheet'!I108</f>
        <v>80.417500000000004</v>
      </c>
      <c r="E127" s="38"/>
      <c r="F127" s="38"/>
      <c r="G127" s="38"/>
      <c r="H127" s="38">
        <f t="shared" ref="H127:H141" si="19">(D127/B127)*100</f>
        <v>62.339147286821706</v>
      </c>
      <c r="I127" s="38"/>
      <c r="J127">
        <v>75</v>
      </c>
      <c r="K127" s="95">
        <f>D128-D127</f>
        <v>0.67210000000000036</v>
      </c>
      <c r="L127" s="38"/>
    </row>
    <row r="128" spans="1:52" x14ac:dyDescent="0.25">
      <c r="B128">
        <v>129</v>
      </c>
      <c r="C128" s="53" t="s">
        <v>142</v>
      </c>
      <c r="D128" s="38">
        <f>'Data Collection Sheet'!J108</f>
        <v>81.089600000000004</v>
      </c>
      <c r="E128" s="38"/>
      <c r="F128" s="38"/>
      <c r="G128" s="38"/>
      <c r="H128" s="38">
        <f t="shared" si="19"/>
        <v>62.860155038759693</v>
      </c>
      <c r="I128" s="38"/>
      <c r="J128">
        <v>75</v>
      </c>
      <c r="K128" s="95">
        <f t="shared" ref="K128:K151" si="20">D129-D128</f>
        <v>0.59599999999998943</v>
      </c>
    </row>
    <row r="129" spans="1:52" x14ac:dyDescent="0.25">
      <c r="B129">
        <v>129</v>
      </c>
      <c r="C129" s="53" t="s">
        <v>143</v>
      </c>
      <c r="D129" s="38">
        <f>'Data Collection Sheet'!K108</f>
        <v>81.685599999999994</v>
      </c>
      <c r="F129" s="38"/>
      <c r="G129" s="38"/>
      <c r="H129" s="38">
        <f t="shared" si="19"/>
        <v>63.322170542635661</v>
      </c>
      <c r="I129" s="38"/>
      <c r="J129">
        <v>75</v>
      </c>
      <c r="K129" s="95">
        <f t="shared" si="20"/>
        <v>1.504400000000004</v>
      </c>
    </row>
    <row r="130" spans="1:52" x14ac:dyDescent="0.25">
      <c r="B130">
        <v>129</v>
      </c>
      <c r="C130" s="53" t="s">
        <v>144</v>
      </c>
      <c r="D130" s="38">
        <f>'Data Collection Sheet'!L108</f>
        <v>83.19</v>
      </c>
      <c r="F130" s="38"/>
      <c r="G130" s="38"/>
      <c r="H130" s="38">
        <f t="shared" si="19"/>
        <v>64.488372093023244</v>
      </c>
      <c r="I130" s="38"/>
      <c r="J130">
        <v>75</v>
      </c>
      <c r="K130" s="95">
        <f t="shared" si="20"/>
        <v>15.582999999999998</v>
      </c>
    </row>
    <row r="131" spans="1:52" x14ac:dyDescent="0.25">
      <c r="A131" s="67" t="s">
        <v>145</v>
      </c>
      <c r="B131">
        <v>129</v>
      </c>
      <c r="C131" s="53" t="s">
        <v>146</v>
      </c>
      <c r="D131" s="38">
        <f>'Data Collection Sheet'!M108</f>
        <v>98.772999999999996</v>
      </c>
      <c r="E131" s="38"/>
      <c r="F131" s="38"/>
      <c r="G131" s="38"/>
      <c r="H131" s="38">
        <f t="shared" si="19"/>
        <v>76.56821705426357</v>
      </c>
      <c r="I131" s="38"/>
      <c r="J131">
        <v>75</v>
      </c>
      <c r="K131" s="95">
        <f t="shared" si="20"/>
        <v>-15.052999999999997</v>
      </c>
    </row>
    <row r="132" spans="1:52" x14ac:dyDescent="0.25">
      <c r="B132">
        <v>129</v>
      </c>
      <c r="C132" s="53" t="s">
        <v>147</v>
      </c>
      <c r="D132" s="38">
        <f>'Data Collection Sheet'!N108</f>
        <v>83.72</v>
      </c>
      <c r="E132" s="38"/>
      <c r="F132" s="38"/>
      <c r="G132" s="38"/>
      <c r="H132" s="38">
        <f t="shared" si="19"/>
        <v>64.899224806201545</v>
      </c>
      <c r="I132" s="38"/>
      <c r="J132">
        <v>75</v>
      </c>
      <c r="K132" s="95">
        <f t="shared" si="20"/>
        <v>5.7000000000000028</v>
      </c>
      <c r="AY132">
        <v>16.899999999999999</v>
      </c>
      <c r="AZ132">
        <v>17</v>
      </c>
    </row>
    <row r="133" spans="1:52" x14ac:dyDescent="0.25">
      <c r="B133">
        <v>129</v>
      </c>
      <c r="C133" s="53" t="s">
        <v>148</v>
      </c>
      <c r="D133" s="38">
        <f>'Data Collection Sheet'!O108</f>
        <v>89.42</v>
      </c>
      <c r="E133" s="38"/>
      <c r="F133" s="38"/>
      <c r="G133" s="38"/>
      <c r="H133" s="38">
        <f t="shared" si="19"/>
        <v>69.31782945736434</v>
      </c>
      <c r="I133" s="38"/>
      <c r="J133">
        <v>75</v>
      </c>
      <c r="K133" s="95">
        <f t="shared" si="20"/>
        <v>-3.019999999999996</v>
      </c>
    </row>
    <row r="134" spans="1:52" x14ac:dyDescent="0.25">
      <c r="B134">
        <v>129</v>
      </c>
      <c r="C134" s="53" t="s">
        <v>149</v>
      </c>
      <c r="D134" s="38">
        <v>86.4</v>
      </c>
      <c r="E134" s="38"/>
      <c r="F134" s="38"/>
      <c r="G134" s="38"/>
      <c r="H134" s="38">
        <f t="shared" si="19"/>
        <v>66.976744186046517</v>
      </c>
      <c r="I134" s="38"/>
      <c r="J134">
        <v>75</v>
      </c>
      <c r="K134" s="95">
        <f t="shared" si="20"/>
        <v>-10.400000000000006</v>
      </c>
    </row>
    <row r="135" spans="1:52" x14ac:dyDescent="0.25">
      <c r="B135">
        <v>129</v>
      </c>
      <c r="C135" s="53" t="s">
        <v>150</v>
      </c>
      <c r="D135" s="38">
        <v>76</v>
      </c>
      <c r="E135" s="38"/>
      <c r="F135" s="38"/>
      <c r="G135" s="38"/>
      <c r="H135" s="38">
        <f t="shared" si="19"/>
        <v>58.914728682170548</v>
      </c>
      <c r="I135" s="38"/>
      <c r="J135">
        <v>75</v>
      </c>
      <c r="K135" s="95">
        <f t="shared" si="20"/>
        <v>1.9000000000000057</v>
      </c>
    </row>
    <row r="136" spans="1:52" x14ac:dyDescent="0.25">
      <c r="B136">
        <v>129</v>
      </c>
      <c r="C136" s="53" t="s">
        <v>151</v>
      </c>
      <c r="D136" s="38">
        <v>77.900000000000006</v>
      </c>
      <c r="E136" s="38"/>
      <c r="F136" s="38"/>
      <c r="G136" s="38"/>
      <c r="H136" s="38">
        <f t="shared" si="19"/>
        <v>60.387596899224818</v>
      </c>
      <c r="I136" s="38"/>
      <c r="J136">
        <v>75</v>
      </c>
      <c r="K136" s="95">
        <f t="shared" si="20"/>
        <v>17.5</v>
      </c>
    </row>
    <row r="137" spans="1:52" x14ac:dyDescent="0.25">
      <c r="B137">
        <v>129</v>
      </c>
      <c r="C137" s="53" t="s">
        <v>152</v>
      </c>
      <c r="D137" s="38">
        <v>95.4</v>
      </c>
      <c r="E137" s="38"/>
      <c r="F137" s="38"/>
      <c r="G137" s="38"/>
      <c r="H137" s="38">
        <f t="shared" si="19"/>
        <v>73.95348837209302</v>
      </c>
      <c r="I137" s="38"/>
      <c r="J137">
        <v>75</v>
      </c>
      <c r="K137" s="95">
        <f t="shared" si="20"/>
        <v>-15.5</v>
      </c>
    </row>
    <row r="138" spans="1:52" x14ac:dyDescent="0.25">
      <c r="A138" s="67" t="s">
        <v>349</v>
      </c>
      <c r="B138">
        <v>140</v>
      </c>
      <c r="C138" s="53" t="s">
        <v>153</v>
      </c>
      <c r="D138" s="38">
        <v>79.900000000000006</v>
      </c>
      <c r="E138" s="38"/>
      <c r="F138" s="38"/>
      <c r="G138" s="38"/>
      <c r="H138" s="38">
        <f t="shared" si="19"/>
        <v>57.071428571428569</v>
      </c>
      <c r="I138" s="38"/>
      <c r="J138">
        <v>75</v>
      </c>
      <c r="K138" s="95">
        <f t="shared" si="20"/>
        <v>1.7999999999999972</v>
      </c>
      <c r="AY138">
        <v>7.8</v>
      </c>
      <c r="AZ138">
        <v>8</v>
      </c>
    </row>
    <row r="139" spans="1:52" x14ac:dyDescent="0.25">
      <c r="B139">
        <v>140</v>
      </c>
      <c r="C139" s="53" t="s">
        <v>154</v>
      </c>
      <c r="D139" s="38">
        <v>81.7</v>
      </c>
      <c r="E139" s="38"/>
      <c r="F139" s="38"/>
      <c r="G139" s="38"/>
      <c r="H139" s="38">
        <f t="shared" si="19"/>
        <v>58.357142857142861</v>
      </c>
      <c r="I139" s="38"/>
      <c r="J139">
        <v>75</v>
      </c>
      <c r="K139" s="95">
        <f t="shared" si="20"/>
        <v>0.39999999999999147</v>
      </c>
    </row>
    <row r="140" spans="1:52" x14ac:dyDescent="0.25">
      <c r="B140">
        <v>140</v>
      </c>
      <c r="C140" s="53" t="s">
        <v>155</v>
      </c>
      <c r="D140" s="38">
        <v>82.1</v>
      </c>
      <c r="E140" s="38"/>
      <c r="F140" s="38"/>
      <c r="G140" s="38"/>
      <c r="H140" s="38">
        <f t="shared" si="19"/>
        <v>58.642857142857139</v>
      </c>
      <c r="I140" s="38"/>
      <c r="J140">
        <v>75</v>
      </c>
      <c r="K140" s="95">
        <f t="shared" si="20"/>
        <v>0.5</v>
      </c>
    </row>
    <row r="141" spans="1:52" x14ac:dyDescent="0.25">
      <c r="B141">
        <v>140</v>
      </c>
      <c r="C141" s="53" t="s">
        <v>156</v>
      </c>
      <c r="D141" s="38">
        <v>82.6</v>
      </c>
      <c r="F141" s="38"/>
      <c r="G141" s="38"/>
      <c r="H141" s="38">
        <f t="shared" si="19"/>
        <v>59</v>
      </c>
      <c r="I141" s="38"/>
      <c r="J141">
        <v>75</v>
      </c>
      <c r="K141" s="95">
        <f t="shared" si="20"/>
        <v>1.5</v>
      </c>
    </row>
    <row r="142" spans="1:52" x14ac:dyDescent="0.25">
      <c r="B142">
        <v>140</v>
      </c>
      <c r="C142" s="53" t="s">
        <v>157</v>
      </c>
      <c r="D142" s="38">
        <v>84.1</v>
      </c>
      <c r="E142" s="38"/>
      <c r="F142" s="38"/>
      <c r="G142" s="38"/>
      <c r="H142" s="38">
        <f t="shared" ref="H142:H147" si="21">(D142/B142)*100</f>
        <v>60.071428571428562</v>
      </c>
      <c r="I142" s="38"/>
      <c r="J142">
        <v>75</v>
      </c>
      <c r="K142" s="95">
        <f t="shared" si="20"/>
        <v>18.100000000000009</v>
      </c>
    </row>
    <row r="143" spans="1:52" x14ac:dyDescent="0.25">
      <c r="B143">
        <v>140</v>
      </c>
      <c r="C143" s="53" t="s">
        <v>158</v>
      </c>
      <c r="D143" s="38">
        <v>102.2</v>
      </c>
      <c r="E143" s="38"/>
      <c r="F143" s="38"/>
      <c r="G143" s="38"/>
      <c r="H143" s="38">
        <f t="shared" si="21"/>
        <v>73</v>
      </c>
      <c r="I143" s="38"/>
      <c r="J143">
        <v>75</v>
      </c>
      <c r="K143" s="95">
        <f t="shared" si="20"/>
        <v>-17</v>
      </c>
    </row>
    <row r="144" spans="1:52" x14ac:dyDescent="0.25">
      <c r="B144">
        <v>140</v>
      </c>
      <c r="C144" s="53" t="s">
        <v>159</v>
      </c>
      <c r="D144" s="38">
        <v>85.2</v>
      </c>
      <c r="E144" s="38"/>
      <c r="F144" s="38"/>
      <c r="G144" s="38"/>
      <c r="H144" s="38">
        <f t="shared" si="21"/>
        <v>60.857142857142854</v>
      </c>
      <c r="I144" s="38"/>
      <c r="J144">
        <v>75</v>
      </c>
      <c r="K144" s="95">
        <f t="shared" si="20"/>
        <v>2.0999999999999943</v>
      </c>
      <c r="AY144">
        <v>9</v>
      </c>
      <c r="AZ144">
        <v>8.9</v>
      </c>
    </row>
    <row r="145" spans="2:52" x14ac:dyDescent="0.25">
      <c r="B145">
        <v>140</v>
      </c>
      <c r="C145" s="53" t="s">
        <v>160</v>
      </c>
      <c r="D145" s="38">
        <f>'Data Collection Sheet'!AA108</f>
        <v>87.3</v>
      </c>
      <c r="E145" s="38"/>
      <c r="F145" s="38"/>
      <c r="G145" s="38"/>
      <c r="H145" s="38">
        <f t="shared" si="21"/>
        <v>62.357142857142854</v>
      </c>
      <c r="I145" s="38"/>
      <c r="J145">
        <v>75</v>
      </c>
      <c r="K145" s="95">
        <f t="shared" si="20"/>
        <v>2.1000000000000085</v>
      </c>
    </row>
    <row r="146" spans="2:52" x14ac:dyDescent="0.25">
      <c r="B146">
        <v>140</v>
      </c>
      <c r="C146" s="53" t="s">
        <v>161</v>
      </c>
      <c r="D146" s="38">
        <f>'Data Collection Sheet'!AB108</f>
        <v>89.4</v>
      </c>
      <c r="E146" s="38"/>
      <c r="F146" s="38"/>
      <c r="G146" s="38"/>
      <c r="H146" s="38">
        <f t="shared" si="21"/>
        <v>63.857142857142854</v>
      </c>
      <c r="I146" s="38"/>
      <c r="J146">
        <v>75</v>
      </c>
      <c r="K146" s="95">
        <f t="shared" si="20"/>
        <v>0.37999999999999545</v>
      </c>
    </row>
    <row r="147" spans="2:52" x14ac:dyDescent="0.25">
      <c r="B147">
        <v>140</v>
      </c>
      <c r="C147" s="53" t="s">
        <v>162</v>
      </c>
      <c r="D147" s="38">
        <f>'Data Collection Sheet'!AC108</f>
        <v>89.78</v>
      </c>
      <c r="E147" s="38"/>
      <c r="F147" s="38"/>
      <c r="G147" s="38"/>
      <c r="H147" s="38">
        <f t="shared" si="21"/>
        <v>64.128571428571433</v>
      </c>
      <c r="I147" s="38"/>
      <c r="J147">
        <v>75</v>
      </c>
      <c r="K147" s="95">
        <f t="shared" si="20"/>
        <v>1.3400000000000034</v>
      </c>
    </row>
    <row r="148" spans="2:52" x14ac:dyDescent="0.25">
      <c r="B148">
        <v>140</v>
      </c>
      <c r="C148" s="53" t="s">
        <v>163</v>
      </c>
      <c r="D148" s="38">
        <f>'Data Collection Sheet'!AD108</f>
        <v>91.12</v>
      </c>
      <c r="E148" s="38"/>
      <c r="F148" s="38"/>
      <c r="G148" s="38"/>
      <c r="H148" s="38">
        <f t="shared" ref="H148:H153" si="22">(D148/B148)*100</f>
        <v>65.085714285714289</v>
      </c>
      <c r="I148" s="38"/>
      <c r="J148">
        <v>75</v>
      </c>
      <c r="K148" s="95">
        <f t="shared" si="20"/>
        <v>19.079999999999998</v>
      </c>
    </row>
    <row r="149" spans="2:52" x14ac:dyDescent="0.25">
      <c r="B149">
        <v>140</v>
      </c>
      <c r="C149" s="53" t="s">
        <v>164</v>
      </c>
      <c r="D149" s="38">
        <f>'Data Collection Sheet'!AE108</f>
        <v>110.2</v>
      </c>
      <c r="E149" s="38"/>
      <c r="F149" s="38"/>
      <c r="G149" s="38"/>
      <c r="H149" s="38">
        <f t="shared" si="22"/>
        <v>78.714285714285708</v>
      </c>
      <c r="I149" s="38"/>
      <c r="J149">
        <v>75</v>
      </c>
      <c r="K149" s="95">
        <f t="shared" si="20"/>
        <v>-17.269999999999996</v>
      </c>
    </row>
    <row r="150" spans="2:52" x14ac:dyDescent="0.25">
      <c r="B150">
        <v>140</v>
      </c>
      <c r="C150" s="53" t="s">
        <v>165</v>
      </c>
      <c r="D150" s="38">
        <f>'Data Collection Sheet'!AF108</f>
        <v>92.93</v>
      </c>
      <c r="E150" s="38"/>
      <c r="F150" s="38"/>
      <c r="G150" s="38"/>
      <c r="H150" s="38">
        <f t="shared" si="22"/>
        <v>66.378571428571433</v>
      </c>
      <c r="I150" s="38"/>
      <c r="J150">
        <v>75</v>
      </c>
      <c r="K150" s="95">
        <f t="shared" si="20"/>
        <v>-0.99000000000000909</v>
      </c>
      <c r="AY150">
        <v>7.9</v>
      </c>
      <c r="AZ150">
        <v>8</v>
      </c>
    </row>
    <row r="151" spans="2:52" x14ac:dyDescent="0.25">
      <c r="B151">
        <v>140</v>
      </c>
      <c r="C151" s="53" t="s">
        <v>166</v>
      </c>
      <c r="D151" s="38">
        <f>'Data Collection Sheet'!AG108</f>
        <v>91.94</v>
      </c>
      <c r="E151" s="38"/>
      <c r="F151" s="38"/>
      <c r="G151" s="38"/>
      <c r="H151" s="38">
        <f t="shared" si="22"/>
        <v>65.671428571428564</v>
      </c>
      <c r="I151" s="38"/>
      <c r="J151">
        <v>75</v>
      </c>
      <c r="K151" s="95">
        <f t="shared" si="20"/>
        <v>1.460000000000008</v>
      </c>
      <c r="L151" s="38"/>
    </row>
    <row r="152" spans="2:52" x14ac:dyDescent="0.25">
      <c r="B152">
        <v>140</v>
      </c>
      <c r="C152" s="53" t="s">
        <v>167</v>
      </c>
      <c r="D152" s="38">
        <f>'Data Collection Sheet'!AH108</f>
        <v>93.4</v>
      </c>
      <c r="E152" s="38"/>
      <c r="F152" s="38"/>
      <c r="G152" s="38"/>
      <c r="H152" s="38">
        <f t="shared" si="22"/>
        <v>66.714285714285708</v>
      </c>
      <c r="I152" s="38"/>
      <c r="J152">
        <v>75</v>
      </c>
    </row>
    <row r="153" spans="2:52" x14ac:dyDescent="0.25">
      <c r="B153">
        <v>140</v>
      </c>
      <c r="C153" s="53" t="s">
        <v>168</v>
      </c>
      <c r="D153" s="38">
        <f>'Data Collection Sheet'!AI108</f>
        <v>92.89</v>
      </c>
      <c r="E153" s="38"/>
      <c r="F153" s="38"/>
      <c r="G153" s="38"/>
      <c r="H153" s="38">
        <f t="shared" si="22"/>
        <v>66.349999999999994</v>
      </c>
      <c r="I153" s="38"/>
      <c r="J153">
        <v>75</v>
      </c>
    </row>
    <row r="154" spans="2:52" x14ac:dyDescent="0.25">
      <c r="B154">
        <v>140</v>
      </c>
      <c r="C154" s="53" t="s">
        <v>169</v>
      </c>
      <c r="D154" s="38">
        <f>'Data Collection Sheet'!AJ108</f>
        <v>94.39</v>
      </c>
      <c r="E154" s="38"/>
      <c r="F154" s="38"/>
      <c r="G154" s="38"/>
      <c r="H154" s="38">
        <f t="shared" ref="H154" si="23">(D154/B154)*100</f>
        <v>67.421428571428578</v>
      </c>
      <c r="I154" s="38"/>
      <c r="J154">
        <v>75</v>
      </c>
    </row>
    <row r="155" spans="2:52" x14ac:dyDescent="0.25">
      <c r="B155">
        <v>140</v>
      </c>
      <c r="C155" s="53" t="s">
        <v>170</v>
      </c>
      <c r="D155" s="38">
        <f>'Data Collection Sheet'!AK108</f>
        <v>96.2</v>
      </c>
      <c r="E155" s="38"/>
      <c r="F155" s="38"/>
      <c r="G155" s="38"/>
      <c r="H155" s="38">
        <f t="shared" ref="H155" si="24">(D155/B155)*100</f>
        <v>68.714285714285722</v>
      </c>
      <c r="I155" s="38"/>
      <c r="J155">
        <v>75</v>
      </c>
    </row>
    <row r="156" spans="2:52" x14ac:dyDescent="0.25">
      <c r="B156">
        <v>140</v>
      </c>
      <c r="C156" s="53" t="s">
        <v>171</v>
      </c>
      <c r="D156" s="38">
        <f>'Data Collection Sheet'!AL108</f>
        <v>98.23</v>
      </c>
      <c r="E156" s="38"/>
      <c r="F156" s="38"/>
      <c r="G156" s="38"/>
      <c r="H156" s="38">
        <f t="shared" ref="H156:H161" si="25">(D156/B156)*100</f>
        <v>70.164285714285711</v>
      </c>
      <c r="I156" s="38"/>
      <c r="J156">
        <v>75</v>
      </c>
    </row>
    <row r="157" spans="2:52" x14ac:dyDescent="0.25">
      <c r="B157">
        <v>140</v>
      </c>
      <c r="C157" s="53" t="s">
        <v>172</v>
      </c>
      <c r="D157" s="38">
        <f>'Data Collection Sheet'!AM108</f>
        <v>98.7</v>
      </c>
      <c r="E157" s="38"/>
      <c r="F157" s="38"/>
      <c r="G157" s="38"/>
      <c r="H157" s="38">
        <f t="shared" si="25"/>
        <v>70.5</v>
      </c>
      <c r="I157" s="38"/>
      <c r="J157">
        <v>75</v>
      </c>
    </row>
    <row r="158" spans="2:52" x14ac:dyDescent="0.25">
      <c r="B158">
        <v>140</v>
      </c>
      <c r="C158" s="53" t="s">
        <v>173</v>
      </c>
      <c r="D158" s="38">
        <f>'Data Collection Sheet'!AN108</f>
        <v>99.179999999999993</v>
      </c>
      <c r="E158" s="38"/>
      <c r="F158" s="38"/>
      <c r="G158" s="38"/>
      <c r="H158" s="38">
        <f t="shared" si="25"/>
        <v>70.842857142857142</v>
      </c>
      <c r="I158" s="38"/>
      <c r="J158">
        <v>75</v>
      </c>
    </row>
    <row r="159" spans="2:52" x14ac:dyDescent="0.25">
      <c r="B159">
        <v>140</v>
      </c>
      <c r="C159" s="53" t="s">
        <v>174</v>
      </c>
      <c r="D159" s="38">
        <f>'Data Collection Sheet'!AO108</f>
        <v>78.680000000000007</v>
      </c>
      <c r="E159" s="38"/>
      <c r="F159" s="38"/>
      <c r="G159" s="38"/>
      <c r="H159" s="38">
        <f t="shared" si="25"/>
        <v>56.2</v>
      </c>
      <c r="I159" s="38"/>
      <c r="J159">
        <v>75</v>
      </c>
    </row>
    <row r="160" spans="2:52" x14ac:dyDescent="0.25">
      <c r="B160">
        <v>140</v>
      </c>
      <c r="C160" s="53" t="s">
        <v>175</v>
      </c>
      <c r="D160" s="38">
        <f>'Data Collection Sheet'!AP108</f>
        <v>101.23</v>
      </c>
      <c r="E160" s="38"/>
      <c r="F160" s="38"/>
      <c r="G160" s="38"/>
      <c r="H160" s="38">
        <f t="shared" si="25"/>
        <v>72.307142857142864</v>
      </c>
      <c r="I160" s="38"/>
      <c r="J160">
        <v>75</v>
      </c>
    </row>
    <row r="161" spans="1:10" x14ac:dyDescent="0.25">
      <c r="B161">
        <v>140</v>
      </c>
      <c r="C161" s="53" t="s">
        <v>176</v>
      </c>
      <c r="D161" s="38">
        <f>'Data Collection Sheet'!AQ108</f>
        <v>103.37</v>
      </c>
      <c r="E161" s="38"/>
      <c r="F161" s="38"/>
      <c r="G161" s="38"/>
      <c r="H161" s="38">
        <f t="shared" si="25"/>
        <v>73.835714285714289</v>
      </c>
      <c r="I161" s="38"/>
      <c r="J161">
        <v>75</v>
      </c>
    </row>
    <row r="162" spans="1:10" x14ac:dyDescent="0.25">
      <c r="B162">
        <v>140</v>
      </c>
      <c r="C162" s="53" t="s">
        <v>177</v>
      </c>
      <c r="D162" s="38">
        <f>'Data Collection Sheet'!AR108</f>
        <v>105.44000000000001</v>
      </c>
      <c r="E162" s="38"/>
      <c r="F162" s="38"/>
      <c r="G162" s="38"/>
      <c r="H162" s="38">
        <f>(D162/B162)*100</f>
        <v>75.314285714285717</v>
      </c>
      <c r="I162" s="38"/>
      <c r="J162">
        <v>75</v>
      </c>
    </row>
    <row r="163" spans="1:10" x14ac:dyDescent="0.25">
      <c r="B163">
        <v>140</v>
      </c>
      <c r="C163" s="92">
        <v>45658</v>
      </c>
      <c r="D163" s="38">
        <f>'Data Collection Sheet'!AS108</f>
        <v>106.53999999999999</v>
      </c>
      <c r="E163" s="38"/>
      <c r="F163" s="38"/>
      <c r="G163" s="38"/>
      <c r="H163" s="38">
        <f>(D163/B163)*100</f>
        <v>76.099999999999994</v>
      </c>
      <c r="I163" s="38"/>
      <c r="J163">
        <v>75</v>
      </c>
    </row>
    <row r="164" spans="1:10" x14ac:dyDescent="0.25">
      <c r="B164">
        <v>140</v>
      </c>
      <c r="C164" s="92">
        <v>45689</v>
      </c>
      <c r="D164" s="38">
        <f>'Data Collection Sheet'!AT108</f>
        <v>105.44</v>
      </c>
      <c r="E164" s="38"/>
      <c r="F164" s="38"/>
      <c r="G164" s="38"/>
      <c r="H164" s="38">
        <f>(D164/B164)*100</f>
        <v>75.314285714285717</v>
      </c>
      <c r="I164" s="38"/>
      <c r="J164">
        <v>75</v>
      </c>
    </row>
    <row r="165" spans="1:10" x14ac:dyDescent="0.25">
      <c r="A165" s="67" t="s">
        <v>335</v>
      </c>
      <c r="B165">
        <v>140</v>
      </c>
      <c r="C165" s="92">
        <v>45717</v>
      </c>
      <c r="D165" s="38">
        <f>'Data Collection Sheet'!AU108</f>
        <v>107.02</v>
      </c>
      <c r="E165" s="38">
        <v>-15</v>
      </c>
      <c r="F165" s="38"/>
      <c r="G165" s="38"/>
      <c r="H165" s="38">
        <f t="shared" ref="H165:H166" si="26">(D165/B165)*100</f>
        <v>76.442857142857136</v>
      </c>
      <c r="I165" s="38"/>
      <c r="J165">
        <v>75</v>
      </c>
    </row>
    <row r="166" spans="1:10" x14ac:dyDescent="0.25">
      <c r="B166">
        <v>140</v>
      </c>
      <c r="C166" s="92">
        <v>45748</v>
      </c>
      <c r="D166" s="38">
        <f>'Data Collection Sheet'!AV108</f>
        <v>107.91</v>
      </c>
      <c r="E166" s="38"/>
      <c r="F166" s="38"/>
      <c r="G166" s="38"/>
      <c r="H166" s="38">
        <f t="shared" si="26"/>
        <v>77.078571428571436</v>
      </c>
      <c r="I166" s="38"/>
      <c r="J166">
        <v>75</v>
      </c>
    </row>
    <row r="167" spans="1:10" x14ac:dyDescent="0.25">
      <c r="B167">
        <v>140</v>
      </c>
      <c r="C167" s="92">
        <v>45778</v>
      </c>
      <c r="D167" s="38">
        <f>'Data Collection Sheet'!AW108</f>
        <v>109.42</v>
      </c>
      <c r="E167" s="38"/>
      <c r="F167" s="38"/>
      <c r="G167" s="38"/>
      <c r="H167" s="38">
        <f t="shared" ref="H167" si="27">(D167/B167)*100</f>
        <v>78.157142857142858</v>
      </c>
      <c r="I167" s="38"/>
      <c r="J167">
        <v>75</v>
      </c>
    </row>
    <row r="168" spans="1:10" x14ac:dyDescent="0.25">
      <c r="B168">
        <v>140</v>
      </c>
      <c r="C168" s="92">
        <v>45809</v>
      </c>
      <c r="D168" s="38">
        <f>'Data Collection Sheet'!AX108</f>
        <v>109.98</v>
      </c>
      <c r="E168" s="38"/>
      <c r="F168" s="38"/>
      <c r="G168" s="38"/>
      <c r="H168" s="38">
        <f t="shared" ref="H168" si="28">(D168/B168)*100</f>
        <v>78.557142857142864</v>
      </c>
      <c r="I168" s="38"/>
      <c r="J168">
        <v>75</v>
      </c>
    </row>
    <row r="169" spans="1:10" x14ac:dyDescent="0.25">
      <c r="B169">
        <v>140</v>
      </c>
      <c r="C169" s="92">
        <v>45839</v>
      </c>
      <c r="D169" s="38">
        <f>'Data Collection Sheet'!AY108</f>
        <v>85.300000000000011</v>
      </c>
      <c r="E169" s="38"/>
      <c r="F169" s="38"/>
      <c r="G169" s="38"/>
      <c r="H169" s="38">
        <f t="shared" ref="H169" si="29">(D169/B169)*100</f>
        <v>60.928571428571431</v>
      </c>
      <c r="I169" s="38"/>
      <c r="J169">
        <v>75</v>
      </c>
    </row>
    <row r="170" spans="1:10" x14ac:dyDescent="0.25">
      <c r="B170">
        <v>140</v>
      </c>
      <c r="C170" s="92">
        <v>45870</v>
      </c>
      <c r="D170" s="38">
        <f>'Data Collection Sheet'!AZ108</f>
        <v>86.33</v>
      </c>
      <c r="E170" s="38"/>
      <c r="F170" s="38"/>
      <c r="G170" s="38"/>
      <c r="H170" s="38">
        <f t="shared" ref="H170" si="30">(D170/B170)*100</f>
        <v>61.664285714285718</v>
      </c>
      <c r="I170" s="38"/>
      <c r="J170">
        <v>75</v>
      </c>
    </row>
    <row r="171" spans="1:10" x14ac:dyDescent="0.25">
      <c r="B171">
        <v>140</v>
      </c>
      <c r="C171" s="92">
        <v>45901</v>
      </c>
      <c r="D171" s="38">
        <f>'Data Collection Sheet'!BA108</f>
        <v>86.9</v>
      </c>
      <c r="E171" s="38"/>
      <c r="F171" s="38"/>
      <c r="G171" s="38"/>
      <c r="H171" s="38">
        <f t="shared" ref="H171" si="31">(D171/B171)*100</f>
        <v>62.071428571428577</v>
      </c>
      <c r="I171" s="38"/>
      <c r="J171">
        <v>75</v>
      </c>
    </row>
    <row r="172" spans="1:10" x14ac:dyDescent="0.25">
      <c r="B172">
        <v>140</v>
      </c>
      <c r="C172" s="92">
        <v>45931</v>
      </c>
      <c r="D172" s="38">
        <f>'Data Collection Sheet'!BB108</f>
        <v>87.36</v>
      </c>
      <c r="E172" s="38"/>
      <c r="G172" s="38"/>
      <c r="H172" s="38">
        <f t="shared" ref="H172" si="32">(D172/B172)*100</f>
        <v>62.4</v>
      </c>
      <c r="I172" s="38"/>
      <c r="J172">
        <v>75</v>
      </c>
    </row>
    <row r="173" spans="1:10" x14ac:dyDescent="0.25">
      <c r="B173">
        <f>73+59</f>
        <v>132</v>
      </c>
      <c r="C173" s="92">
        <v>45962</v>
      </c>
      <c r="D173" s="38">
        <f>'Data Collection Sheet'!BC108</f>
        <v>88.88</v>
      </c>
      <c r="E173" s="38"/>
      <c r="G173" s="38"/>
      <c r="H173" s="38">
        <f t="shared" ref="H173" si="33">(D173/B173)*100</f>
        <v>67.333333333333329</v>
      </c>
      <c r="I173" s="38"/>
      <c r="J173">
        <v>75</v>
      </c>
    </row>
    <row r="174" spans="1:10" x14ac:dyDescent="0.25">
      <c r="B174">
        <f t="shared" ref="B174:B198" si="34">73+59</f>
        <v>132</v>
      </c>
      <c r="C174" s="92">
        <v>45992</v>
      </c>
      <c r="D174" s="38">
        <f>'Data Collection Sheet'!BD108</f>
        <v>90.32</v>
      </c>
      <c r="E174" s="38"/>
      <c r="G174" s="38"/>
      <c r="H174" s="38">
        <f t="shared" ref="H174:H179" si="35">(D174/B174)*100</f>
        <v>68.424242424242422</v>
      </c>
      <c r="I174" s="38"/>
      <c r="J174">
        <v>75</v>
      </c>
    </row>
    <row r="175" spans="1:10" x14ac:dyDescent="0.25">
      <c r="B175">
        <f t="shared" si="34"/>
        <v>132</v>
      </c>
      <c r="C175" s="92">
        <v>46023</v>
      </c>
      <c r="D175" s="38">
        <f>'Data Collection Sheet'!BE108</f>
        <v>84.94</v>
      </c>
      <c r="E175" s="38"/>
      <c r="G175" s="38"/>
      <c r="H175" s="38">
        <f t="shared" si="35"/>
        <v>64.348484848484844</v>
      </c>
      <c r="I175" s="38"/>
      <c r="J175">
        <v>75</v>
      </c>
    </row>
    <row r="176" spans="1:10" x14ac:dyDescent="0.25">
      <c r="B176">
        <f t="shared" si="34"/>
        <v>132</v>
      </c>
      <c r="C176" s="92">
        <v>46054</v>
      </c>
      <c r="D176" s="38">
        <f>'Data Collection Sheet'!BF108</f>
        <v>92.43</v>
      </c>
      <c r="E176" s="38"/>
      <c r="G176" s="38"/>
      <c r="H176" s="38">
        <f t="shared" si="35"/>
        <v>70.02272727272728</v>
      </c>
      <c r="I176" s="38"/>
      <c r="J176">
        <v>75</v>
      </c>
    </row>
    <row r="177" spans="2:10" x14ac:dyDescent="0.25">
      <c r="B177">
        <f t="shared" si="34"/>
        <v>132</v>
      </c>
      <c r="C177" s="92">
        <v>46082</v>
      </c>
      <c r="D177" s="38">
        <f>'Data Collection Sheet'!BG108</f>
        <v>93.08</v>
      </c>
      <c r="E177" s="38"/>
      <c r="G177" s="38"/>
      <c r="H177" s="38">
        <f t="shared" si="35"/>
        <v>70.515151515151501</v>
      </c>
      <c r="I177" s="38"/>
      <c r="J177">
        <v>75</v>
      </c>
    </row>
    <row r="178" spans="2:10" x14ac:dyDescent="0.25">
      <c r="B178">
        <f t="shared" si="34"/>
        <v>132</v>
      </c>
      <c r="C178" s="92">
        <v>46113</v>
      </c>
      <c r="D178" s="38">
        <f>'Data Collection Sheet'!BH108</f>
        <v>93.66</v>
      </c>
      <c r="E178" s="38"/>
      <c r="G178" s="38"/>
      <c r="H178" s="38">
        <f t="shared" si="35"/>
        <v>70.954545454545453</v>
      </c>
      <c r="I178" s="38"/>
      <c r="J178">
        <v>75</v>
      </c>
    </row>
    <row r="179" spans="2:10" x14ac:dyDescent="0.25">
      <c r="B179">
        <f t="shared" si="34"/>
        <v>132</v>
      </c>
      <c r="C179" s="92">
        <v>46143</v>
      </c>
      <c r="D179" s="38">
        <f>'Data Collection Sheet'!BI108</f>
        <v>94.61</v>
      </c>
      <c r="E179" s="38"/>
      <c r="G179" s="38"/>
      <c r="H179" s="38">
        <f t="shared" si="35"/>
        <v>71.674242424242436</v>
      </c>
      <c r="I179" s="38"/>
      <c r="J179">
        <v>75</v>
      </c>
    </row>
    <row r="180" spans="2:10" x14ac:dyDescent="0.25">
      <c r="B180">
        <f t="shared" si="34"/>
        <v>132</v>
      </c>
      <c r="C180" s="92">
        <v>46174</v>
      </c>
      <c r="D180" s="38">
        <f>'Data Collection Sheet'!BJ108</f>
        <v>95.06</v>
      </c>
      <c r="E180" s="38"/>
      <c r="G180" s="38"/>
      <c r="H180" s="38">
        <f>(D180/B180)*100</f>
        <v>72.015151515151516</v>
      </c>
      <c r="I180" s="38"/>
      <c r="J180">
        <v>75</v>
      </c>
    </row>
    <row r="181" spans="2:10" x14ac:dyDescent="0.25">
      <c r="B181">
        <f t="shared" si="34"/>
        <v>132</v>
      </c>
      <c r="C181" s="92">
        <v>46204</v>
      </c>
      <c r="D181" s="38">
        <f>'Data Collection Sheet'!BK108</f>
        <v>97.82</v>
      </c>
      <c r="E181" s="38"/>
      <c r="G181" s="38"/>
      <c r="H181" s="38">
        <f>(D181/B181)*100</f>
        <v>74.106060606060595</v>
      </c>
      <c r="I181" s="38"/>
      <c r="J181">
        <v>75</v>
      </c>
    </row>
    <row r="182" spans="2:10" x14ac:dyDescent="0.25">
      <c r="B182">
        <f t="shared" si="34"/>
        <v>132</v>
      </c>
      <c r="C182" s="92">
        <v>46235</v>
      </c>
      <c r="D182" s="38">
        <f>'Data Collection Sheet'!BL108</f>
        <v>98.3</v>
      </c>
      <c r="E182" s="38"/>
      <c r="G182" s="38">
        <f>D182</f>
        <v>98.3</v>
      </c>
      <c r="H182" s="38">
        <f>(D182/B182)*100</f>
        <v>74.469696969696969</v>
      </c>
      <c r="I182" s="38">
        <f t="shared" ref="I182" si="36">(G182/B182)*100</f>
        <v>74.469696969696969</v>
      </c>
      <c r="J182">
        <v>75</v>
      </c>
    </row>
    <row r="183" spans="2:10" x14ac:dyDescent="0.25">
      <c r="B183">
        <f t="shared" si="34"/>
        <v>132</v>
      </c>
      <c r="C183" s="92">
        <v>46266</v>
      </c>
      <c r="E183" s="38"/>
      <c r="G183" s="38">
        <f t="shared" ref="G183:G198" si="37">G182*(1+(1.12^(1/12)-1))+E183</f>
        <v>99.232748345469517</v>
      </c>
      <c r="I183" s="38">
        <f t="shared" ref="I183:I198" si="38">(G183/B183)*100</f>
        <v>75.176324504143579</v>
      </c>
      <c r="J183">
        <v>75</v>
      </c>
    </row>
    <row r="184" spans="2:10" x14ac:dyDescent="0.25">
      <c r="B184">
        <f t="shared" si="34"/>
        <v>132</v>
      </c>
      <c r="C184" s="92">
        <v>46296</v>
      </c>
      <c r="E184" s="38"/>
      <c r="G184" s="38">
        <f t="shared" si="37"/>
        <v>100.17434734684926</v>
      </c>
      <c r="I184" s="38">
        <f t="shared" si="38"/>
        <v>75.889657080946407</v>
      </c>
      <c r="J184">
        <v>75</v>
      </c>
    </row>
    <row r="185" spans="2:10" x14ac:dyDescent="0.25">
      <c r="B185">
        <f t="shared" si="34"/>
        <v>132</v>
      </c>
      <c r="C185" s="92">
        <v>46327</v>
      </c>
      <c r="E185" s="38"/>
      <c r="G185" s="38">
        <f t="shared" si="37"/>
        <v>101.12488098618051</v>
      </c>
      <c r="I185" s="38">
        <f t="shared" si="38"/>
        <v>76.609758322864025</v>
      </c>
      <c r="J185">
        <v>75</v>
      </c>
    </row>
    <row r="186" spans="2:10" x14ac:dyDescent="0.25">
      <c r="B186">
        <f t="shared" si="34"/>
        <v>132</v>
      </c>
      <c r="C186" s="92">
        <v>46357</v>
      </c>
      <c r="E186" s="38"/>
      <c r="G186" s="38">
        <f t="shared" si="37"/>
        <v>102.08443404239273</v>
      </c>
      <c r="I186" s="38">
        <f t="shared" si="38"/>
        <v>77.336692456358122</v>
      </c>
      <c r="J186">
        <v>75</v>
      </c>
    </row>
    <row r="187" spans="2:10" x14ac:dyDescent="0.25">
      <c r="B187">
        <f t="shared" si="34"/>
        <v>132</v>
      </c>
      <c r="C187" s="92">
        <v>46388</v>
      </c>
      <c r="E187" s="38"/>
      <c r="G187" s="38">
        <f t="shared" si="37"/>
        <v>103.05309209886509</v>
      </c>
      <c r="I187" s="38">
        <f t="shared" si="38"/>
        <v>78.07052431732204</v>
      </c>
    </row>
    <row r="188" spans="2:10" x14ac:dyDescent="0.25">
      <c r="B188">
        <f t="shared" si="34"/>
        <v>132</v>
      </c>
      <c r="C188" s="92">
        <v>46419</v>
      </c>
      <c r="E188" s="38"/>
      <c r="G188" s="38">
        <f t="shared" si="37"/>
        <v>104.03094155105974</v>
      </c>
      <c r="I188" s="38">
        <f t="shared" si="38"/>
        <v>78.811319356863436</v>
      </c>
    </row>
    <row r="189" spans="2:10" x14ac:dyDescent="0.25">
      <c r="B189">
        <f t="shared" si="34"/>
        <v>132</v>
      </c>
      <c r="C189" s="92">
        <v>46447</v>
      </c>
      <c r="E189" s="38"/>
      <c r="G189" s="38">
        <f t="shared" si="37"/>
        <v>105.01806961422746</v>
      </c>
      <c r="I189" s="38">
        <f t="shared" si="38"/>
        <v>79.559143647142022</v>
      </c>
    </row>
    <row r="190" spans="2:10" x14ac:dyDescent="0.25">
      <c r="B190">
        <f t="shared" si="34"/>
        <v>132</v>
      </c>
      <c r="C190" s="92">
        <v>46478</v>
      </c>
      <c r="E190" s="38"/>
      <c r="G190" s="38">
        <f t="shared" si="37"/>
        <v>106.01456433118649</v>
      </c>
      <c r="I190" s="38">
        <f t="shared" si="38"/>
        <v>80.314063887262506</v>
      </c>
    </row>
    <row r="191" spans="2:10" x14ac:dyDescent="0.25">
      <c r="B191">
        <f t="shared" si="34"/>
        <v>132</v>
      </c>
      <c r="C191" s="92">
        <v>46508</v>
      </c>
      <c r="E191" s="38"/>
      <c r="G191" s="38">
        <f t="shared" si="37"/>
        <v>107.02051458017516</v>
      </c>
      <c r="I191" s="38">
        <f t="shared" si="38"/>
        <v>81.076147409223609</v>
      </c>
    </row>
    <row r="192" spans="2:10" x14ac:dyDescent="0.25">
      <c r="B192">
        <f t="shared" si="34"/>
        <v>132</v>
      </c>
      <c r="C192" s="92">
        <v>46539</v>
      </c>
      <c r="E192" s="38"/>
      <c r="G192" s="38">
        <f t="shared" si="37"/>
        <v>108.03601008277897</v>
      </c>
      <c r="I192" s="38">
        <f t="shared" si="38"/>
        <v>81.845462183923473</v>
      </c>
    </row>
    <row r="193" spans="1:10" x14ac:dyDescent="0.25">
      <c r="B193">
        <f t="shared" si="34"/>
        <v>132</v>
      </c>
      <c r="C193" s="92">
        <v>46569</v>
      </c>
      <c r="E193" s="38"/>
      <c r="G193" s="38">
        <f t="shared" si="37"/>
        <v>109.06114141193299</v>
      </c>
      <c r="I193" s="38">
        <f t="shared" si="38"/>
        <v>82.622076827221974</v>
      </c>
    </row>
    <row r="194" spans="1:10" x14ac:dyDescent="0.25">
      <c r="B194">
        <f t="shared" si="34"/>
        <v>132</v>
      </c>
      <c r="C194" s="92">
        <v>46600</v>
      </c>
      <c r="E194" s="38"/>
      <c r="G194" s="38">
        <f t="shared" si="37"/>
        <v>110.0960000000001</v>
      </c>
      <c r="I194" s="38">
        <f t="shared" si="38"/>
        <v>83.406060606060677</v>
      </c>
    </row>
    <row r="195" spans="1:10" x14ac:dyDescent="0.25">
      <c r="B195">
        <f t="shared" si="34"/>
        <v>132</v>
      </c>
      <c r="C195" s="92">
        <v>46631</v>
      </c>
      <c r="E195" s="38"/>
      <c r="G195" s="38">
        <f t="shared" si="37"/>
        <v>111.14067814692596</v>
      </c>
      <c r="I195" s="38">
        <f t="shared" si="38"/>
        <v>84.197483444640881</v>
      </c>
    </row>
    <row r="196" spans="1:10" x14ac:dyDescent="0.25">
      <c r="B196">
        <f t="shared" si="34"/>
        <v>132</v>
      </c>
      <c r="C196" s="92">
        <v>46661</v>
      </c>
      <c r="E196" s="38"/>
      <c r="G196" s="38">
        <f t="shared" si="37"/>
        <v>112.19526902847129</v>
      </c>
      <c r="I196" s="38">
        <f t="shared" si="38"/>
        <v>84.996415930660064</v>
      </c>
    </row>
    <row r="197" spans="1:10" x14ac:dyDescent="0.25">
      <c r="B197">
        <f t="shared" si="34"/>
        <v>132</v>
      </c>
      <c r="C197" s="92">
        <v>46692</v>
      </c>
      <c r="E197" s="38"/>
      <c r="G197" s="38">
        <f t="shared" si="37"/>
        <v>113.2598667045223</v>
      </c>
      <c r="I197" s="38">
        <f t="shared" si="38"/>
        <v>85.802929321607806</v>
      </c>
    </row>
    <row r="198" spans="1:10" x14ac:dyDescent="0.25">
      <c r="B198">
        <f t="shared" si="34"/>
        <v>132</v>
      </c>
      <c r="C198" s="92">
        <v>46722</v>
      </c>
      <c r="E198" s="38"/>
      <c r="G198" s="38">
        <f t="shared" si="37"/>
        <v>114.33456612747999</v>
      </c>
      <c r="I198" s="38">
        <f t="shared" si="38"/>
        <v>86.61709555112121</v>
      </c>
    </row>
    <row r="199" spans="1:10" x14ac:dyDescent="0.25">
      <c r="C199" s="53"/>
      <c r="E199" s="38"/>
    </row>
    <row r="200" spans="1:10" x14ac:dyDescent="0.25">
      <c r="C200" s="53"/>
      <c r="E200" s="38"/>
    </row>
    <row r="201" spans="1:10" x14ac:dyDescent="0.25">
      <c r="C201" s="53"/>
      <c r="E201" s="38"/>
    </row>
    <row r="202" spans="1:10" x14ac:dyDescent="0.25">
      <c r="A202" s="93" t="s">
        <v>352</v>
      </c>
      <c r="B202" s="49" t="s">
        <v>119</v>
      </c>
      <c r="C202" s="49" t="s">
        <v>2</v>
      </c>
      <c r="D202" s="49" t="s">
        <v>120</v>
      </c>
      <c r="E202" s="94" t="s">
        <v>139</v>
      </c>
      <c r="F202" s="49"/>
      <c r="G202" s="49" t="s">
        <v>123</v>
      </c>
      <c r="H202" s="49" t="s">
        <v>124</v>
      </c>
      <c r="I202" s="49" t="s">
        <v>125</v>
      </c>
      <c r="J202" s="49" t="s">
        <v>126</v>
      </c>
    </row>
    <row r="203" spans="1:10" x14ac:dyDescent="0.25">
      <c r="B203">
        <v>32</v>
      </c>
      <c r="C203" s="53" t="s">
        <v>141</v>
      </c>
      <c r="D203" s="8">
        <f>'Data Collection Sheet'!I104</f>
        <v>20.985600000000002</v>
      </c>
      <c r="G203" s="38"/>
      <c r="H203" s="38">
        <f t="shared" ref="H203:H210" si="39">(D203/B203)*100</f>
        <v>65.58</v>
      </c>
      <c r="I203" s="38"/>
      <c r="J203">
        <v>75</v>
      </c>
    </row>
    <row r="204" spans="1:10" x14ac:dyDescent="0.25">
      <c r="B204">
        <v>32</v>
      </c>
      <c r="C204" s="53" t="s">
        <v>142</v>
      </c>
      <c r="D204" s="8">
        <f>'Data Collection Sheet'!J104</f>
        <v>21.337599999999998</v>
      </c>
      <c r="G204" s="38"/>
      <c r="H204" s="38">
        <f t="shared" si="39"/>
        <v>66.679999999999993</v>
      </c>
      <c r="I204" s="38"/>
      <c r="J204">
        <v>75</v>
      </c>
    </row>
    <row r="205" spans="1:10" x14ac:dyDescent="0.25">
      <c r="B205">
        <v>32</v>
      </c>
      <c r="C205" s="53" t="s">
        <v>143</v>
      </c>
      <c r="D205" s="8">
        <f>'Data Collection Sheet'!K104</f>
        <v>21.5456</v>
      </c>
      <c r="G205" s="38"/>
      <c r="H205" s="38">
        <f t="shared" si="39"/>
        <v>67.33</v>
      </c>
      <c r="I205" s="38"/>
      <c r="J205">
        <v>75</v>
      </c>
    </row>
    <row r="206" spans="1:10" x14ac:dyDescent="0.25">
      <c r="B206">
        <v>32</v>
      </c>
      <c r="C206" s="53" t="s">
        <v>144</v>
      </c>
      <c r="D206" s="8">
        <f>'Data Collection Sheet'!L104</f>
        <v>22.08</v>
      </c>
      <c r="G206" s="38"/>
      <c r="H206" s="38">
        <f t="shared" si="39"/>
        <v>69</v>
      </c>
      <c r="I206" s="38"/>
      <c r="J206">
        <v>75</v>
      </c>
    </row>
    <row r="207" spans="1:10" x14ac:dyDescent="0.25">
      <c r="B207">
        <v>32</v>
      </c>
      <c r="C207" s="53" t="s">
        <v>146</v>
      </c>
      <c r="D207" s="8">
        <f>'Data Collection Sheet'!M104</f>
        <v>22.24</v>
      </c>
      <c r="G207" s="38"/>
      <c r="H207" s="38">
        <f t="shared" si="39"/>
        <v>69.5</v>
      </c>
      <c r="I207" s="38"/>
      <c r="J207">
        <v>75</v>
      </c>
    </row>
    <row r="208" spans="1:10" x14ac:dyDescent="0.25">
      <c r="B208">
        <v>32</v>
      </c>
      <c r="C208" s="53" t="s">
        <v>147</v>
      </c>
      <c r="D208" s="8">
        <f>'Data Collection Sheet'!N104</f>
        <v>22.41</v>
      </c>
      <c r="G208" s="38"/>
      <c r="H208" s="38">
        <f t="shared" si="39"/>
        <v>70.03125</v>
      </c>
      <c r="I208" s="38"/>
      <c r="J208">
        <v>75</v>
      </c>
    </row>
    <row r="209" spans="1:10" x14ac:dyDescent="0.25">
      <c r="B209">
        <v>32</v>
      </c>
      <c r="C209" s="53" t="s">
        <v>148</v>
      </c>
      <c r="D209" s="8">
        <f>'Data Collection Sheet'!O104</f>
        <v>22.66</v>
      </c>
      <c r="G209" s="38"/>
      <c r="H209" s="38">
        <f t="shared" si="39"/>
        <v>70.8125</v>
      </c>
      <c r="I209" s="38"/>
      <c r="J209">
        <v>75</v>
      </c>
    </row>
    <row r="210" spans="1:10" x14ac:dyDescent="0.25">
      <c r="B210">
        <v>32</v>
      </c>
      <c r="C210" s="53" t="s">
        <v>149</v>
      </c>
      <c r="D210" s="8">
        <f>'Data Collection Sheet'!P104</f>
        <v>22.78</v>
      </c>
      <c r="G210" s="38"/>
      <c r="H210" s="38">
        <f t="shared" si="39"/>
        <v>71.1875</v>
      </c>
      <c r="I210" s="38"/>
      <c r="J210">
        <v>75</v>
      </c>
    </row>
    <row r="211" spans="1:10" x14ac:dyDescent="0.25">
      <c r="B211">
        <v>32</v>
      </c>
      <c r="C211" s="53" t="s">
        <v>150</v>
      </c>
      <c r="D211">
        <v>23.09</v>
      </c>
      <c r="G211" s="38"/>
      <c r="H211" s="38">
        <f t="shared" ref="H211:H217" si="40">(D211/B211)*100</f>
        <v>72.15625</v>
      </c>
      <c r="I211" s="38"/>
      <c r="J211">
        <v>75</v>
      </c>
    </row>
    <row r="212" spans="1:10" x14ac:dyDescent="0.25">
      <c r="B212">
        <v>32</v>
      </c>
      <c r="C212" s="53" t="s">
        <v>151</v>
      </c>
      <c r="D212">
        <v>23.36</v>
      </c>
      <c r="G212" s="38"/>
      <c r="H212" s="38">
        <f t="shared" si="40"/>
        <v>73</v>
      </c>
      <c r="I212" s="38"/>
      <c r="J212">
        <v>75</v>
      </c>
    </row>
    <row r="213" spans="1:10" x14ac:dyDescent="0.25">
      <c r="B213">
        <v>32</v>
      </c>
      <c r="C213" s="53" t="s">
        <v>152</v>
      </c>
      <c r="D213">
        <v>23.89</v>
      </c>
      <c r="G213" s="38"/>
      <c r="H213" s="38">
        <f t="shared" si="40"/>
        <v>74.65625</v>
      </c>
      <c r="I213" s="38"/>
      <c r="J213">
        <v>75</v>
      </c>
    </row>
    <row r="214" spans="1:10" x14ac:dyDescent="0.25">
      <c r="A214" s="67" t="s">
        <v>348</v>
      </c>
      <c r="B214">
        <f t="shared" ref="B214:B237" si="41">32+11</f>
        <v>43</v>
      </c>
      <c r="C214" s="53" t="s">
        <v>153</v>
      </c>
      <c r="D214">
        <v>24.29</v>
      </c>
      <c r="G214" s="38"/>
      <c r="H214" s="38">
        <f t="shared" si="40"/>
        <v>56.488372093023251</v>
      </c>
      <c r="I214" s="38"/>
      <c r="J214">
        <v>75</v>
      </c>
    </row>
    <row r="215" spans="1:10" x14ac:dyDescent="0.25">
      <c r="B215">
        <f t="shared" si="41"/>
        <v>43</v>
      </c>
      <c r="C215" s="53" t="s">
        <v>154</v>
      </c>
      <c r="D215">
        <v>24.45</v>
      </c>
      <c r="G215" s="38"/>
      <c r="H215" s="38">
        <f t="shared" si="40"/>
        <v>56.860465116279066</v>
      </c>
      <c r="I215" s="69"/>
      <c r="J215">
        <v>75</v>
      </c>
    </row>
    <row r="216" spans="1:10" x14ac:dyDescent="0.25">
      <c r="B216">
        <f t="shared" si="41"/>
        <v>43</v>
      </c>
      <c r="C216" s="53" t="s">
        <v>155</v>
      </c>
      <c r="D216">
        <v>24.68</v>
      </c>
      <c r="G216" s="38"/>
      <c r="H216" s="38">
        <f t="shared" si="40"/>
        <v>57.395348837209305</v>
      </c>
      <c r="I216" s="69"/>
      <c r="J216">
        <v>75</v>
      </c>
    </row>
    <row r="217" spans="1:10" x14ac:dyDescent="0.25">
      <c r="B217">
        <f t="shared" si="41"/>
        <v>43</v>
      </c>
      <c r="C217" s="53" t="s">
        <v>156</v>
      </c>
      <c r="D217">
        <v>24.98</v>
      </c>
      <c r="G217" s="38"/>
      <c r="H217" s="38">
        <f t="shared" si="40"/>
        <v>58.093023255813961</v>
      </c>
      <c r="I217" s="69"/>
      <c r="J217">
        <v>75</v>
      </c>
    </row>
    <row r="218" spans="1:10" x14ac:dyDescent="0.25">
      <c r="B218">
        <f t="shared" si="41"/>
        <v>43</v>
      </c>
      <c r="C218" s="53" t="s">
        <v>157</v>
      </c>
      <c r="D218" s="8">
        <f>'Data Collection Sheet'!X104</f>
        <v>25.35</v>
      </c>
      <c r="G218" s="38"/>
      <c r="H218" s="38">
        <f t="shared" ref="H218:H223" si="42">(D218/B218)*100</f>
        <v>58.95348837209302</v>
      </c>
      <c r="I218" s="69"/>
      <c r="J218">
        <v>75</v>
      </c>
    </row>
    <row r="219" spans="1:10" x14ac:dyDescent="0.25">
      <c r="B219">
        <f t="shared" si="41"/>
        <v>43</v>
      </c>
      <c r="C219" s="53" t="s">
        <v>158</v>
      </c>
      <c r="D219">
        <v>25.52</v>
      </c>
      <c r="G219" s="38"/>
      <c r="H219" s="38">
        <f t="shared" si="42"/>
        <v>59.348837209302332</v>
      </c>
      <c r="I219" s="69"/>
      <c r="J219">
        <v>75</v>
      </c>
    </row>
    <row r="220" spans="1:10" x14ac:dyDescent="0.25">
      <c r="B220">
        <f t="shared" si="41"/>
        <v>43</v>
      </c>
      <c r="C220" s="53" t="s">
        <v>159</v>
      </c>
      <c r="D220">
        <v>25.75</v>
      </c>
      <c r="G220" s="38"/>
      <c r="H220" s="38">
        <f t="shared" si="42"/>
        <v>59.883720930232556</v>
      </c>
      <c r="I220" s="69"/>
      <c r="J220">
        <v>75</v>
      </c>
    </row>
    <row r="221" spans="1:10" x14ac:dyDescent="0.25">
      <c r="B221">
        <f t="shared" si="41"/>
        <v>43</v>
      </c>
      <c r="C221" s="53" t="s">
        <v>160</v>
      </c>
      <c r="D221" s="8">
        <f>'Data Collection Sheet'!AA104</f>
        <v>26.01</v>
      </c>
      <c r="G221" s="38"/>
      <c r="H221" s="38">
        <f t="shared" si="42"/>
        <v>60.488372093023258</v>
      </c>
      <c r="I221" s="69"/>
      <c r="J221">
        <v>75</v>
      </c>
    </row>
    <row r="222" spans="1:10" x14ac:dyDescent="0.25">
      <c r="B222">
        <f t="shared" si="41"/>
        <v>43</v>
      </c>
      <c r="C222" s="53" t="s">
        <v>161</v>
      </c>
      <c r="D222" s="8">
        <f>'Data Collection Sheet'!AB104</f>
        <v>26.47</v>
      </c>
      <c r="G222" s="38"/>
      <c r="H222" s="38">
        <f t="shared" si="42"/>
        <v>61.558139534883715</v>
      </c>
      <c r="I222" s="38"/>
      <c r="J222">
        <v>75</v>
      </c>
    </row>
    <row r="223" spans="1:10" x14ac:dyDescent="0.25">
      <c r="B223">
        <f t="shared" si="41"/>
        <v>43</v>
      </c>
      <c r="C223" s="53" t="s">
        <v>162</v>
      </c>
      <c r="D223" s="8">
        <f>'Data Collection Sheet'!AC104</f>
        <v>26.68</v>
      </c>
      <c r="G223" s="38"/>
      <c r="H223" s="38">
        <f t="shared" si="42"/>
        <v>62.046511627906973</v>
      </c>
      <c r="I223" s="38"/>
      <c r="J223">
        <v>75</v>
      </c>
    </row>
    <row r="224" spans="1:10" x14ac:dyDescent="0.25">
      <c r="B224">
        <f t="shared" si="41"/>
        <v>43</v>
      </c>
      <c r="C224" s="53" t="s">
        <v>163</v>
      </c>
      <c r="D224" s="8">
        <f>'Data Collection Sheet'!AD104</f>
        <v>26.93</v>
      </c>
      <c r="G224" s="38"/>
      <c r="H224" s="38">
        <f t="shared" ref="H224:H229" si="43">(D224/B224)*100</f>
        <v>62.627906976744185</v>
      </c>
      <c r="I224" s="38"/>
      <c r="J224">
        <v>75</v>
      </c>
    </row>
    <row r="225" spans="1:10" x14ac:dyDescent="0.25">
      <c r="B225">
        <f t="shared" si="41"/>
        <v>43</v>
      </c>
      <c r="C225" s="53" t="s">
        <v>164</v>
      </c>
      <c r="D225" s="8">
        <f>'Data Collection Sheet'!AE104</f>
        <v>27.12</v>
      </c>
      <c r="G225" s="38"/>
      <c r="H225" s="38">
        <f t="shared" si="43"/>
        <v>63.069767441860471</v>
      </c>
      <c r="I225" s="38"/>
      <c r="J225">
        <v>75</v>
      </c>
    </row>
    <row r="226" spans="1:10" x14ac:dyDescent="0.25">
      <c r="B226">
        <f t="shared" si="41"/>
        <v>43</v>
      </c>
      <c r="C226" s="53" t="s">
        <v>165</v>
      </c>
      <c r="D226" s="8">
        <f>'Data Collection Sheet'!AF104</f>
        <v>27.37</v>
      </c>
      <c r="G226" s="38"/>
      <c r="H226" s="38">
        <f t="shared" si="43"/>
        <v>63.651162790697683</v>
      </c>
      <c r="I226" s="38"/>
      <c r="J226">
        <v>75</v>
      </c>
    </row>
    <row r="227" spans="1:10" x14ac:dyDescent="0.25">
      <c r="B227">
        <f t="shared" si="41"/>
        <v>43</v>
      </c>
      <c r="C227" s="53" t="s">
        <v>166</v>
      </c>
      <c r="D227" s="8">
        <f>'Data Collection Sheet'!AG104</f>
        <v>27.6</v>
      </c>
      <c r="G227" s="38"/>
      <c r="H227" s="38">
        <f t="shared" si="43"/>
        <v>64.186046511627922</v>
      </c>
      <c r="I227" s="38"/>
      <c r="J227">
        <v>75</v>
      </c>
    </row>
    <row r="228" spans="1:10" x14ac:dyDescent="0.25">
      <c r="B228">
        <f t="shared" si="41"/>
        <v>43</v>
      </c>
      <c r="C228" s="53" t="s">
        <v>167</v>
      </c>
      <c r="D228" s="8">
        <f>'Data Collection Sheet'!AH104</f>
        <v>27.93</v>
      </c>
      <c r="G228" s="38"/>
      <c r="H228" s="38">
        <f t="shared" si="43"/>
        <v>64.953488372093034</v>
      </c>
      <c r="I228" s="38"/>
      <c r="J228">
        <v>75</v>
      </c>
    </row>
    <row r="229" spans="1:10" x14ac:dyDescent="0.25">
      <c r="B229">
        <f t="shared" si="41"/>
        <v>43</v>
      </c>
      <c r="C229" s="53" t="s">
        <v>168</v>
      </c>
      <c r="D229" s="8">
        <f>'Data Collection Sheet'!AI104</f>
        <v>28.2</v>
      </c>
      <c r="G229" s="38"/>
      <c r="H229" s="38">
        <f t="shared" si="43"/>
        <v>65.581395348837219</v>
      </c>
      <c r="I229" s="38"/>
      <c r="J229">
        <v>75</v>
      </c>
    </row>
    <row r="230" spans="1:10" x14ac:dyDescent="0.25">
      <c r="B230">
        <f t="shared" si="41"/>
        <v>43</v>
      </c>
      <c r="C230" s="53" t="s">
        <v>169</v>
      </c>
      <c r="D230" s="8">
        <f>'Data Collection Sheet'!AJ104</f>
        <v>29</v>
      </c>
      <c r="G230" s="38"/>
      <c r="H230" s="38">
        <f t="shared" ref="H230" si="44">(D230/B230)*100</f>
        <v>67.441860465116278</v>
      </c>
      <c r="I230" s="38"/>
      <c r="J230">
        <v>75</v>
      </c>
    </row>
    <row r="231" spans="1:10" x14ac:dyDescent="0.25">
      <c r="B231">
        <f t="shared" si="41"/>
        <v>43</v>
      </c>
      <c r="C231" s="53" t="s">
        <v>170</v>
      </c>
      <c r="D231" s="8">
        <f>'Data Collection Sheet'!AK104</f>
        <v>29.23</v>
      </c>
      <c r="G231" s="38"/>
      <c r="H231" s="38">
        <f t="shared" ref="H231" si="45">(D231/B231)*100</f>
        <v>67.976744186046517</v>
      </c>
      <c r="I231" s="38"/>
      <c r="J231">
        <v>75</v>
      </c>
    </row>
    <row r="232" spans="1:10" x14ac:dyDescent="0.25">
      <c r="B232">
        <f t="shared" si="41"/>
        <v>43</v>
      </c>
      <c r="C232" s="53" t="s">
        <v>171</v>
      </c>
      <c r="D232" s="8">
        <f>'Data Collection Sheet'!AL104</f>
        <v>29.45</v>
      </c>
      <c r="G232" s="38"/>
      <c r="H232" s="38">
        <f t="shared" ref="H232:H237" si="46">(D232/B232)*100</f>
        <v>68.488372093023258</v>
      </c>
      <c r="I232" s="38"/>
      <c r="J232">
        <v>75</v>
      </c>
    </row>
    <row r="233" spans="1:10" x14ac:dyDescent="0.25">
      <c r="B233">
        <f t="shared" si="41"/>
        <v>43</v>
      </c>
      <c r="C233" s="53" t="s">
        <v>172</v>
      </c>
      <c r="D233" s="8">
        <f>'Data Collection Sheet'!AM104</f>
        <v>29.7</v>
      </c>
      <c r="G233" s="38"/>
      <c r="H233" s="38">
        <f t="shared" si="46"/>
        <v>69.069767441860463</v>
      </c>
      <c r="I233" s="38"/>
      <c r="J233">
        <v>75</v>
      </c>
    </row>
    <row r="234" spans="1:10" x14ac:dyDescent="0.25">
      <c r="B234">
        <f t="shared" si="41"/>
        <v>43</v>
      </c>
      <c r="C234" s="53" t="s">
        <v>173</v>
      </c>
      <c r="D234" s="8">
        <f>'Data Collection Sheet'!AN104</f>
        <v>29.97</v>
      </c>
      <c r="G234" s="38"/>
      <c r="H234" s="38">
        <f t="shared" si="46"/>
        <v>69.697674418604649</v>
      </c>
      <c r="I234" s="38"/>
      <c r="J234">
        <v>75</v>
      </c>
    </row>
    <row r="235" spans="1:10" x14ac:dyDescent="0.25">
      <c r="B235">
        <f t="shared" si="41"/>
        <v>43</v>
      </c>
      <c r="C235" s="53" t="s">
        <v>174</v>
      </c>
      <c r="D235" s="8">
        <f>'Data Collection Sheet'!AO104</f>
        <v>30.07</v>
      </c>
      <c r="G235" s="38"/>
      <c r="H235" s="38">
        <f t="shared" si="46"/>
        <v>69.930232558139537</v>
      </c>
      <c r="I235" s="38"/>
      <c r="J235">
        <v>75</v>
      </c>
    </row>
    <row r="236" spans="1:10" x14ac:dyDescent="0.25">
      <c r="B236">
        <f t="shared" si="41"/>
        <v>43</v>
      </c>
      <c r="C236" s="53" t="s">
        <v>175</v>
      </c>
      <c r="D236" s="8">
        <f>'Data Collection Sheet'!AP104</f>
        <v>31.25</v>
      </c>
      <c r="G236" s="38"/>
      <c r="H236" s="38">
        <f t="shared" si="46"/>
        <v>72.674418604651152</v>
      </c>
      <c r="I236" s="38"/>
      <c r="J236">
        <v>75</v>
      </c>
    </row>
    <row r="237" spans="1:10" x14ac:dyDescent="0.25">
      <c r="B237">
        <f t="shared" si="41"/>
        <v>43</v>
      </c>
      <c r="C237" s="53" t="s">
        <v>176</v>
      </c>
      <c r="D237" s="8">
        <f>'Data Collection Sheet'!AQ104</f>
        <v>31.53</v>
      </c>
      <c r="G237" s="38"/>
      <c r="H237" s="38">
        <f t="shared" si="46"/>
        <v>73.325581395348834</v>
      </c>
      <c r="I237" s="38"/>
      <c r="J237">
        <v>75</v>
      </c>
    </row>
    <row r="238" spans="1:10" x14ac:dyDescent="0.25">
      <c r="B238">
        <v>43</v>
      </c>
      <c r="C238" s="53" t="s">
        <v>177</v>
      </c>
      <c r="D238" s="8">
        <f>'Data Collection Sheet'!AR104</f>
        <v>31.76</v>
      </c>
      <c r="G238" s="38"/>
      <c r="H238" s="38">
        <f>(D238/B238)*100</f>
        <v>73.860465116279073</v>
      </c>
      <c r="I238" s="38"/>
      <c r="J238">
        <v>75</v>
      </c>
    </row>
    <row r="239" spans="1:10" x14ac:dyDescent="0.25">
      <c r="A239" s="67" t="s">
        <v>353</v>
      </c>
      <c r="B239">
        <v>43</v>
      </c>
      <c r="C239" s="53" t="s">
        <v>178</v>
      </c>
      <c r="D239" s="8">
        <f>'Data Collection Sheet'!AS104</f>
        <v>32.65</v>
      </c>
      <c r="G239" s="38"/>
      <c r="H239" s="38">
        <f>(D239/B239)*100</f>
        <v>75.930232558139537</v>
      </c>
      <c r="I239" s="38"/>
      <c r="J239">
        <v>75</v>
      </c>
    </row>
    <row r="240" spans="1:10" x14ac:dyDescent="0.25">
      <c r="B240">
        <v>43</v>
      </c>
      <c r="C240" s="53" t="s">
        <v>179</v>
      </c>
      <c r="D240" s="8">
        <f>'Data Collection Sheet'!AT104</f>
        <v>32.950000000000003</v>
      </c>
      <c r="G240" s="38"/>
      <c r="H240" s="38">
        <f>(D240/B240)*100</f>
        <v>76.6279069767442</v>
      </c>
      <c r="I240" s="38"/>
      <c r="J240">
        <v>75</v>
      </c>
    </row>
    <row r="241" spans="1:10" x14ac:dyDescent="0.25">
      <c r="B241">
        <v>43</v>
      </c>
      <c r="C241" s="53" t="s">
        <v>180</v>
      </c>
      <c r="D241" s="8">
        <f>'Data Collection Sheet'!AU104</f>
        <v>33.19</v>
      </c>
      <c r="G241" s="38"/>
      <c r="H241" s="38">
        <f>(D241/B241)*100</f>
        <v>77.186046511627907</v>
      </c>
      <c r="I241" s="38"/>
      <c r="J241">
        <v>75</v>
      </c>
    </row>
    <row r="242" spans="1:10" x14ac:dyDescent="0.25">
      <c r="B242">
        <v>43</v>
      </c>
      <c r="C242" s="92">
        <v>45748</v>
      </c>
      <c r="D242" s="8">
        <f>'Data Collection Sheet'!AV104</f>
        <v>33.840000000000003</v>
      </c>
      <c r="G242" s="38"/>
      <c r="H242" s="38">
        <f t="shared" ref="H242" si="47">(D242/B242)*100</f>
        <v>78.697674418604663</v>
      </c>
      <c r="I242" s="38"/>
      <c r="J242">
        <v>75</v>
      </c>
    </row>
    <row r="243" spans="1:10" x14ac:dyDescent="0.25">
      <c r="B243">
        <v>43</v>
      </c>
      <c r="C243" s="92">
        <v>45778</v>
      </c>
      <c r="D243" s="8">
        <f>'Data Collection Sheet'!AW104</f>
        <v>34.049999999999997</v>
      </c>
      <c r="G243" s="38"/>
      <c r="H243" s="38">
        <f t="shared" ref="H243" si="48">(D243/B243)*100</f>
        <v>79.186046511627907</v>
      </c>
      <c r="I243" s="38"/>
      <c r="J243">
        <v>75</v>
      </c>
    </row>
    <row r="244" spans="1:10" x14ac:dyDescent="0.25">
      <c r="B244">
        <v>43</v>
      </c>
      <c r="C244" s="92">
        <v>45809</v>
      </c>
      <c r="D244" s="8">
        <f>'Data Collection Sheet'!AX104</f>
        <v>34.31</v>
      </c>
      <c r="G244" s="38"/>
      <c r="H244" s="38">
        <f t="shared" ref="H244" si="49">(D244/B244)*100</f>
        <v>79.79069767441861</v>
      </c>
      <c r="I244" s="38"/>
      <c r="J244">
        <v>75</v>
      </c>
    </row>
    <row r="245" spans="1:10" x14ac:dyDescent="0.25">
      <c r="B245">
        <v>43</v>
      </c>
      <c r="C245" s="92">
        <v>45839</v>
      </c>
      <c r="D245" s="8">
        <f>'Data Collection Sheet'!AY104</f>
        <v>34.520000000000003</v>
      </c>
      <c r="G245" s="38"/>
      <c r="H245" s="38">
        <f t="shared" ref="H245" si="50">(D245/B245)*100</f>
        <v>80.279069767441868</v>
      </c>
      <c r="I245" s="38"/>
      <c r="J245">
        <v>75</v>
      </c>
    </row>
    <row r="246" spans="1:10" x14ac:dyDescent="0.25">
      <c r="B246">
        <v>43</v>
      </c>
      <c r="C246" s="92">
        <v>45870</v>
      </c>
      <c r="D246" s="8">
        <f>'Data Collection Sheet'!AZ104</f>
        <v>35.08</v>
      </c>
      <c r="G246" s="38"/>
      <c r="H246" s="38">
        <f t="shared" ref="H246" si="51">(D246/B246)*100</f>
        <v>81.581395348837205</v>
      </c>
      <c r="I246" s="38"/>
      <c r="J246">
        <v>75</v>
      </c>
    </row>
    <row r="247" spans="1:10" x14ac:dyDescent="0.25">
      <c r="B247">
        <v>43</v>
      </c>
      <c r="C247" s="92">
        <v>45901</v>
      </c>
      <c r="D247" s="8">
        <f>'Data Collection Sheet'!BA104</f>
        <v>35.32</v>
      </c>
      <c r="G247" s="38"/>
      <c r="H247" s="38">
        <f t="shared" ref="H247" si="52">(D247/B247)*100</f>
        <v>82.139534883720927</v>
      </c>
      <c r="I247" s="38"/>
      <c r="J247">
        <v>75</v>
      </c>
    </row>
    <row r="248" spans="1:10" x14ac:dyDescent="0.25">
      <c r="B248">
        <v>43</v>
      </c>
      <c r="C248" s="92">
        <v>45931</v>
      </c>
      <c r="D248" s="8">
        <f>'Data Collection Sheet'!BB104</f>
        <v>35.549999999999997</v>
      </c>
      <c r="G248" s="38"/>
      <c r="H248" s="38">
        <f t="shared" ref="H248" si="53">(D248/B248)*100</f>
        <v>82.674418604651152</v>
      </c>
      <c r="I248" s="38"/>
      <c r="J248">
        <v>75</v>
      </c>
    </row>
    <row r="249" spans="1:10" x14ac:dyDescent="0.25">
      <c r="A249" t="s">
        <v>366</v>
      </c>
      <c r="B249">
        <v>59</v>
      </c>
      <c r="C249" s="92">
        <v>45962</v>
      </c>
      <c r="D249" s="8">
        <f>'Data Collection Sheet'!BC104</f>
        <v>35.92</v>
      </c>
      <c r="G249" s="38"/>
      <c r="H249" s="38">
        <f t="shared" ref="H249" si="54">(D249/B249)*100</f>
        <v>60.881355932203398</v>
      </c>
      <c r="I249" s="38"/>
      <c r="J249">
        <v>75</v>
      </c>
    </row>
    <row r="250" spans="1:10" x14ac:dyDescent="0.25">
      <c r="B250">
        <v>59</v>
      </c>
      <c r="C250" s="92">
        <v>45992</v>
      </c>
      <c r="D250" s="8">
        <f>'Data Collection Sheet'!BD104</f>
        <v>36.36</v>
      </c>
      <c r="G250" s="38"/>
      <c r="H250" s="38">
        <f t="shared" ref="H250:H255" si="55">(D250/B250)*100</f>
        <v>61.627118644067792</v>
      </c>
      <c r="I250" s="38"/>
      <c r="J250">
        <v>75</v>
      </c>
    </row>
    <row r="251" spans="1:10" x14ac:dyDescent="0.25">
      <c r="B251">
        <v>59</v>
      </c>
      <c r="C251" s="92">
        <v>46023</v>
      </c>
      <c r="D251" s="8">
        <f>'Data Collection Sheet'!BE104</f>
        <v>33.28</v>
      </c>
      <c r="G251" s="38"/>
      <c r="H251" s="38">
        <f t="shared" si="55"/>
        <v>56.406779661016948</v>
      </c>
      <c r="I251" s="38"/>
      <c r="J251">
        <v>75</v>
      </c>
    </row>
    <row r="252" spans="1:10" x14ac:dyDescent="0.25">
      <c r="B252">
        <v>59</v>
      </c>
      <c r="C252" s="92">
        <v>46054</v>
      </c>
      <c r="D252" s="8">
        <f>'Data Collection Sheet'!BF104</f>
        <v>36.97</v>
      </c>
      <c r="G252" s="38"/>
      <c r="H252" s="38">
        <f t="shared" si="55"/>
        <v>62.66101694915254</v>
      </c>
      <c r="I252" s="38"/>
      <c r="J252">
        <v>75</v>
      </c>
    </row>
    <row r="253" spans="1:10" x14ac:dyDescent="0.25">
      <c r="B253">
        <v>59</v>
      </c>
      <c r="C253" s="92">
        <v>46082</v>
      </c>
      <c r="D253" s="8">
        <f>'Data Collection Sheet'!BG104</f>
        <v>37.28</v>
      </c>
      <c r="G253" s="38"/>
      <c r="H253" s="38">
        <f t="shared" si="55"/>
        <v>63.186440677966104</v>
      </c>
      <c r="I253" s="38"/>
      <c r="J253">
        <v>75</v>
      </c>
    </row>
    <row r="254" spans="1:10" x14ac:dyDescent="0.25">
      <c r="B254">
        <v>59</v>
      </c>
      <c r="C254" s="92">
        <v>46113</v>
      </c>
      <c r="D254" s="8">
        <f>'Data Collection Sheet'!BH104</f>
        <v>37.659999999999997</v>
      </c>
      <c r="G254" s="38"/>
      <c r="H254" s="38">
        <f t="shared" si="55"/>
        <v>63.830508474576263</v>
      </c>
      <c r="I254" s="38"/>
      <c r="J254">
        <v>75</v>
      </c>
    </row>
    <row r="255" spans="1:10" x14ac:dyDescent="0.25">
      <c r="B255">
        <v>59</v>
      </c>
      <c r="C255" s="92">
        <v>46143</v>
      </c>
      <c r="D255" s="8">
        <f>'Data Collection Sheet'!BI104</f>
        <v>38.01</v>
      </c>
      <c r="G255" s="38"/>
      <c r="H255" s="38">
        <f t="shared" si="55"/>
        <v>64.423728813559322</v>
      </c>
      <c r="I255" s="38"/>
      <c r="J255">
        <v>75</v>
      </c>
    </row>
    <row r="256" spans="1:10" x14ac:dyDescent="0.25">
      <c r="B256">
        <v>59</v>
      </c>
      <c r="C256" s="92">
        <v>46174</v>
      </c>
      <c r="D256" s="8">
        <f>'Data Collection Sheet'!BJ104</f>
        <v>38.26</v>
      </c>
      <c r="G256" s="38"/>
      <c r="H256" s="38">
        <f>(D256/B256)*100</f>
        <v>64.847457627118644</v>
      </c>
      <c r="I256" s="38"/>
      <c r="J256">
        <v>75</v>
      </c>
    </row>
    <row r="257" spans="2:10" x14ac:dyDescent="0.25">
      <c r="B257">
        <v>59</v>
      </c>
      <c r="C257" s="92">
        <v>46204</v>
      </c>
      <c r="D257" s="8">
        <f>'Data Collection Sheet'!BK104</f>
        <v>38.619999999999997</v>
      </c>
      <c r="G257" s="38"/>
      <c r="H257" s="38">
        <f>(D257/B257)*100</f>
        <v>65.457627118644069</v>
      </c>
      <c r="I257" s="38"/>
      <c r="J257">
        <v>75</v>
      </c>
    </row>
    <row r="258" spans="2:10" x14ac:dyDescent="0.25">
      <c r="B258">
        <v>59</v>
      </c>
      <c r="C258" s="92">
        <v>46235</v>
      </c>
      <c r="D258" s="8">
        <f>'Data Collection Sheet'!BL104</f>
        <v>38.9</v>
      </c>
      <c r="G258" s="38">
        <f>D258</f>
        <v>38.9</v>
      </c>
      <c r="H258" s="38">
        <f>(D258/B258)*100</f>
        <v>65.932203389830505</v>
      </c>
      <c r="I258" s="68">
        <f t="shared" ref="I258" si="56">(G258/B258)*100</f>
        <v>65.932203389830505</v>
      </c>
      <c r="J258">
        <v>75</v>
      </c>
    </row>
    <row r="259" spans="2:10" x14ac:dyDescent="0.25">
      <c r="B259">
        <v>59</v>
      </c>
      <c r="C259" s="92">
        <v>46266</v>
      </c>
      <c r="G259" s="38">
        <f t="shared" ref="G259:G286" si="57">G258*(1+(1.15^(1/12)-1))</f>
        <v>39.355710268182293</v>
      </c>
      <c r="I259" s="68">
        <f t="shared" ref="I259:I286" si="58">(G259/B259)*100</f>
        <v>66.704593674885231</v>
      </c>
      <c r="J259">
        <v>75</v>
      </c>
    </row>
    <row r="260" spans="2:10" x14ac:dyDescent="0.25">
      <c r="B260">
        <v>59</v>
      </c>
      <c r="C260" s="92">
        <v>46296</v>
      </c>
      <c r="G260" s="38">
        <f t="shared" si="57"/>
        <v>39.816759144295865</v>
      </c>
      <c r="I260" s="68">
        <f t="shared" si="58"/>
        <v>67.486032447959104</v>
      </c>
      <c r="J260">
        <v>75</v>
      </c>
    </row>
    <row r="261" spans="2:10" x14ac:dyDescent="0.25">
      <c r="B261">
        <v>59</v>
      </c>
      <c r="C261" s="92">
        <v>46327</v>
      </c>
      <c r="G261" s="38">
        <f t="shared" si="57"/>
        <v>40.283209169689101</v>
      </c>
      <c r="I261" s="68">
        <f t="shared" si="58"/>
        <v>68.276625711337459</v>
      </c>
      <c r="J261">
        <v>75</v>
      </c>
    </row>
    <row r="262" spans="2:10" x14ac:dyDescent="0.25">
      <c r="B262">
        <v>59</v>
      </c>
      <c r="C262" s="92">
        <v>46357</v>
      </c>
      <c r="G262" s="38">
        <f t="shared" si="57"/>
        <v>40.755123618377084</v>
      </c>
      <c r="I262" s="68">
        <f t="shared" si="58"/>
        <v>69.076480709113696</v>
      </c>
      <c r="J262">
        <v>75</v>
      </c>
    </row>
    <row r="263" spans="2:10" x14ac:dyDescent="0.25">
      <c r="B263">
        <v>59</v>
      </c>
      <c r="C263" s="92">
        <v>46388</v>
      </c>
      <c r="G263" s="38">
        <f t="shared" si="57"/>
        <v>41.232566505624725</v>
      </c>
      <c r="I263" s="68">
        <f t="shared" si="58"/>
        <v>69.885705941736816</v>
      </c>
      <c r="J263">
        <v>75</v>
      </c>
    </row>
    <row r="264" spans="2:10" x14ac:dyDescent="0.25">
      <c r="B264">
        <v>59</v>
      </c>
      <c r="C264" s="92">
        <v>46419</v>
      </c>
      <c r="G264" s="38">
        <f t="shared" si="57"/>
        <v>41.715602596630447</v>
      </c>
      <c r="I264" s="68">
        <f t="shared" si="58"/>
        <v>70.704411180729579</v>
      </c>
      <c r="J264">
        <v>75</v>
      </c>
    </row>
    <row r="265" spans="2:10" x14ac:dyDescent="0.25">
      <c r="B265">
        <v>59</v>
      </c>
      <c r="C265" s="92">
        <v>46447</v>
      </c>
      <c r="G265" s="38">
        <f t="shared" si="57"/>
        <v>42.204297415311594</v>
      </c>
      <c r="I265" s="68">
        <f t="shared" si="58"/>
        <v>71.532707483578974</v>
      </c>
      <c r="J265">
        <v>75</v>
      </c>
    </row>
    <row r="266" spans="2:10" x14ac:dyDescent="0.25">
      <c r="B266">
        <v>59</v>
      </c>
      <c r="C266" s="92">
        <v>46478</v>
      </c>
      <c r="G266" s="38">
        <f t="shared" si="57"/>
        <v>42.698717253192754</v>
      </c>
      <c r="I266" s="68">
        <f t="shared" si="58"/>
        <v>72.370707208801278</v>
      </c>
      <c r="J266">
        <v>75</v>
      </c>
    </row>
    <row r="267" spans="2:10" x14ac:dyDescent="0.25">
      <c r="B267">
        <v>59</v>
      </c>
      <c r="C267" s="92">
        <v>46508</v>
      </c>
      <c r="G267" s="38">
        <f t="shared" si="57"/>
        <v>43.198929178398217</v>
      </c>
      <c r="I267" s="68">
        <f t="shared" si="58"/>
        <v>73.218524031183421</v>
      </c>
      <c r="J267">
        <v>75</v>
      </c>
    </row>
    <row r="268" spans="2:10" x14ac:dyDescent="0.25">
      <c r="B268">
        <v>59</v>
      </c>
      <c r="C268" s="92">
        <v>46539</v>
      </c>
      <c r="G268" s="38">
        <f t="shared" si="57"/>
        <v>43.705001044749785</v>
      </c>
      <c r="I268" s="68">
        <f t="shared" si="58"/>
        <v>74.076272957203031</v>
      </c>
      <c r="J268">
        <v>75</v>
      </c>
    </row>
    <row r="269" spans="2:10" x14ac:dyDescent="0.25">
      <c r="B269">
        <v>59</v>
      </c>
      <c r="C269" s="92">
        <v>46569</v>
      </c>
      <c r="G269" s="38">
        <f t="shared" si="57"/>
        <v>44.217001500971136</v>
      </c>
      <c r="I269" s="68">
        <f t="shared" si="58"/>
        <v>74.94407034062904</v>
      </c>
      <c r="J269">
        <v>75</v>
      </c>
    </row>
    <row r="270" spans="2:10" x14ac:dyDescent="0.25">
      <c r="B270">
        <v>59</v>
      </c>
      <c r="C270" s="92">
        <v>46600</v>
      </c>
      <c r="G270" s="38">
        <f t="shared" si="57"/>
        <v>44.735000000000042</v>
      </c>
      <c r="I270" s="68">
        <f t="shared" si="58"/>
        <v>75.822033898305151</v>
      </c>
      <c r="J270">
        <v>75</v>
      </c>
    </row>
    <row r="271" spans="2:10" x14ac:dyDescent="0.25">
      <c r="B271">
        <v>59</v>
      </c>
      <c r="C271" s="92">
        <v>46631</v>
      </c>
      <c r="G271" s="38">
        <f t="shared" si="57"/>
        <v>45.259066808409685</v>
      </c>
      <c r="I271" s="68">
        <f t="shared" si="58"/>
        <v>76.710282726118109</v>
      </c>
      <c r="J271">
        <v>75</v>
      </c>
    </row>
    <row r="272" spans="2:10" x14ac:dyDescent="0.25">
      <c r="B272">
        <v>59</v>
      </c>
      <c r="C272" s="92">
        <v>46661</v>
      </c>
      <c r="G272" s="38">
        <f t="shared" si="57"/>
        <v>45.789273015940296</v>
      </c>
      <c r="I272" s="68">
        <f t="shared" si="58"/>
        <v>77.608937315153042</v>
      </c>
      <c r="J272">
        <v>75</v>
      </c>
    </row>
    <row r="273" spans="2:10" x14ac:dyDescent="0.25">
      <c r="B273">
        <v>59</v>
      </c>
      <c r="C273" s="92">
        <v>46692</v>
      </c>
      <c r="G273" s="38">
        <f t="shared" si="57"/>
        <v>46.325690545142521</v>
      </c>
      <c r="I273" s="68">
        <f t="shared" si="58"/>
        <v>78.518119568038173</v>
      </c>
      <c r="J273">
        <v>75</v>
      </c>
    </row>
    <row r="274" spans="2:10" x14ac:dyDescent="0.25">
      <c r="B274">
        <v>59</v>
      </c>
      <c r="C274" s="92">
        <v>46722</v>
      </c>
      <c r="G274" s="38">
        <f t="shared" si="57"/>
        <v>46.868392161133706</v>
      </c>
      <c r="I274" s="68">
        <f t="shared" si="58"/>
        <v>79.437952815480855</v>
      </c>
      <c r="J274">
        <v>75</v>
      </c>
    </row>
    <row r="275" spans="2:10" x14ac:dyDescent="0.25">
      <c r="B275">
        <v>59</v>
      </c>
      <c r="C275" s="92">
        <v>46753</v>
      </c>
      <c r="G275" s="38">
        <f t="shared" si="57"/>
        <v>47.417451481468497</v>
      </c>
      <c r="I275" s="68">
        <f t="shared" si="58"/>
        <v>80.368561832997457</v>
      </c>
      <c r="J275">
        <v>75</v>
      </c>
    </row>
    <row r="276" spans="2:10" x14ac:dyDescent="0.25">
      <c r="B276">
        <v>59</v>
      </c>
      <c r="C276" s="92">
        <v>46784</v>
      </c>
      <c r="G276" s="38">
        <f t="shared" si="57"/>
        <v>47.972942986125076</v>
      </c>
      <c r="I276" s="68">
        <f t="shared" si="58"/>
        <v>81.310072857839117</v>
      </c>
      <c r="J276">
        <v>75</v>
      </c>
    </row>
    <row r="277" spans="2:10" x14ac:dyDescent="0.25">
      <c r="B277">
        <v>59</v>
      </c>
      <c r="C277" s="92">
        <v>46813</v>
      </c>
      <c r="G277" s="38">
        <f t="shared" si="57"/>
        <v>48.534942027608395</v>
      </c>
      <c r="I277" s="68">
        <f t="shared" si="58"/>
        <v>82.26261360611592</v>
      </c>
      <c r="J277">
        <v>75</v>
      </c>
    </row>
    <row r="278" spans="2:10" x14ac:dyDescent="0.25">
      <c r="B278">
        <v>59</v>
      </c>
      <c r="C278" s="92">
        <v>46844</v>
      </c>
      <c r="G278" s="38">
        <f t="shared" si="57"/>
        <v>49.103524841171726</v>
      </c>
      <c r="I278" s="68">
        <f t="shared" si="58"/>
        <v>83.226313290121567</v>
      </c>
      <c r="J278">
        <v>75</v>
      </c>
    </row>
    <row r="279" spans="2:10" x14ac:dyDescent="0.25">
      <c r="B279">
        <v>59</v>
      </c>
      <c r="C279" s="92">
        <v>46874</v>
      </c>
      <c r="G279" s="38">
        <f t="shared" si="57"/>
        <v>49.678768555158008</v>
      </c>
      <c r="I279" s="68">
        <f t="shared" si="58"/>
        <v>84.201302635861026</v>
      </c>
      <c r="J279">
        <v>75</v>
      </c>
    </row>
    <row r="280" spans="2:10" x14ac:dyDescent="0.25">
      <c r="B280">
        <v>59</v>
      </c>
      <c r="C280" s="92">
        <v>46905</v>
      </c>
      <c r="G280" s="38">
        <f t="shared" si="57"/>
        <v>50.260751201462305</v>
      </c>
      <c r="I280" s="68">
        <f t="shared" si="58"/>
        <v>85.187713900783564</v>
      </c>
      <c r="J280">
        <v>75</v>
      </c>
    </row>
    <row r="281" spans="2:10" x14ac:dyDescent="0.25">
      <c r="B281">
        <v>59</v>
      </c>
      <c r="C281" s="92">
        <v>46935</v>
      </c>
      <c r="G281" s="38">
        <f t="shared" si="57"/>
        <v>50.849551726116857</v>
      </c>
      <c r="I281" s="68">
        <f t="shared" si="58"/>
        <v>86.185680891723479</v>
      </c>
      <c r="J281">
        <v>75</v>
      </c>
    </row>
    <row r="282" spans="2:10" x14ac:dyDescent="0.25">
      <c r="B282">
        <v>59</v>
      </c>
      <c r="C282" s="92">
        <v>46966</v>
      </c>
      <c r="G282" s="38">
        <f t="shared" si="57"/>
        <v>51.445250000000101</v>
      </c>
      <c r="I282" s="68">
        <f t="shared" si="58"/>
        <v>87.195338983051016</v>
      </c>
      <c r="J282">
        <v>75</v>
      </c>
    </row>
    <row r="283" spans="2:10" x14ac:dyDescent="0.25">
      <c r="B283">
        <v>59</v>
      </c>
      <c r="C283" s="92">
        <v>46997</v>
      </c>
      <c r="G283" s="38">
        <f t="shared" si="57"/>
        <v>52.047926829671191</v>
      </c>
      <c r="I283" s="68">
        <f t="shared" si="58"/>
        <v>88.216825135035918</v>
      </c>
      <c r="J283">
        <v>75</v>
      </c>
    </row>
    <row r="284" spans="2:10" x14ac:dyDescent="0.25">
      <c r="B284">
        <v>59</v>
      </c>
      <c r="C284" s="92">
        <v>47027</v>
      </c>
      <c r="G284" s="38">
        <f t="shared" si="57"/>
        <v>52.657663968331399</v>
      </c>
      <c r="I284" s="68">
        <f t="shared" si="58"/>
        <v>89.2502779124261</v>
      </c>
      <c r="J284">
        <v>75</v>
      </c>
    </row>
    <row r="285" spans="2:10" x14ac:dyDescent="0.25">
      <c r="B285">
        <v>59</v>
      </c>
      <c r="C285" s="92">
        <v>47058</v>
      </c>
      <c r="G285" s="38">
        <f t="shared" si="57"/>
        <v>53.274544126913959</v>
      </c>
      <c r="I285" s="68">
        <f t="shared" si="58"/>
        <v>90.295837503244002</v>
      </c>
      <c r="J285">
        <v>75</v>
      </c>
    </row>
    <row r="286" spans="2:10" x14ac:dyDescent="0.25">
      <c r="B286">
        <v>59</v>
      </c>
      <c r="C286" s="92">
        <v>47088</v>
      </c>
      <c r="G286" s="38">
        <f t="shared" si="57"/>
        <v>53.898650985303817</v>
      </c>
      <c r="I286" s="68">
        <f t="shared" si="58"/>
        <v>91.353645737803078</v>
      </c>
      <c r="J286">
        <v>75</v>
      </c>
    </row>
    <row r="287" spans="2:10" x14ac:dyDescent="0.25">
      <c r="C287" s="92"/>
    </row>
    <row r="288" spans="2:10" x14ac:dyDescent="0.25">
      <c r="C288" s="92"/>
    </row>
    <row r="289" spans="1:10" x14ac:dyDescent="0.25">
      <c r="C289" s="92"/>
    </row>
    <row r="290" spans="1:10" x14ac:dyDescent="0.25">
      <c r="C290" s="92"/>
    </row>
    <row r="291" spans="1:10" x14ac:dyDescent="0.25">
      <c r="C291" s="92"/>
    </row>
    <row r="292" spans="1:10" x14ac:dyDescent="0.25">
      <c r="C292" s="92"/>
    </row>
    <row r="293" spans="1:10" x14ac:dyDescent="0.25">
      <c r="C293" s="92"/>
    </row>
    <row r="294" spans="1:10" x14ac:dyDescent="0.25">
      <c r="C294" s="92"/>
    </row>
    <row r="295" spans="1:10" x14ac:dyDescent="0.25">
      <c r="C295" s="92"/>
    </row>
    <row r="296" spans="1:10" x14ac:dyDescent="0.25">
      <c r="C296" s="92"/>
    </row>
    <row r="297" spans="1:10" x14ac:dyDescent="0.25">
      <c r="A297" s="93" t="s">
        <v>181</v>
      </c>
      <c r="B297" s="49" t="s">
        <v>119</v>
      </c>
      <c r="C297" s="49" t="s">
        <v>2</v>
      </c>
      <c r="D297" s="49" t="s">
        <v>120</v>
      </c>
      <c r="E297" s="94" t="s">
        <v>139</v>
      </c>
      <c r="F297" s="49"/>
      <c r="G297" s="49" t="s">
        <v>123</v>
      </c>
      <c r="H297" s="49" t="s">
        <v>124</v>
      </c>
      <c r="I297" s="49" t="s">
        <v>125</v>
      </c>
      <c r="J297" s="49" t="s">
        <v>126</v>
      </c>
    </row>
    <row r="298" spans="1:10" x14ac:dyDescent="0.25">
      <c r="B298">
        <v>97</v>
      </c>
      <c r="C298" s="53" t="s">
        <v>141</v>
      </c>
      <c r="D298" s="8">
        <v>59.43</v>
      </c>
      <c r="G298" s="38"/>
      <c r="H298" s="38">
        <f t="shared" ref="H298:H305" si="59">(D298/B298)*100</f>
        <v>61.268041237113401</v>
      </c>
      <c r="I298" s="38"/>
      <c r="J298">
        <v>75</v>
      </c>
    </row>
    <row r="299" spans="1:10" x14ac:dyDescent="0.25">
      <c r="B299">
        <v>97</v>
      </c>
      <c r="C299" s="53" t="s">
        <v>142</v>
      </c>
      <c r="D299" s="8">
        <v>59.75</v>
      </c>
      <c r="G299" s="38"/>
      <c r="H299" s="38">
        <f t="shared" si="59"/>
        <v>61.597938144329902</v>
      </c>
      <c r="I299" s="38"/>
      <c r="J299">
        <v>75</v>
      </c>
    </row>
    <row r="300" spans="1:10" x14ac:dyDescent="0.25">
      <c r="B300">
        <v>97</v>
      </c>
      <c r="C300" s="53" t="s">
        <v>143</v>
      </c>
      <c r="D300" s="8">
        <v>60.14</v>
      </c>
      <c r="G300" s="38"/>
      <c r="H300" s="38">
        <f t="shared" si="59"/>
        <v>62</v>
      </c>
      <c r="I300" s="38"/>
      <c r="J300">
        <v>75</v>
      </c>
    </row>
    <row r="301" spans="1:10" x14ac:dyDescent="0.25">
      <c r="B301">
        <v>97</v>
      </c>
      <c r="C301" s="53" t="s">
        <v>144</v>
      </c>
      <c r="D301" s="8">
        <v>61.11</v>
      </c>
      <c r="G301" s="38"/>
      <c r="H301" s="38">
        <f t="shared" si="59"/>
        <v>63</v>
      </c>
      <c r="I301" s="38"/>
      <c r="J301">
        <v>75</v>
      </c>
    </row>
    <row r="302" spans="1:10" x14ac:dyDescent="0.25">
      <c r="B302">
        <v>97</v>
      </c>
      <c r="C302" s="53" t="s">
        <v>146</v>
      </c>
      <c r="D302" s="8">
        <v>76.53</v>
      </c>
      <c r="G302" s="38"/>
      <c r="H302" s="38">
        <f t="shared" si="59"/>
        <v>78.896907216494853</v>
      </c>
      <c r="I302" s="38"/>
      <c r="J302">
        <v>75</v>
      </c>
    </row>
    <row r="303" spans="1:10" x14ac:dyDescent="0.25">
      <c r="B303">
        <v>97</v>
      </c>
      <c r="C303" s="53" t="s">
        <v>147</v>
      </c>
      <c r="D303" s="8">
        <v>61.31</v>
      </c>
      <c r="G303" s="38"/>
      <c r="H303" s="38">
        <f t="shared" si="59"/>
        <v>63.206185567010309</v>
      </c>
      <c r="I303" s="38"/>
      <c r="J303">
        <v>75</v>
      </c>
    </row>
    <row r="304" spans="1:10" x14ac:dyDescent="0.25">
      <c r="B304">
        <v>97</v>
      </c>
      <c r="C304" s="53" t="s">
        <v>148</v>
      </c>
      <c r="D304" s="8">
        <v>66.760000000000005</v>
      </c>
      <c r="G304" s="38"/>
      <c r="H304" s="38">
        <f t="shared" si="59"/>
        <v>68.824742268041234</v>
      </c>
      <c r="I304" s="38"/>
      <c r="J304">
        <v>75</v>
      </c>
    </row>
    <row r="305" spans="2:10" x14ac:dyDescent="0.25">
      <c r="B305">
        <v>97</v>
      </c>
      <c r="C305" s="53" t="s">
        <v>149</v>
      </c>
      <c r="D305" s="8">
        <v>63.62</v>
      </c>
      <c r="G305" s="8"/>
      <c r="H305" s="38">
        <f t="shared" si="59"/>
        <v>65.587628865979369</v>
      </c>
      <c r="I305" s="38"/>
      <c r="J305">
        <v>75</v>
      </c>
    </row>
    <row r="306" spans="2:10" x14ac:dyDescent="0.25">
      <c r="B306">
        <v>97</v>
      </c>
      <c r="C306" s="53" t="s">
        <v>150</v>
      </c>
      <c r="D306" s="8">
        <v>52.92</v>
      </c>
      <c r="G306" s="8"/>
      <c r="H306" s="38">
        <f t="shared" ref="H306:H312" si="60">(D306/B306)*100</f>
        <v>54.556701030927833</v>
      </c>
      <c r="I306" s="38"/>
      <c r="J306">
        <v>75</v>
      </c>
    </row>
    <row r="307" spans="2:10" x14ac:dyDescent="0.25">
      <c r="B307">
        <v>97</v>
      </c>
      <c r="C307" s="53" t="s">
        <v>151</v>
      </c>
      <c r="D307" s="8">
        <v>54.51</v>
      </c>
      <c r="G307" s="8"/>
      <c r="H307" s="38">
        <f t="shared" si="60"/>
        <v>56.195876288659797</v>
      </c>
      <c r="I307" s="38"/>
      <c r="J307">
        <v>75</v>
      </c>
    </row>
    <row r="308" spans="2:10" x14ac:dyDescent="0.25">
      <c r="B308">
        <v>97</v>
      </c>
      <c r="C308" s="53" t="s">
        <v>152</v>
      </c>
      <c r="D308" s="8">
        <v>71.489999999999995</v>
      </c>
      <c r="G308" s="8"/>
      <c r="H308" s="38">
        <f t="shared" si="60"/>
        <v>73.701030927835049</v>
      </c>
      <c r="I308" s="38"/>
      <c r="J308">
        <v>75</v>
      </c>
    </row>
    <row r="309" spans="2:10" x14ac:dyDescent="0.25">
      <c r="B309">
        <v>97</v>
      </c>
      <c r="C309" s="53" t="s">
        <v>153</v>
      </c>
      <c r="D309" s="8">
        <v>55.62</v>
      </c>
      <c r="G309" s="8"/>
      <c r="H309" s="38">
        <f t="shared" si="60"/>
        <v>57.340206185567013</v>
      </c>
      <c r="I309" s="38"/>
      <c r="J309">
        <v>75</v>
      </c>
    </row>
    <row r="310" spans="2:10" x14ac:dyDescent="0.25">
      <c r="B310">
        <v>97</v>
      </c>
      <c r="C310" s="53" t="s">
        <v>154</v>
      </c>
      <c r="D310" s="8">
        <v>57.21</v>
      </c>
      <c r="G310" s="8"/>
      <c r="H310" s="38">
        <f t="shared" si="60"/>
        <v>58.979381443298976</v>
      </c>
      <c r="I310" s="38"/>
      <c r="J310">
        <v>75</v>
      </c>
    </row>
    <row r="311" spans="2:10" x14ac:dyDescent="0.25">
      <c r="B311">
        <v>97</v>
      </c>
      <c r="C311" s="53" t="s">
        <v>155</v>
      </c>
      <c r="D311" s="8">
        <v>57.38</v>
      </c>
      <c r="G311" s="8"/>
      <c r="H311" s="38">
        <f t="shared" si="60"/>
        <v>59.154639175257742</v>
      </c>
      <c r="I311" s="38"/>
      <c r="J311">
        <v>75</v>
      </c>
    </row>
    <row r="312" spans="2:10" x14ac:dyDescent="0.25">
      <c r="B312">
        <v>97</v>
      </c>
      <c r="C312" s="53" t="s">
        <v>156</v>
      </c>
      <c r="D312" s="8">
        <v>57.65</v>
      </c>
      <c r="G312" s="8"/>
      <c r="H312" s="38">
        <f t="shared" si="60"/>
        <v>59.432989690721648</v>
      </c>
      <c r="I312" s="38"/>
      <c r="J312">
        <v>75</v>
      </c>
    </row>
    <row r="313" spans="2:10" x14ac:dyDescent="0.25">
      <c r="B313">
        <v>97</v>
      </c>
      <c r="C313" s="53" t="s">
        <v>157</v>
      </c>
      <c r="D313">
        <f>'Data Collection Sheet'!X103</f>
        <v>58.75</v>
      </c>
      <c r="G313" s="8"/>
      <c r="H313" s="38">
        <f t="shared" ref="H313:H318" si="61">(D313/B313)*100</f>
        <v>60.567010309278345</v>
      </c>
      <c r="I313" s="38"/>
      <c r="J313">
        <v>75</v>
      </c>
    </row>
    <row r="314" spans="2:10" x14ac:dyDescent="0.25">
      <c r="B314">
        <v>97</v>
      </c>
      <c r="C314" s="53" t="s">
        <v>158</v>
      </c>
      <c r="D314" s="8">
        <v>76.650000000000006</v>
      </c>
      <c r="G314" s="8"/>
      <c r="H314" s="38">
        <f t="shared" si="61"/>
        <v>79.020618556701038</v>
      </c>
      <c r="I314" s="38"/>
      <c r="J314">
        <v>75</v>
      </c>
    </row>
    <row r="315" spans="2:10" x14ac:dyDescent="0.25">
      <c r="B315">
        <v>97</v>
      </c>
      <c r="C315" s="53" t="s">
        <v>159</v>
      </c>
      <c r="D315" s="8">
        <v>59.46</v>
      </c>
      <c r="G315" s="8"/>
      <c r="H315" s="38">
        <f t="shared" si="61"/>
        <v>61.298969072164944</v>
      </c>
      <c r="I315" s="38"/>
      <c r="J315">
        <v>75</v>
      </c>
    </row>
    <row r="316" spans="2:10" x14ac:dyDescent="0.25">
      <c r="B316">
        <v>97</v>
      </c>
      <c r="C316" s="53" t="s">
        <v>160</v>
      </c>
      <c r="D316" s="8">
        <f>'Data Collection Sheet'!AA103</f>
        <v>61.29</v>
      </c>
      <c r="G316" s="8"/>
      <c r="H316" s="38">
        <f t="shared" si="61"/>
        <v>63.185567010309271</v>
      </c>
      <c r="I316" s="38"/>
      <c r="J316">
        <v>75</v>
      </c>
    </row>
    <row r="317" spans="2:10" x14ac:dyDescent="0.25">
      <c r="B317">
        <v>97</v>
      </c>
      <c r="C317" s="53" t="s">
        <v>161</v>
      </c>
      <c r="D317" s="8">
        <f>'Data Collection Sheet'!AB103</f>
        <v>62.93</v>
      </c>
      <c r="G317" s="8"/>
      <c r="H317" s="38">
        <f t="shared" si="61"/>
        <v>64.876288659793815</v>
      </c>
      <c r="I317" s="38"/>
      <c r="J317">
        <v>75</v>
      </c>
    </row>
    <row r="318" spans="2:10" x14ac:dyDescent="0.25">
      <c r="B318">
        <v>97</v>
      </c>
      <c r="C318" s="53" t="s">
        <v>162</v>
      </c>
      <c r="D318" s="8">
        <f>'Data Collection Sheet'!AC103</f>
        <v>63.1</v>
      </c>
      <c r="G318" s="8"/>
      <c r="H318" s="38">
        <f t="shared" si="61"/>
        <v>65.051546391752581</v>
      </c>
      <c r="I318" s="38"/>
      <c r="J318">
        <v>75</v>
      </c>
    </row>
    <row r="319" spans="2:10" x14ac:dyDescent="0.25">
      <c r="B319">
        <v>97</v>
      </c>
      <c r="C319" s="53" t="s">
        <v>163</v>
      </c>
      <c r="D319" s="8">
        <f>'Data Collection Sheet'!AD103</f>
        <v>64.19</v>
      </c>
      <c r="G319" s="8"/>
      <c r="H319" s="38">
        <f>(D319/B319)*100</f>
        <v>66.175257731958766</v>
      </c>
      <c r="I319" s="38"/>
      <c r="J319">
        <v>75</v>
      </c>
    </row>
    <row r="320" spans="2:10" x14ac:dyDescent="0.25">
      <c r="B320">
        <v>97</v>
      </c>
      <c r="C320" s="53" t="s">
        <v>164</v>
      </c>
      <c r="D320" s="8">
        <f>'Data Collection Sheet'!AE103</f>
        <v>83.08</v>
      </c>
      <c r="G320" s="8"/>
      <c r="H320" s="38">
        <f>(D320/B320)*100</f>
        <v>85.649484536082483</v>
      </c>
      <c r="I320" s="38"/>
      <c r="J320">
        <v>75</v>
      </c>
    </row>
    <row r="321" spans="1:10" x14ac:dyDescent="0.25">
      <c r="B321">
        <v>97</v>
      </c>
      <c r="C321" s="53" t="s">
        <v>165</v>
      </c>
      <c r="D321" s="8">
        <f>'Data Collection Sheet'!AF103</f>
        <v>65.56</v>
      </c>
      <c r="G321" s="8"/>
      <c r="H321" s="38">
        <f>(D321/B321)*100</f>
        <v>67.587628865979383</v>
      </c>
      <c r="I321" s="38"/>
      <c r="J321">
        <v>75</v>
      </c>
    </row>
    <row r="322" spans="1:10" x14ac:dyDescent="0.25">
      <c r="B322">
        <v>97</v>
      </c>
      <c r="C322" s="53" t="s">
        <v>166</v>
      </c>
      <c r="D322" s="8">
        <f>'Data Collection Sheet'!AG103</f>
        <v>64.34</v>
      </c>
      <c r="G322" s="8"/>
      <c r="H322" s="38">
        <f>(D322/B322)*100</f>
        <v>66.329896907216508</v>
      </c>
      <c r="I322" s="38"/>
      <c r="J322">
        <v>75</v>
      </c>
    </row>
    <row r="323" spans="1:10" x14ac:dyDescent="0.25">
      <c r="B323">
        <v>97</v>
      </c>
      <c r="C323" s="53" t="s">
        <v>167</v>
      </c>
      <c r="D323" s="8">
        <f>'Data Collection Sheet'!AH103</f>
        <v>65.47</v>
      </c>
      <c r="G323" s="8"/>
      <c r="H323" s="38">
        <f>(D323/B323)*100</f>
        <v>67.494845360824741</v>
      </c>
      <c r="I323" s="38"/>
      <c r="J323">
        <v>75</v>
      </c>
    </row>
    <row r="324" spans="1:10" x14ac:dyDescent="0.25">
      <c r="B324">
        <v>97</v>
      </c>
      <c r="C324" s="53" t="s">
        <v>168</v>
      </c>
      <c r="D324" s="8">
        <f>'Data Collection Sheet'!AI103</f>
        <v>64.69</v>
      </c>
      <c r="G324" s="8"/>
      <c r="H324" s="38">
        <f t="shared" ref="H324:H325" si="62">(D324/B324)*100</f>
        <v>66.69072164948453</v>
      </c>
      <c r="I324" s="38"/>
      <c r="J324">
        <v>75</v>
      </c>
    </row>
    <row r="325" spans="1:10" x14ac:dyDescent="0.25">
      <c r="B325">
        <v>97</v>
      </c>
      <c r="C325" s="53" t="s">
        <v>169</v>
      </c>
      <c r="D325" s="8">
        <f>'Data Collection Sheet'!AJ103</f>
        <v>65.39</v>
      </c>
      <c r="G325" s="8"/>
      <c r="H325" s="38">
        <f t="shared" si="62"/>
        <v>67.412371134020617</v>
      </c>
      <c r="I325" s="38"/>
      <c r="J325">
        <v>75</v>
      </c>
    </row>
    <row r="326" spans="1:10" x14ac:dyDescent="0.25">
      <c r="B326">
        <v>97</v>
      </c>
      <c r="C326" s="53" t="s">
        <v>170</v>
      </c>
      <c r="D326" s="8">
        <f>'Data Collection Sheet'!AK103</f>
        <v>66.97</v>
      </c>
      <c r="G326" s="8"/>
      <c r="H326" s="38">
        <f t="shared" ref="H326" si="63">(D326/B326)*100</f>
        <v>69.041237113402062</v>
      </c>
      <c r="I326" s="38"/>
      <c r="J326">
        <v>75</v>
      </c>
    </row>
    <row r="327" spans="1:10" x14ac:dyDescent="0.25">
      <c r="B327">
        <v>97</v>
      </c>
      <c r="C327" s="53" t="s">
        <v>171</v>
      </c>
      <c r="D327" s="8">
        <f>'Data Collection Sheet'!AL103</f>
        <v>68.78</v>
      </c>
      <c r="G327" s="8"/>
      <c r="H327" s="38">
        <f t="shared" ref="H327:H332" si="64">(D327/B327)*100</f>
        <v>70.907216494845358</v>
      </c>
      <c r="I327" s="38"/>
      <c r="J327">
        <v>75</v>
      </c>
    </row>
    <row r="328" spans="1:10" x14ac:dyDescent="0.25">
      <c r="B328">
        <v>97</v>
      </c>
      <c r="C328" s="53" t="s">
        <v>172</v>
      </c>
      <c r="D328" s="8">
        <f>'Data Collection Sheet'!AM103</f>
        <v>69</v>
      </c>
      <c r="G328" s="8"/>
      <c r="H328" s="38">
        <f t="shared" si="64"/>
        <v>71.134020618556704</v>
      </c>
      <c r="I328" s="38"/>
      <c r="J328">
        <v>75</v>
      </c>
    </row>
    <row r="329" spans="1:10" x14ac:dyDescent="0.25">
      <c r="B329">
        <v>97</v>
      </c>
      <c r="C329" s="53" t="s">
        <v>173</v>
      </c>
      <c r="D329" s="8">
        <f>'Data Collection Sheet'!AN103</f>
        <v>69.209999999999994</v>
      </c>
      <c r="G329" s="8"/>
      <c r="H329" s="38">
        <f t="shared" si="64"/>
        <v>71.350515463917517</v>
      </c>
      <c r="I329" s="38"/>
      <c r="J329">
        <v>75</v>
      </c>
    </row>
    <row r="330" spans="1:10" x14ac:dyDescent="0.25">
      <c r="B330">
        <v>97</v>
      </c>
      <c r="C330" s="53" t="s">
        <v>174</v>
      </c>
      <c r="D330" s="8">
        <f>'Data Collection Sheet'!AO103</f>
        <v>48.61</v>
      </c>
      <c r="G330" s="8"/>
      <c r="H330" s="38">
        <f t="shared" si="64"/>
        <v>50.113402061855673</v>
      </c>
      <c r="I330" s="38"/>
      <c r="J330">
        <v>75</v>
      </c>
    </row>
    <row r="331" spans="1:10" x14ac:dyDescent="0.25">
      <c r="B331">
        <v>97</v>
      </c>
      <c r="C331" s="53" t="s">
        <v>175</v>
      </c>
      <c r="D331" s="8">
        <f>'Data Collection Sheet'!AP103</f>
        <v>69.98</v>
      </c>
      <c r="G331" s="8"/>
      <c r="H331" s="38">
        <f t="shared" si="64"/>
        <v>72.144329896907223</v>
      </c>
      <c r="I331" s="38"/>
      <c r="J331">
        <v>75</v>
      </c>
    </row>
    <row r="332" spans="1:10" x14ac:dyDescent="0.25">
      <c r="B332">
        <v>97</v>
      </c>
      <c r="C332" s="53" t="s">
        <v>176</v>
      </c>
      <c r="D332" s="8">
        <f>'Data Collection Sheet'!AQ103</f>
        <v>71.84</v>
      </c>
      <c r="G332" s="8"/>
      <c r="H332" s="38">
        <f t="shared" si="64"/>
        <v>74.0618556701031</v>
      </c>
      <c r="I332" s="38"/>
      <c r="J332">
        <v>75</v>
      </c>
    </row>
    <row r="333" spans="1:10" x14ac:dyDescent="0.25">
      <c r="B333">
        <v>97</v>
      </c>
      <c r="C333" s="53" t="s">
        <v>177</v>
      </c>
      <c r="D333" s="8">
        <f>'Data Collection Sheet'!AR103</f>
        <v>73.680000000000007</v>
      </c>
      <c r="G333" s="8"/>
      <c r="H333" s="38">
        <f>(D333/B333)*100</f>
        <v>75.958762886597938</v>
      </c>
      <c r="I333" s="38"/>
      <c r="J333">
        <v>75</v>
      </c>
    </row>
    <row r="334" spans="1:10" x14ac:dyDescent="0.25">
      <c r="A334" s="67" t="s">
        <v>350</v>
      </c>
      <c r="B334">
        <v>97</v>
      </c>
      <c r="C334" s="53" t="s">
        <v>178</v>
      </c>
      <c r="D334" s="8">
        <f>'Data Collection Sheet'!AS103</f>
        <v>73.89</v>
      </c>
      <c r="E334">
        <v>-15</v>
      </c>
      <c r="G334" s="8"/>
      <c r="H334" s="38">
        <f>(D334/B334)*100</f>
        <v>76.175257731958766</v>
      </c>
      <c r="J334">
        <v>75</v>
      </c>
    </row>
    <row r="335" spans="1:10" x14ac:dyDescent="0.25">
      <c r="B335">
        <v>97</v>
      </c>
      <c r="C335" s="53" t="s">
        <v>179</v>
      </c>
      <c r="D335" s="8">
        <f>'Data Collection Sheet'!AT103</f>
        <v>72.489999999999995</v>
      </c>
      <c r="G335" s="8"/>
      <c r="H335" s="38">
        <f>(D335/B335)*100</f>
        <v>74.731958762886592</v>
      </c>
      <c r="J335">
        <v>75</v>
      </c>
    </row>
    <row r="336" spans="1:10" x14ac:dyDescent="0.25">
      <c r="B336">
        <v>97</v>
      </c>
      <c r="C336" s="53" t="s">
        <v>180</v>
      </c>
      <c r="D336" s="8">
        <f>'Data Collection Sheet'!AU103</f>
        <v>73.83</v>
      </c>
      <c r="G336" s="8"/>
      <c r="H336" s="38">
        <f t="shared" ref="H336:H337" si="65">(D336/B336)*100</f>
        <v>76.113402061855666</v>
      </c>
      <c r="J336">
        <v>75</v>
      </c>
    </row>
    <row r="337" spans="1:10" x14ac:dyDescent="0.25">
      <c r="B337">
        <v>97</v>
      </c>
      <c r="C337" s="53" t="s">
        <v>355</v>
      </c>
      <c r="D337" s="8">
        <f>'Data Collection Sheet'!AV103</f>
        <v>74.069999999999993</v>
      </c>
      <c r="G337" s="8"/>
      <c r="H337" s="38">
        <f t="shared" si="65"/>
        <v>76.360824742268036</v>
      </c>
      <c r="J337">
        <v>75</v>
      </c>
    </row>
    <row r="338" spans="1:10" x14ac:dyDescent="0.25">
      <c r="B338">
        <v>97</v>
      </c>
      <c r="C338" s="53" t="s">
        <v>357</v>
      </c>
      <c r="D338" s="8">
        <f>'Data Collection Sheet'!AW103</f>
        <v>75.37</v>
      </c>
      <c r="G338" s="8"/>
      <c r="H338" s="38">
        <f t="shared" ref="H338" si="66">(D338/B338)*100</f>
        <v>77.701030927835063</v>
      </c>
      <c r="J338">
        <v>75</v>
      </c>
    </row>
    <row r="339" spans="1:10" x14ac:dyDescent="0.25">
      <c r="B339">
        <v>97</v>
      </c>
      <c r="C339" s="53" t="s">
        <v>358</v>
      </c>
      <c r="D339" s="8">
        <f>'Data Collection Sheet'!AX103</f>
        <v>75.67</v>
      </c>
      <c r="G339" s="8"/>
      <c r="H339" s="38">
        <f t="shared" ref="H339" si="67">(D339/B339)*100</f>
        <v>78.010309278350519</v>
      </c>
      <c r="J339">
        <v>75</v>
      </c>
    </row>
    <row r="340" spans="1:10" x14ac:dyDescent="0.25">
      <c r="B340">
        <v>97</v>
      </c>
      <c r="C340" s="53" t="s">
        <v>359</v>
      </c>
      <c r="D340" s="8">
        <f>'Data Collection Sheet'!AY103</f>
        <v>50.78</v>
      </c>
      <c r="G340" s="8"/>
      <c r="H340" s="38">
        <f t="shared" ref="H340" si="68">(D340/B340)*100</f>
        <v>52.350515463917525</v>
      </c>
      <c r="J340">
        <v>75</v>
      </c>
    </row>
    <row r="341" spans="1:10" x14ac:dyDescent="0.25">
      <c r="B341">
        <v>97</v>
      </c>
      <c r="C341" s="53" t="s">
        <v>360</v>
      </c>
      <c r="D341" s="8">
        <f>'Data Collection Sheet'!AZ103</f>
        <v>51.25</v>
      </c>
      <c r="G341" s="8"/>
      <c r="H341" s="38">
        <f t="shared" ref="H341:H346" si="69">(D341/B341)*100</f>
        <v>52.835051546391753</v>
      </c>
      <c r="J341">
        <v>75</v>
      </c>
    </row>
    <row r="342" spans="1:10" x14ac:dyDescent="0.25">
      <c r="B342">
        <v>97</v>
      </c>
      <c r="C342" s="53" t="s">
        <v>361</v>
      </c>
      <c r="D342" s="8">
        <f>'Data Collection Sheet'!BA103</f>
        <v>51.58</v>
      </c>
      <c r="G342" s="8"/>
      <c r="H342" s="38">
        <f t="shared" si="69"/>
        <v>53.175257731958759</v>
      </c>
      <c r="J342">
        <v>75</v>
      </c>
    </row>
    <row r="343" spans="1:10" x14ac:dyDescent="0.25">
      <c r="B343">
        <v>97</v>
      </c>
      <c r="C343" s="53" t="s">
        <v>362</v>
      </c>
      <c r="D343" s="8">
        <f>'Data Collection Sheet'!BB103</f>
        <v>51.81</v>
      </c>
      <c r="G343" s="8"/>
      <c r="H343" s="38">
        <f t="shared" si="69"/>
        <v>53.412371134020617</v>
      </c>
      <c r="I343" s="8"/>
      <c r="J343">
        <v>75</v>
      </c>
    </row>
    <row r="344" spans="1:10" x14ac:dyDescent="0.25">
      <c r="A344" s="67" t="s">
        <v>367</v>
      </c>
      <c r="B344">
        <v>73</v>
      </c>
      <c r="C344" s="53" t="s">
        <v>363</v>
      </c>
      <c r="D344" s="8">
        <f>'Data Collection Sheet'!BC103</f>
        <v>52.96</v>
      </c>
      <c r="G344" s="8"/>
      <c r="H344" s="38">
        <f t="shared" si="69"/>
        <v>72.547945205479465</v>
      </c>
      <c r="I344" s="8"/>
      <c r="J344">
        <v>75</v>
      </c>
    </row>
    <row r="345" spans="1:10" x14ac:dyDescent="0.25">
      <c r="B345">
        <v>73</v>
      </c>
      <c r="C345" s="53" t="s">
        <v>364</v>
      </c>
      <c r="D345" s="8">
        <f>'Data Collection Sheet'!BD103</f>
        <v>53.96</v>
      </c>
      <c r="G345" s="8"/>
      <c r="H345" s="38">
        <f t="shared" si="69"/>
        <v>73.917808219178085</v>
      </c>
      <c r="I345" s="8"/>
      <c r="J345">
        <v>75</v>
      </c>
    </row>
    <row r="346" spans="1:10" x14ac:dyDescent="0.25">
      <c r="B346">
        <v>73</v>
      </c>
      <c r="C346" s="92">
        <v>46023</v>
      </c>
      <c r="D346" s="8">
        <f>'Data Collection Sheet'!BE103</f>
        <v>51.66</v>
      </c>
      <c r="G346" s="8"/>
      <c r="H346" s="38">
        <f t="shared" si="69"/>
        <v>70.767123287671225</v>
      </c>
      <c r="I346" s="8"/>
      <c r="J346">
        <v>75</v>
      </c>
    </row>
    <row r="347" spans="1:10" x14ac:dyDescent="0.25">
      <c r="B347">
        <v>73</v>
      </c>
      <c r="C347" s="92">
        <v>46054</v>
      </c>
      <c r="D347" s="8">
        <f>'Data Collection Sheet'!BF103</f>
        <v>55.46</v>
      </c>
      <c r="G347" s="8"/>
      <c r="H347" s="38">
        <f t="shared" ref="H347:H352" si="70">(D347/B347)*100</f>
        <v>75.972602739726028</v>
      </c>
      <c r="I347" s="8"/>
      <c r="J347">
        <v>75</v>
      </c>
    </row>
    <row r="348" spans="1:10" x14ac:dyDescent="0.25">
      <c r="B348">
        <v>73</v>
      </c>
      <c r="C348" s="92">
        <v>46082</v>
      </c>
      <c r="D348" s="8">
        <f>'Data Collection Sheet'!BG103</f>
        <v>55.8</v>
      </c>
      <c r="G348" s="8"/>
      <c r="H348" s="38">
        <f t="shared" si="70"/>
        <v>76.438356164383563</v>
      </c>
      <c r="I348" s="8"/>
      <c r="J348">
        <v>75</v>
      </c>
    </row>
    <row r="349" spans="1:10" x14ac:dyDescent="0.25">
      <c r="B349">
        <v>73</v>
      </c>
      <c r="C349" s="92">
        <v>46113</v>
      </c>
      <c r="D349" s="8">
        <f>'Data Collection Sheet'!BH103</f>
        <v>56</v>
      </c>
      <c r="G349" s="8"/>
      <c r="H349" s="38">
        <f t="shared" si="70"/>
        <v>76.712328767123282</v>
      </c>
      <c r="I349" s="8"/>
      <c r="J349">
        <v>75</v>
      </c>
    </row>
    <row r="350" spans="1:10" x14ac:dyDescent="0.25">
      <c r="B350">
        <v>73</v>
      </c>
      <c r="C350" s="92">
        <v>46143</v>
      </c>
      <c r="D350" s="8">
        <f>'Data Collection Sheet'!BI103</f>
        <v>56.6</v>
      </c>
      <c r="G350" s="8"/>
      <c r="H350" s="38">
        <f t="shared" si="70"/>
        <v>77.534246575342465</v>
      </c>
      <c r="I350" s="8"/>
      <c r="J350">
        <v>75</v>
      </c>
    </row>
    <row r="351" spans="1:10" x14ac:dyDescent="0.25">
      <c r="B351">
        <v>73</v>
      </c>
      <c r="C351" s="92">
        <v>46174</v>
      </c>
      <c r="D351" s="8">
        <f>'Data Collection Sheet'!BJ103</f>
        <v>56.8</v>
      </c>
      <c r="G351" s="8"/>
      <c r="H351" s="38">
        <f t="shared" si="70"/>
        <v>77.808219178082183</v>
      </c>
      <c r="I351" s="8"/>
      <c r="J351">
        <v>75</v>
      </c>
    </row>
    <row r="352" spans="1:10" x14ac:dyDescent="0.25">
      <c r="B352">
        <v>73</v>
      </c>
      <c r="C352" s="92">
        <v>46204</v>
      </c>
      <c r="D352" s="8">
        <f>'Data Collection Sheet'!BK103</f>
        <v>59.2</v>
      </c>
      <c r="G352" s="8"/>
      <c r="H352" s="38">
        <f t="shared" si="70"/>
        <v>81.095890410958901</v>
      </c>
      <c r="I352" s="8"/>
      <c r="J352">
        <v>75</v>
      </c>
    </row>
    <row r="353" spans="2:10" x14ac:dyDescent="0.25">
      <c r="B353">
        <v>73</v>
      </c>
      <c r="C353" s="92">
        <v>46235</v>
      </c>
      <c r="D353" s="8">
        <f>'Data Collection Sheet'!BL103</f>
        <v>59.4</v>
      </c>
      <c r="G353" s="8">
        <f>D353</f>
        <v>59.4</v>
      </c>
      <c r="H353" s="38">
        <f t="shared" ref="H353" si="71">(D353/B353)*100</f>
        <v>81.369863013698634</v>
      </c>
      <c r="I353" s="8">
        <f t="shared" ref="I353" si="72">(G353/B353)*100</f>
        <v>81.369863013698634</v>
      </c>
      <c r="J353">
        <v>75</v>
      </c>
    </row>
    <row r="354" spans="2:10" x14ac:dyDescent="0.25">
      <c r="B354">
        <v>73</v>
      </c>
      <c r="C354" s="92">
        <v>46266</v>
      </c>
      <c r="D354" s="8"/>
      <c r="G354" s="8">
        <f t="shared" ref="G354:G381" si="73">G353*(1+(1.15^(1/12)-1))</f>
        <v>60.095866065039289</v>
      </c>
      <c r="H354" s="38"/>
      <c r="I354" s="8">
        <f t="shared" ref="I354:I381" si="74">(G354/B354)*100</f>
        <v>82.323104198683964</v>
      </c>
      <c r="J354">
        <v>75</v>
      </c>
    </row>
    <row r="355" spans="2:10" x14ac:dyDescent="0.25">
      <c r="B355">
        <v>73</v>
      </c>
      <c r="C355" s="92">
        <v>46296</v>
      </c>
      <c r="D355" s="8"/>
      <c r="G355" s="8">
        <f t="shared" si="73"/>
        <v>60.799884143217859</v>
      </c>
      <c r="H355" s="38"/>
      <c r="I355" s="8">
        <f t="shared" si="74"/>
        <v>83.287512524955972</v>
      </c>
      <c r="J355">
        <v>75</v>
      </c>
    </row>
    <row r="356" spans="2:10" x14ac:dyDescent="0.25">
      <c r="B356">
        <v>73</v>
      </c>
      <c r="C356" s="92">
        <v>46327</v>
      </c>
      <c r="D356" s="8"/>
      <c r="G356" s="8">
        <f t="shared" si="73"/>
        <v>61.512149734692365</v>
      </c>
      <c r="H356" s="38"/>
      <c r="I356" s="8">
        <f t="shared" si="74"/>
        <v>84.263218814647075</v>
      </c>
      <c r="J356">
        <v>75</v>
      </c>
    </row>
    <row r="357" spans="2:10" x14ac:dyDescent="0.25">
      <c r="B357">
        <v>73</v>
      </c>
      <c r="C357" s="92">
        <v>46357</v>
      </c>
      <c r="D357" s="8"/>
      <c r="G357" s="8">
        <f t="shared" si="73"/>
        <v>62.232759458395869</v>
      </c>
      <c r="H357" s="38"/>
      <c r="I357" s="8">
        <f t="shared" si="74"/>
        <v>85.250355422460089</v>
      </c>
      <c r="J357">
        <v>75</v>
      </c>
    </row>
    <row r="358" spans="2:10" x14ac:dyDescent="0.25">
      <c r="B358">
        <v>73</v>
      </c>
      <c r="C358" s="92">
        <v>46388</v>
      </c>
      <c r="D358" s="8"/>
      <c r="G358" s="8">
        <f t="shared" si="73"/>
        <v>62.961811065144197</v>
      </c>
      <c r="H358" s="38"/>
      <c r="I358" s="8">
        <f t="shared" si="74"/>
        <v>86.249056253622186</v>
      </c>
      <c r="J358">
        <v>75</v>
      </c>
    </row>
    <row r="359" spans="2:10" x14ac:dyDescent="0.25">
      <c r="B359">
        <v>73</v>
      </c>
      <c r="C359" s="92">
        <v>46419</v>
      </c>
      <c r="D359" s="8"/>
      <c r="G359" s="8">
        <f t="shared" si="73"/>
        <v>63.699403450895865</v>
      </c>
      <c r="H359" s="38"/>
      <c r="I359" s="8">
        <f t="shared" si="74"/>
        <v>87.259456782049128</v>
      </c>
      <c r="J359">
        <v>75</v>
      </c>
    </row>
    <row r="360" spans="2:10" x14ac:dyDescent="0.25">
      <c r="B360">
        <v>73</v>
      </c>
      <c r="C360" s="92">
        <v>46447</v>
      </c>
      <c r="D360" s="8"/>
      <c r="G360" s="8">
        <f t="shared" si="73"/>
        <v>64.445636670167332</v>
      </c>
      <c r="H360" s="38"/>
      <c r="I360" s="8">
        <f t="shared" si="74"/>
        <v>88.281694068722373</v>
      </c>
      <c r="J360">
        <v>75</v>
      </c>
    </row>
    <row r="361" spans="2:10" x14ac:dyDescent="0.25">
      <c r="B361">
        <v>73</v>
      </c>
      <c r="C361" s="92">
        <v>46478</v>
      </c>
      <c r="D361" s="8"/>
      <c r="G361" s="8">
        <f t="shared" si="73"/>
        <v>65.200611949605403</v>
      </c>
      <c r="H361" s="38"/>
      <c r="I361" s="8">
        <f t="shared" si="74"/>
        <v>89.315906780281367</v>
      </c>
      <c r="J361">
        <v>75</v>
      </c>
    </row>
    <row r="362" spans="2:10" x14ac:dyDescent="0.25">
      <c r="B362">
        <v>73</v>
      </c>
      <c r="C362" s="92">
        <v>46508</v>
      </c>
      <c r="D362" s="8"/>
      <c r="G362" s="8">
        <f t="shared" si="73"/>
        <v>65.964431701718624</v>
      </c>
      <c r="H362" s="38"/>
      <c r="I362" s="8">
        <f t="shared" si="74"/>
        <v>90.362235207833734</v>
      </c>
      <c r="J362">
        <v>75</v>
      </c>
    </row>
    <row r="363" spans="2:10" x14ac:dyDescent="0.25">
      <c r="B363">
        <v>73</v>
      </c>
      <c r="C363" s="92">
        <v>46539</v>
      </c>
      <c r="D363" s="8"/>
      <c r="G363" s="8">
        <f t="shared" si="73"/>
        <v>66.737199538769602</v>
      </c>
      <c r="H363" s="38"/>
      <c r="I363" s="8">
        <f t="shared" si="74"/>
        <v>91.420821285985753</v>
      </c>
      <c r="J363">
        <v>75</v>
      </c>
    </row>
    <row r="364" spans="2:10" x14ac:dyDescent="0.25">
      <c r="B364">
        <v>73</v>
      </c>
      <c r="C364" s="92">
        <v>46569</v>
      </c>
      <c r="D364" s="8"/>
      <c r="G364" s="8">
        <f t="shared" si="73"/>
        <v>67.519020286829971</v>
      </c>
      <c r="H364" s="38"/>
      <c r="I364" s="8">
        <f t="shared" si="74"/>
        <v>92.491808612095852</v>
      </c>
      <c r="J364">
        <v>75</v>
      </c>
    </row>
    <row r="365" spans="2:10" x14ac:dyDescent="0.25">
      <c r="B365">
        <v>73</v>
      </c>
      <c r="C365" s="92">
        <v>46600</v>
      </c>
      <c r="D365" s="8"/>
      <c r="G365" s="8">
        <f t="shared" si="73"/>
        <v>68.310000000000073</v>
      </c>
      <c r="H365" s="38"/>
      <c r="I365" s="8">
        <f t="shared" si="74"/>
        <v>93.575342465753536</v>
      </c>
      <c r="J365">
        <v>75</v>
      </c>
    </row>
    <row r="366" spans="2:10" x14ac:dyDescent="0.25">
      <c r="B366">
        <v>73</v>
      </c>
      <c r="C366" s="92">
        <v>46631</v>
      </c>
      <c r="D366" s="8"/>
      <c r="G366" s="8">
        <f t="shared" si="73"/>
        <v>69.110245974795262</v>
      </c>
      <c r="H366" s="38"/>
      <c r="I366" s="8">
        <f t="shared" si="74"/>
        <v>94.671569828486653</v>
      </c>
      <c r="J366">
        <v>75</v>
      </c>
    </row>
    <row r="367" spans="2:10" x14ac:dyDescent="0.25">
      <c r="B367">
        <v>73</v>
      </c>
      <c r="C367" s="92">
        <v>46661</v>
      </c>
      <c r="D367" s="8"/>
      <c r="G367" s="8">
        <f t="shared" si="73"/>
        <v>69.919866764700615</v>
      </c>
      <c r="H367" s="38"/>
      <c r="I367" s="8">
        <f t="shared" si="74"/>
        <v>95.780639403699467</v>
      </c>
      <c r="J367">
        <v>75</v>
      </c>
    </row>
    <row r="368" spans="2:10" x14ac:dyDescent="0.25">
      <c r="B368">
        <v>73</v>
      </c>
      <c r="C368" s="92">
        <v>46692</v>
      </c>
      <c r="D368" s="8"/>
      <c r="G368" s="8">
        <f t="shared" si="73"/>
        <v>70.738972194896306</v>
      </c>
      <c r="H368" s="38"/>
      <c r="I368" s="8">
        <f t="shared" si="74"/>
        <v>96.902701636844256</v>
      </c>
      <c r="J368">
        <v>75</v>
      </c>
    </row>
    <row r="369" spans="2:10" x14ac:dyDescent="0.25">
      <c r="B369">
        <v>73</v>
      </c>
      <c r="C369" s="92">
        <v>46722</v>
      </c>
      <c r="D369" s="8"/>
      <c r="G369" s="8">
        <f t="shared" si="73"/>
        <v>71.56767337715533</v>
      </c>
      <c r="H369" s="38"/>
      <c r="I369" s="8">
        <f t="shared" si="74"/>
        <v>98.03790873582922</v>
      </c>
      <c r="J369">
        <v>75</v>
      </c>
    </row>
    <row r="370" spans="2:10" x14ac:dyDescent="0.25">
      <c r="B370">
        <v>73</v>
      </c>
      <c r="C370" s="92">
        <v>46753</v>
      </c>
      <c r="D370" s="8"/>
      <c r="G370" s="8">
        <f t="shared" si="73"/>
        <v>72.406082724915905</v>
      </c>
      <c r="H370" s="38"/>
      <c r="I370" s="8">
        <f t="shared" si="74"/>
        <v>99.186414691665618</v>
      </c>
      <c r="J370">
        <v>75</v>
      </c>
    </row>
    <row r="371" spans="2:10" x14ac:dyDescent="0.25">
      <c r="B371">
        <v>73</v>
      </c>
      <c r="C371" s="92">
        <v>46784</v>
      </c>
      <c r="D371" s="8"/>
      <c r="G371" s="8">
        <f t="shared" si="73"/>
        <v>73.254313968530326</v>
      </c>
      <c r="H371" s="38"/>
      <c r="I371" s="8">
        <f t="shared" si="74"/>
        <v>100.3483752993566</v>
      </c>
      <c r="J371">
        <v>75</v>
      </c>
    </row>
    <row r="372" spans="2:10" x14ac:dyDescent="0.25">
      <c r="B372">
        <v>73</v>
      </c>
      <c r="C372" s="92">
        <v>46813</v>
      </c>
      <c r="D372" s="8"/>
      <c r="G372" s="8">
        <f t="shared" si="73"/>
        <v>74.112482170692516</v>
      </c>
      <c r="H372" s="38"/>
      <c r="I372" s="8">
        <f t="shared" si="74"/>
        <v>101.52394817903085</v>
      </c>
      <c r="J372">
        <v>75</v>
      </c>
    </row>
    <row r="373" spans="2:10" x14ac:dyDescent="0.25">
      <c r="B373">
        <v>73</v>
      </c>
      <c r="C373" s="92">
        <v>46844</v>
      </c>
      <c r="D373" s="8"/>
      <c r="G373" s="8">
        <f t="shared" si="73"/>
        <v>74.980703742046288</v>
      </c>
      <c r="H373" s="38"/>
      <c r="I373" s="8">
        <f t="shared" si="74"/>
        <v>102.71329279732369</v>
      </c>
      <c r="J373">
        <v>75</v>
      </c>
    </row>
    <row r="374" spans="2:10" x14ac:dyDescent="0.25">
      <c r="B374">
        <v>73</v>
      </c>
      <c r="C374" s="92">
        <v>46874</v>
      </c>
      <c r="D374" s="8"/>
      <c r="G374" s="8">
        <f t="shared" si="73"/>
        <v>75.859096456976502</v>
      </c>
      <c r="H374" s="38"/>
      <c r="I374" s="8">
        <f t="shared" si="74"/>
        <v>103.9165704890089</v>
      </c>
      <c r="J374">
        <v>75</v>
      </c>
    </row>
    <row r="375" spans="2:10" x14ac:dyDescent="0.25">
      <c r="B375">
        <v>73</v>
      </c>
      <c r="C375" s="92">
        <v>46905</v>
      </c>
      <c r="D375" s="8"/>
      <c r="G375" s="8">
        <f t="shared" si="73"/>
        <v>76.747779469585126</v>
      </c>
      <c r="H375" s="38"/>
      <c r="I375" s="8">
        <f t="shared" si="74"/>
        <v>105.13394447888373</v>
      </c>
      <c r="J375">
        <v>75</v>
      </c>
    </row>
    <row r="376" spans="2:10" x14ac:dyDescent="0.25">
      <c r="B376">
        <v>73</v>
      </c>
      <c r="C376" s="92">
        <v>46935</v>
      </c>
      <c r="D376" s="8"/>
      <c r="G376" s="8">
        <f t="shared" si="73"/>
        <v>77.646873329854543</v>
      </c>
      <c r="H376" s="38"/>
      <c r="I376" s="8">
        <f t="shared" si="74"/>
        <v>106.36557990391033</v>
      </c>
      <c r="J376">
        <v>75</v>
      </c>
    </row>
    <row r="377" spans="2:10" x14ac:dyDescent="0.25">
      <c r="B377">
        <v>73</v>
      </c>
      <c r="C377" s="92">
        <v>46966</v>
      </c>
      <c r="D377" s="8"/>
      <c r="G377" s="8">
        <f t="shared" si="73"/>
        <v>78.55650000000017</v>
      </c>
      <c r="H377" s="38"/>
      <c r="I377" s="8">
        <f t="shared" si="74"/>
        <v>107.61164383561668</v>
      </c>
      <c r="J377">
        <v>75</v>
      </c>
    </row>
    <row r="378" spans="2:10" x14ac:dyDescent="0.25">
      <c r="B378">
        <v>73</v>
      </c>
      <c r="C378" s="92">
        <v>46997</v>
      </c>
      <c r="D378" s="8"/>
      <c r="G378" s="8">
        <f t="shared" si="73"/>
        <v>79.476782871014635</v>
      </c>
      <c r="H378" s="38"/>
      <c r="I378" s="8">
        <f t="shared" si="74"/>
        <v>108.87230530275977</v>
      </c>
      <c r="J378">
        <v>75</v>
      </c>
    </row>
    <row r="379" spans="2:10" x14ac:dyDescent="0.25">
      <c r="B379">
        <v>73</v>
      </c>
      <c r="C379" s="92">
        <v>47027</v>
      </c>
      <c r="D379" s="8"/>
      <c r="G379" s="8">
        <f t="shared" si="73"/>
        <v>80.407846779405801</v>
      </c>
      <c r="H379" s="38"/>
      <c r="I379" s="8">
        <f t="shared" si="74"/>
        <v>110.14773531425452</v>
      </c>
      <c r="J379">
        <v>75</v>
      </c>
    </row>
    <row r="380" spans="2:10" x14ac:dyDescent="0.25">
      <c r="B380">
        <v>73</v>
      </c>
      <c r="C380" s="92">
        <v>47058</v>
      </c>
      <c r="D380" s="8"/>
      <c r="G380" s="8">
        <f t="shared" si="73"/>
        <v>81.34981802413084</v>
      </c>
      <c r="H380" s="38"/>
      <c r="I380" s="8">
        <f t="shared" si="74"/>
        <v>111.43810688237102</v>
      </c>
      <c r="J380">
        <v>75</v>
      </c>
    </row>
    <row r="381" spans="2:10" x14ac:dyDescent="0.25">
      <c r="B381">
        <v>73</v>
      </c>
      <c r="C381" s="92">
        <v>47088</v>
      </c>
      <c r="D381" s="8"/>
      <c r="G381" s="8">
        <f t="shared" si="73"/>
        <v>82.302824383728719</v>
      </c>
      <c r="H381" s="38"/>
      <c r="I381" s="8">
        <f t="shared" si="74"/>
        <v>112.74359504620372</v>
      </c>
      <c r="J381">
        <v>75</v>
      </c>
    </row>
    <row r="382" spans="2:10" x14ac:dyDescent="0.25">
      <c r="C382" s="53"/>
      <c r="D382" s="8"/>
      <c r="G382" s="8"/>
      <c r="H382" s="38"/>
    </row>
    <row r="383" spans="2:10" x14ac:dyDescent="0.25">
      <c r="C383" s="53"/>
      <c r="D383" s="8"/>
      <c r="G383" s="8"/>
      <c r="H383" s="38"/>
    </row>
    <row r="384" spans="2:10" x14ac:dyDescent="0.25">
      <c r="C384" s="53"/>
      <c r="D384" s="8"/>
      <c r="G384" s="8"/>
      <c r="H384" s="38"/>
    </row>
    <row r="385" spans="1:10" x14ac:dyDescent="0.25">
      <c r="C385" s="53"/>
      <c r="D385" s="8"/>
      <c r="G385" s="8"/>
      <c r="H385" s="38"/>
    </row>
    <row r="386" spans="1:10" x14ac:dyDescent="0.25">
      <c r="C386" s="53"/>
      <c r="D386" s="8"/>
      <c r="G386" s="8"/>
      <c r="H386" s="38"/>
    </row>
    <row r="387" spans="1:10" x14ac:dyDescent="0.25">
      <c r="C387" s="53"/>
      <c r="D387" s="8"/>
      <c r="G387" s="8"/>
      <c r="H387" s="38"/>
    </row>
    <row r="388" spans="1:10" x14ac:dyDescent="0.25">
      <c r="C388" s="53"/>
      <c r="D388" s="8"/>
      <c r="G388" s="8"/>
      <c r="H388" s="38"/>
    </row>
    <row r="390" spans="1:10" x14ac:dyDescent="0.25">
      <c r="A390" s="93" t="s">
        <v>182</v>
      </c>
      <c r="B390" s="49" t="s">
        <v>119</v>
      </c>
      <c r="C390" s="49" t="s">
        <v>2</v>
      </c>
      <c r="D390" s="49" t="s">
        <v>120</v>
      </c>
      <c r="E390" s="94" t="s">
        <v>139</v>
      </c>
      <c r="F390" s="49"/>
      <c r="G390" s="49" t="s">
        <v>123</v>
      </c>
      <c r="H390" s="49" t="s">
        <v>124</v>
      </c>
      <c r="I390" s="49" t="s">
        <v>125</v>
      </c>
      <c r="J390" s="49" t="s">
        <v>126</v>
      </c>
    </row>
    <row r="391" spans="1:10" x14ac:dyDescent="0.25">
      <c r="B391">
        <v>18</v>
      </c>
      <c r="C391" s="53" t="s">
        <v>141</v>
      </c>
      <c r="D391">
        <v>12.2</v>
      </c>
      <c r="H391" s="38">
        <f t="shared" ref="H391:H408" si="75">(D391/B391)*100</f>
        <v>67.777777777777771</v>
      </c>
      <c r="J391">
        <v>90</v>
      </c>
    </row>
    <row r="392" spans="1:10" x14ac:dyDescent="0.25">
      <c r="B392">
        <v>18</v>
      </c>
      <c r="C392" s="53" t="s">
        <v>142</v>
      </c>
      <c r="D392">
        <v>12.2</v>
      </c>
      <c r="H392" s="38">
        <f t="shared" si="75"/>
        <v>67.777777777777771</v>
      </c>
      <c r="J392">
        <v>90</v>
      </c>
    </row>
    <row r="393" spans="1:10" x14ac:dyDescent="0.25">
      <c r="B393">
        <v>18</v>
      </c>
      <c r="C393" s="53" t="s">
        <v>143</v>
      </c>
      <c r="D393">
        <v>12.4</v>
      </c>
      <c r="H393" s="38">
        <f t="shared" si="75"/>
        <v>68.888888888888886</v>
      </c>
      <c r="J393">
        <v>90</v>
      </c>
    </row>
    <row r="394" spans="1:10" x14ac:dyDescent="0.25">
      <c r="B394">
        <v>18</v>
      </c>
      <c r="C394" s="53" t="s">
        <v>144</v>
      </c>
      <c r="D394">
        <v>12.5</v>
      </c>
      <c r="H394" s="38">
        <f t="shared" si="75"/>
        <v>69.444444444444443</v>
      </c>
      <c r="J394">
        <v>90</v>
      </c>
    </row>
    <row r="395" spans="1:10" x14ac:dyDescent="0.25">
      <c r="B395">
        <v>18</v>
      </c>
      <c r="C395" s="53" t="s">
        <v>146</v>
      </c>
      <c r="D395">
        <v>12.7</v>
      </c>
      <c r="H395" s="38">
        <f t="shared" si="75"/>
        <v>70.555555555555543</v>
      </c>
      <c r="J395">
        <v>90</v>
      </c>
    </row>
    <row r="396" spans="1:10" x14ac:dyDescent="0.25">
      <c r="B396">
        <v>18</v>
      </c>
      <c r="C396" s="53" t="s">
        <v>147</v>
      </c>
      <c r="D396">
        <v>13</v>
      </c>
      <c r="H396" s="38">
        <f t="shared" si="75"/>
        <v>72.222222222222214</v>
      </c>
      <c r="J396">
        <v>90</v>
      </c>
    </row>
    <row r="397" spans="1:10" x14ac:dyDescent="0.25">
      <c r="B397">
        <v>18</v>
      </c>
      <c r="C397" s="53" t="s">
        <v>148</v>
      </c>
      <c r="D397">
        <v>13.2</v>
      </c>
      <c r="H397" s="38">
        <f t="shared" si="75"/>
        <v>73.333333333333329</v>
      </c>
      <c r="J397">
        <v>90</v>
      </c>
    </row>
    <row r="398" spans="1:10" x14ac:dyDescent="0.25">
      <c r="B398">
        <v>18</v>
      </c>
      <c r="C398" s="53" t="s">
        <v>149</v>
      </c>
      <c r="D398">
        <v>13.5</v>
      </c>
      <c r="H398" s="38">
        <f t="shared" si="75"/>
        <v>75</v>
      </c>
      <c r="J398">
        <v>90</v>
      </c>
    </row>
    <row r="399" spans="1:10" x14ac:dyDescent="0.25">
      <c r="B399">
        <v>18</v>
      </c>
      <c r="C399" s="53" t="s">
        <v>150</v>
      </c>
      <c r="D399">
        <v>13.6</v>
      </c>
      <c r="H399" s="38">
        <f t="shared" si="75"/>
        <v>75.555555555555557</v>
      </c>
      <c r="J399">
        <v>90</v>
      </c>
    </row>
    <row r="400" spans="1:10" x14ac:dyDescent="0.25">
      <c r="B400">
        <v>18</v>
      </c>
      <c r="C400" s="53" t="s">
        <v>151</v>
      </c>
      <c r="D400">
        <v>13.9</v>
      </c>
      <c r="H400" s="38">
        <f t="shared" si="75"/>
        <v>77.222222222222229</v>
      </c>
      <c r="J400">
        <v>90</v>
      </c>
    </row>
    <row r="401" spans="2:10" x14ac:dyDescent="0.25">
      <c r="B401">
        <v>18</v>
      </c>
      <c r="C401" s="53" t="s">
        <v>152</v>
      </c>
      <c r="D401">
        <v>14</v>
      </c>
      <c r="H401" s="38">
        <f t="shared" si="75"/>
        <v>77.777777777777786</v>
      </c>
      <c r="J401">
        <v>90</v>
      </c>
    </row>
    <row r="402" spans="2:10" x14ac:dyDescent="0.25">
      <c r="B402">
        <v>18</v>
      </c>
      <c r="C402" s="53" t="s">
        <v>153</v>
      </c>
      <c r="D402">
        <v>14.2</v>
      </c>
      <c r="H402" s="38">
        <f t="shared" si="75"/>
        <v>78.888888888888886</v>
      </c>
      <c r="J402">
        <v>90</v>
      </c>
    </row>
    <row r="403" spans="2:10" x14ac:dyDescent="0.25">
      <c r="B403">
        <v>18</v>
      </c>
      <c r="C403" s="53" t="s">
        <v>154</v>
      </c>
      <c r="D403">
        <v>14.9</v>
      </c>
      <c r="H403" s="38">
        <f t="shared" si="75"/>
        <v>82.777777777777786</v>
      </c>
      <c r="J403">
        <v>90</v>
      </c>
    </row>
    <row r="404" spans="2:10" x14ac:dyDescent="0.25">
      <c r="B404">
        <v>18</v>
      </c>
      <c r="C404" s="53" t="s">
        <v>155</v>
      </c>
      <c r="D404">
        <v>15.1</v>
      </c>
      <c r="H404" s="38">
        <f t="shared" si="75"/>
        <v>83.888888888888886</v>
      </c>
      <c r="J404">
        <v>90</v>
      </c>
    </row>
    <row r="405" spans="2:10" x14ac:dyDescent="0.25">
      <c r="B405">
        <v>18</v>
      </c>
      <c r="C405" s="53" t="s">
        <v>156</v>
      </c>
      <c r="D405">
        <v>15.3</v>
      </c>
      <c r="G405" s="8"/>
      <c r="H405" s="38">
        <f t="shared" si="75"/>
        <v>85.000000000000014</v>
      </c>
      <c r="I405" s="38"/>
      <c r="J405">
        <v>90</v>
      </c>
    </row>
    <row r="406" spans="2:10" x14ac:dyDescent="0.25">
      <c r="B406">
        <v>18</v>
      </c>
      <c r="C406" s="53" t="s">
        <v>157</v>
      </c>
      <c r="D406">
        <v>14.6</v>
      </c>
      <c r="G406" s="8"/>
      <c r="H406" s="38">
        <f t="shared" si="75"/>
        <v>81.111111111111114</v>
      </c>
      <c r="I406" s="38"/>
      <c r="J406">
        <v>90</v>
      </c>
    </row>
    <row r="407" spans="2:10" x14ac:dyDescent="0.25">
      <c r="B407">
        <v>18</v>
      </c>
      <c r="C407" s="53" t="s">
        <v>158</v>
      </c>
      <c r="D407">
        <v>14.8</v>
      </c>
      <c r="G407" s="8"/>
      <c r="H407" s="38">
        <f t="shared" si="75"/>
        <v>82.222222222222229</v>
      </c>
      <c r="I407" s="38"/>
      <c r="J407">
        <v>90</v>
      </c>
    </row>
    <row r="408" spans="2:10" x14ac:dyDescent="0.25">
      <c r="B408">
        <v>18</v>
      </c>
      <c r="C408" s="53" t="s">
        <v>159</v>
      </c>
      <c r="D408">
        <v>14.99</v>
      </c>
      <c r="G408" s="8"/>
      <c r="H408" s="38">
        <f t="shared" si="75"/>
        <v>83.277777777777786</v>
      </c>
      <c r="I408" s="38"/>
      <c r="J408">
        <v>90</v>
      </c>
    </row>
    <row r="409" spans="2:10" x14ac:dyDescent="0.25">
      <c r="B409">
        <v>18</v>
      </c>
      <c r="C409" s="53" t="s">
        <v>160</v>
      </c>
      <c r="D409" s="8">
        <f>'Data Collection Sheet'!CF87</f>
        <v>15.1</v>
      </c>
      <c r="G409" s="8"/>
      <c r="H409" s="38">
        <f t="shared" ref="H409:H414" si="76">(D409/B409)*100</f>
        <v>83.888888888888886</v>
      </c>
      <c r="I409" s="38"/>
      <c r="J409">
        <v>90</v>
      </c>
    </row>
    <row r="410" spans="2:10" x14ac:dyDescent="0.25">
      <c r="B410">
        <v>18</v>
      </c>
      <c r="C410" s="53" t="s">
        <v>161</v>
      </c>
      <c r="D410" s="8">
        <f>'Data Collection Sheet'!CG87</f>
        <v>15.27</v>
      </c>
      <c r="G410" s="8"/>
      <c r="H410" s="38">
        <f t="shared" si="76"/>
        <v>84.833333333333329</v>
      </c>
      <c r="I410" s="38"/>
      <c r="J410">
        <v>90</v>
      </c>
    </row>
    <row r="411" spans="2:10" x14ac:dyDescent="0.25">
      <c r="B411">
        <v>18</v>
      </c>
      <c r="C411" s="53" t="s">
        <v>162</v>
      </c>
      <c r="D411" s="8">
        <f>'Data Collection Sheet'!CH87</f>
        <v>15.4</v>
      </c>
      <c r="G411" s="8"/>
      <c r="H411" s="38">
        <f t="shared" si="76"/>
        <v>85.555555555555557</v>
      </c>
      <c r="I411" s="38"/>
      <c r="J411">
        <v>90</v>
      </c>
    </row>
    <row r="412" spans="2:10" x14ac:dyDescent="0.25">
      <c r="B412">
        <v>18</v>
      </c>
      <c r="C412" s="53" t="s">
        <v>163</v>
      </c>
      <c r="D412" s="8">
        <f>'Data Collection Sheet'!CI87</f>
        <v>15.56</v>
      </c>
      <c r="G412" s="8"/>
      <c r="H412" s="38">
        <f t="shared" si="76"/>
        <v>86.444444444444443</v>
      </c>
      <c r="I412" s="38"/>
      <c r="J412">
        <v>90</v>
      </c>
    </row>
    <row r="413" spans="2:10" x14ac:dyDescent="0.25">
      <c r="B413">
        <v>18</v>
      </c>
      <c r="C413" s="53" t="s">
        <v>164</v>
      </c>
      <c r="D413" s="8">
        <f>'Data Collection Sheet'!CJ87</f>
        <v>15.7</v>
      </c>
      <c r="G413" s="8"/>
      <c r="H413" s="38">
        <f t="shared" si="76"/>
        <v>87.222222222222229</v>
      </c>
      <c r="I413" s="38"/>
      <c r="J413">
        <v>90</v>
      </c>
    </row>
    <row r="414" spans="2:10" x14ac:dyDescent="0.25">
      <c r="B414">
        <v>18</v>
      </c>
      <c r="C414" s="53" t="s">
        <v>165</v>
      </c>
      <c r="D414" s="8">
        <f>'Data Collection Sheet'!CK87</f>
        <v>15.7</v>
      </c>
      <c r="G414" s="8"/>
      <c r="H414" s="38">
        <f t="shared" si="76"/>
        <v>87.222222222222229</v>
      </c>
      <c r="I414" s="38"/>
      <c r="J414">
        <v>90</v>
      </c>
    </row>
    <row r="415" spans="2:10" x14ac:dyDescent="0.25">
      <c r="B415">
        <v>18</v>
      </c>
      <c r="C415" s="53" t="s">
        <v>166</v>
      </c>
      <c r="D415" s="8">
        <f>'Data Collection Sheet'!CL87</f>
        <v>16</v>
      </c>
      <c r="G415" s="8"/>
      <c r="H415" s="38">
        <f>(D415/B415)*100</f>
        <v>88.888888888888886</v>
      </c>
      <c r="I415" s="38"/>
      <c r="J415">
        <v>90</v>
      </c>
    </row>
    <row r="416" spans="2:10" x14ac:dyDescent="0.25">
      <c r="B416">
        <v>18</v>
      </c>
      <c r="C416" s="53" t="s">
        <v>167</v>
      </c>
      <c r="D416" s="8">
        <f>'Data Collection Sheet'!CM87</f>
        <v>16.05</v>
      </c>
      <c r="G416" s="8"/>
      <c r="H416" s="38">
        <f>(D416/B416)*100</f>
        <v>89.166666666666671</v>
      </c>
      <c r="I416" s="38"/>
      <c r="J416">
        <v>90</v>
      </c>
    </row>
    <row r="417" spans="2:10" x14ac:dyDescent="0.25">
      <c r="B417">
        <v>18</v>
      </c>
      <c r="C417" s="53" t="s">
        <v>168</v>
      </c>
      <c r="D417" s="8">
        <f>'Data Collection Sheet'!CN87</f>
        <v>16.29</v>
      </c>
      <c r="G417" s="8"/>
      <c r="H417" s="38">
        <f>(D417/B417)*100</f>
        <v>90.499999999999986</v>
      </c>
      <c r="I417" s="38"/>
      <c r="J417">
        <v>90</v>
      </c>
    </row>
    <row r="418" spans="2:10" x14ac:dyDescent="0.25">
      <c r="B418">
        <v>18</v>
      </c>
      <c r="C418" s="53" t="s">
        <v>169</v>
      </c>
      <c r="D418" s="8">
        <f>'Data Collection Sheet'!CO87</f>
        <v>16.420000000000002</v>
      </c>
      <c r="G418" s="8"/>
      <c r="H418" s="38">
        <f t="shared" ref="H418:H419" si="77">(D418/B418)*100</f>
        <v>91.222222222222229</v>
      </c>
      <c r="I418" s="38"/>
      <c r="J418">
        <v>90</v>
      </c>
    </row>
    <row r="419" spans="2:10" x14ac:dyDescent="0.25">
      <c r="B419">
        <v>18</v>
      </c>
      <c r="C419" s="53" t="s">
        <v>170</v>
      </c>
      <c r="D419" s="8">
        <f>'Data Collection Sheet'!CP87</f>
        <v>16.54</v>
      </c>
      <c r="G419" s="8"/>
      <c r="H419" s="38">
        <f t="shared" si="77"/>
        <v>91.888888888888886</v>
      </c>
      <c r="I419" s="38"/>
      <c r="J419">
        <v>90</v>
      </c>
    </row>
    <row r="420" spans="2:10" x14ac:dyDescent="0.25">
      <c r="B420">
        <v>18</v>
      </c>
      <c r="C420" s="53" t="s">
        <v>171</v>
      </c>
      <c r="D420" s="8">
        <f>'Data Collection Sheet'!CQ87</f>
        <v>16.47</v>
      </c>
      <c r="G420" s="8"/>
      <c r="H420" s="38">
        <f t="shared" ref="H420:H421" si="78">(D420/B420)*100</f>
        <v>91.499999999999986</v>
      </c>
      <c r="I420" s="38"/>
      <c r="J420">
        <v>90</v>
      </c>
    </row>
    <row r="421" spans="2:10" x14ac:dyDescent="0.25">
      <c r="B421">
        <v>18</v>
      </c>
      <c r="C421" s="53" t="s">
        <v>172</v>
      </c>
      <c r="D421" s="8">
        <f>'Data Collection Sheet'!CR87</f>
        <v>16.47</v>
      </c>
      <c r="G421" s="8"/>
      <c r="H421" s="38">
        <f t="shared" si="78"/>
        <v>91.499999999999986</v>
      </c>
      <c r="I421" s="38"/>
      <c r="J421">
        <v>90</v>
      </c>
    </row>
    <row r="422" spans="2:10" x14ac:dyDescent="0.25">
      <c r="B422">
        <v>18</v>
      </c>
      <c r="C422" s="53" t="s">
        <v>173</v>
      </c>
      <c r="D422" s="8">
        <f>'Data Collection Sheet'!CS87</f>
        <v>16.47</v>
      </c>
      <c r="G422" s="8"/>
      <c r="H422" s="38">
        <f t="shared" ref="H422" si="79">(D422/B422)*100</f>
        <v>91.499999999999986</v>
      </c>
      <c r="I422" s="38"/>
      <c r="J422">
        <v>90</v>
      </c>
    </row>
    <row r="423" spans="2:10" x14ac:dyDescent="0.25">
      <c r="B423">
        <v>18</v>
      </c>
      <c r="C423" s="53" t="s">
        <v>174</v>
      </c>
      <c r="D423" s="8">
        <f>'Data Collection Sheet'!CT87</f>
        <v>0</v>
      </c>
      <c r="G423" s="8"/>
      <c r="H423" s="38">
        <f t="shared" ref="H423" si="80">(D423/B423)*100</f>
        <v>0</v>
      </c>
      <c r="I423" s="38"/>
      <c r="J423">
        <v>90</v>
      </c>
    </row>
    <row r="424" spans="2:10" x14ac:dyDescent="0.25">
      <c r="B424">
        <v>18</v>
      </c>
      <c r="C424" s="53" t="s">
        <v>175</v>
      </c>
      <c r="D424" s="8">
        <f>'Data Collection Sheet'!CU87</f>
        <v>0</v>
      </c>
      <c r="G424" s="8">
        <f t="shared" ref="G424" si="81">D424</f>
        <v>0</v>
      </c>
      <c r="H424" s="38">
        <f t="shared" ref="H424" si="82">(D424/B424)*100</f>
        <v>0</v>
      </c>
      <c r="I424" s="38">
        <f t="shared" ref="I424:I426" si="83">(G424/B424)*100</f>
        <v>0</v>
      </c>
      <c r="J424">
        <v>90</v>
      </c>
    </row>
    <row r="425" spans="2:10" x14ac:dyDescent="0.25">
      <c r="B425">
        <v>18</v>
      </c>
      <c r="C425" s="53" t="s">
        <v>176</v>
      </c>
      <c r="D425" s="8">
        <f>'Data Collection Sheet'!CV87</f>
        <v>0</v>
      </c>
      <c r="G425" s="8">
        <f t="shared" ref="G425:G426" si="84">G424*(1+(1.15^(1/12)-1))</f>
        <v>0</v>
      </c>
      <c r="I425" s="38">
        <f t="shared" si="83"/>
        <v>0</v>
      </c>
      <c r="J425">
        <v>90</v>
      </c>
    </row>
    <row r="426" spans="2:10" x14ac:dyDescent="0.25">
      <c r="B426">
        <v>18</v>
      </c>
      <c r="C426" s="53" t="s">
        <v>177</v>
      </c>
      <c r="D426" s="8">
        <f>'Data Collection Sheet'!CW87</f>
        <v>0</v>
      </c>
      <c r="G426" s="8">
        <f t="shared" si="84"/>
        <v>0</v>
      </c>
      <c r="I426" s="38">
        <f t="shared" si="83"/>
        <v>0</v>
      </c>
      <c r="J426">
        <v>90</v>
      </c>
    </row>
    <row r="427" spans="2:10" x14ac:dyDescent="0.25">
      <c r="B427">
        <v>18</v>
      </c>
      <c r="C427" s="53" t="s">
        <v>178</v>
      </c>
      <c r="D427" s="8">
        <f>'Data Collection Sheet'!CW88</f>
        <v>0</v>
      </c>
      <c r="G427" s="8">
        <f>G426*(1+(1.15^(1/12)-1))</f>
        <v>0</v>
      </c>
      <c r="I427" s="38">
        <f>(G427/B427)*100</f>
        <v>0</v>
      </c>
      <c r="J427">
        <v>90</v>
      </c>
    </row>
    <row r="428" spans="2:10" x14ac:dyDescent="0.25">
      <c r="B428">
        <v>19</v>
      </c>
      <c r="C428" s="53" t="s">
        <v>179</v>
      </c>
      <c r="D428" s="8">
        <f>'Data Collection Sheet'!CW89</f>
        <v>0</v>
      </c>
      <c r="G428" s="8">
        <f>G427*(1+(1.15^(1/12)-1))</f>
        <v>0</v>
      </c>
      <c r="I428" s="38">
        <f>(G428/B428)*100</f>
        <v>0</v>
      </c>
      <c r="J428">
        <v>90</v>
      </c>
    </row>
  </sheetData>
  <phoneticPr fontId="9" type="noConversion"/>
  <conditionalFormatting sqref="I4:I124">
    <cfRule type="cellIs" dxfId="28" priority="4" operator="greaterThan">
      <formula>90</formula>
    </cfRule>
  </conditionalFormatting>
  <conditionalFormatting sqref="I146:I198">
    <cfRule type="cellIs" dxfId="27" priority="3" operator="greaterThan">
      <formula>75</formula>
    </cfRule>
  </conditionalFormatting>
  <conditionalFormatting sqref="I222:I286">
    <cfRule type="cellIs" dxfId="26" priority="2" operator="greaterThan">
      <formula>75</formula>
    </cfRule>
  </conditionalFormatting>
  <conditionalFormatting sqref="I317:I333">
    <cfRule type="cellIs" dxfId="25" priority="1" operator="greaterThan">
      <formula>75</formula>
    </cfRule>
  </conditionalFormatting>
  <pageMargins left="0.7" right="0.7" top="0.75" bottom="0.75" header="0.3" footer="0.3"/>
  <pageSetup paperSize="9" orientation="portrait" r:id="rId1"/>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0C61A6-8E94-44EB-9787-B171CBEC9C4B}">
  <sheetPr codeName="Sheet2"/>
  <dimension ref="A1:J80"/>
  <sheetViews>
    <sheetView zoomScale="80" zoomScaleNormal="80" workbookViewId="0">
      <pane ySplit="1" topLeftCell="A23" activePane="bottomLeft" state="frozen"/>
      <selection pane="bottomLeft" activeCell="D57" sqref="D57"/>
    </sheetView>
  </sheetViews>
  <sheetFormatPr defaultRowHeight="15" x14ac:dyDescent="0.25"/>
  <cols>
    <col min="1" max="1" width="63" customWidth="1"/>
    <col min="2" max="2" width="13.7109375" bestFit="1" customWidth="1"/>
    <col min="3" max="4" width="8.7109375" bestFit="1" customWidth="1"/>
    <col min="5" max="5" width="12.42578125" customWidth="1"/>
    <col min="6" max="6" width="11.140625" customWidth="1"/>
    <col min="7" max="7" width="15.7109375" bestFit="1" customWidth="1"/>
    <col min="8" max="8" width="10.140625" bestFit="1" customWidth="1"/>
    <col min="9" max="9" width="13.140625" bestFit="1" customWidth="1"/>
    <col min="10" max="11" width="8.7109375" bestFit="1" customWidth="1"/>
    <col min="12" max="12" width="17.7109375" bestFit="1" customWidth="1"/>
    <col min="13" max="13" width="31.7109375" bestFit="1" customWidth="1"/>
    <col min="14" max="14" width="45.7109375" bestFit="1" customWidth="1"/>
  </cols>
  <sheetData>
    <row r="1" spans="1:10" x14ac:dyDescent="0.25">
      <c r="A1" s="61" t="s">
        <v>183</v>
      </c>
      <c r="B1" s="61" t="s">
        <v>119</v>
      </c>
      <c r="C1" s="61" t="s">
        <v>2</v>
      </c>
      <c r="D1" s="61" t="s">
        <v>120</v>
      </c>
      <c r="E1" s="61" t="s">
        <v>121</v>
      </c>
      <c r="F1" s="61" t="s">
        <v>122</v>
      </c>
      <c r="G1" s="61" t="s">
        <v>123</v>
      </c>
      <c r="H1" s="61" t="s">
        <v>124</v>
      </c>
      <c r="I1" s="61" t="s">
        <v>125</v>
      </c>
      <c r="J1" s="61" t="s">
        <v>126</v>
      </c>
    </row>
    <row r="2" spans="1:10" x14ac:dyDescent="0.25">
      <c r="A2" t="s">
        <v>184</v>
      </c>
      <c r="B2" s="38">
        <f>('Data Collection Sheet'!G25+'Data Collection Sheet'!G55)</f>
        <v>130.5</v>
      </c>
      <c r="C2" s="57">
        <v>44562</v>
      </c>
      <c r="D2" s="38">
        <f>('Data Collection Sheet'!I24+'Data Collection Sheet'!I54)</f>
        <v>103.73580000000001</v>
      </c>
      <c r="E2" s="38"/>
      <c r="F2" s="38"/>
      <c r="H2" s="38">
        <f t="shared" ref="H2:H38" si="0">(D2/B2)*100</f>
        <v>79.491034482758621</v>
      </c>
      <c r="I2" s="38"/>
      <c r="J2">
        <v>90</v>
      </c>
    </row>
    <row r="3" spans="1:10" x14ac:dyDescent="0.25">
      <c r="B3" s="38">
        <v>128.24</v>
      </c>
      <c r="C3" s="57">
        <v>44593</v>
      </c>
      <c r="D3" s="38">
        <f>('Data Collection Sheet'!J24+'Data Collection Sheet'!J54)</f>
        <v>100.557</v>
      </c>
      <c r="E3" s="38"/>
      <c r="F3" s="38"/>
      <c r="H3" s="38">
        <f t="shared" si="0"/>
        <v>78.413131628197135</v>
      </c>
      <c r="I3" s="38"/>
      <c r="J3">
        <v>90</v>
      </c>
    </row>
    <row r="4" spans="1:10" x14ac:dyDescent="0.25">
      <c r="B4" s="38">
        <v>128.24</v>
      </c>
      <c r="C4" s="57">
        <v>44621</v>
      </c>
      <c r="D4" s="38">
        <f>('Data Collection Sheet'!K24+'Data Collection Sheet'!K54)</f>
        <v>112.279</v>
      </c>
      <c r="E4" s="38"/>
      <c r="F4" s="38"/>
      <c r="G4" s="38"/>
      <c r="H4" s="38">
        <f t="shared" si="0"/>
        <v>87.553805364940729</v>
      </c>
      <c r="I4" s="38"/>
      <c r="J4">
        <v>90</v>
      </c>
    </row>
    <row r="5" spans="1:10" x14ac:dyDescent="0.25">
      <c r="A5" t="s">
        <v>185</v>
      </c>
      <c r="B5" s="38">
        <f>('Data Collection Sheet'!G25+'Data Collection Sheet'!G55+'Data Collection Sheet'!G69)</f>
        <v>168.05</v>
      </c>
      <c r="C5" s="57">
        <v>44652</v>
      </c>
      <c r="D5" s="8">
        <f>'Data Collection Sheet'!L24+'Data Collection Sheet'!L54+'Data Collection Sheet'!L68</f>
        <v>112.96</v>
      </c>
      <c r="G5" s="38"/>
      <c r="H5" s="38">
        <f t="shared" si="0"/>
        <v>67.218089854210049</v>
      </c>
      <c r="I5" s="38"/>
      <c r="J5">
        <v>90</v>
      </c>
    </row>
    <row r="6" spans="1:10" x14ac:dyDescent="0.25">
      <c r="A6" t="s">
        <v>186</v>
      </c>
      <c r="B6" s="38">
        <v>165.09</v>
      </c>
      <c r="C6" s="57">
        <v>44682</v>
      </c>
      <c r="D6" s="8">
        <f>'Data Collection Sheet'!M24+'Data Collection Sheet'!M54+'Data Collection Sheet'!M68</f>
        <v>111.12</v>
      </c>
      <c r="E6">
        <v>1</v>
      </c>
      <c r="G6" s="38"/>
      <c r="H6" s="38">
        <f t="shared" si="0"/>
        <v>67.308740686898062</v>
      </c>
      <c r="I6" s="38"/>
      <c r="J6">
        <v>90</v>
      </c>
    </row>
    <row r="7" spans="1:10" x14ac:dyDescent="0.25">
      <c r="B7" s="38">
        <v>165.09</v>
      </c>
      <c r="C7" s="57">
        <v>44713</v>
      </c>
      <c r="D7" s="8">
        <f>'Data Collection Sheet'!N24+'Data Collection Sheet'!N54+'Data Collection Sheet'!N68</f>
        <v>110.53999999999999</v>
      </c>
      <c r="G7" s="38"/>
      <c r="H7" s="38">
        <f t="shared" si="0"/>
        <v>66.95741716639408</v>
      </c>
      <c r="I7" s="38"/>
      <c r="J7">
        <v>90</v>
      </c>
    </row>
    <row r="8" spans="1:10" x14ac:dyDescent="0.25">
      <c r="B8" s="38">
        <v>165.09</v>
      </c>
      <c r="C8" s="57">
        <v>44743</v>
      </c>
      <c r="D8" s="8">
        <f>'Data Collection Sheet'!O24+'Data Collection Sheet'!O54+'Data Collection Sheet'!O68</f>
        <v>111.55199999999999</v>
      </c>
      <c r="G8" s="38"/>
      <c r="H8" s="38">
        <f t="shared" si="0"/>
        <v>67.570416136652739</v>
      </c>
      <c r="I8" s="38"/>
      <c r="J8">
        <v>90</v>
      </c>
    </row>
    <row r="9" spans="1:10" x14ac:dyDescent="0.25">
      <c r="A9" s="67" t="s">
        <v>187</v>
      </c>
      <c r="B9" s="38">
        <v>165.09</v>
      </c>
      <c r="C9" s="57">
        <v>44774</v>
      </c>
      <c r="D9" s="8">
        <f>'Data Collection Sheet'!P24+'Data Collection Sheet'!P54+'Data Collection Sheet'!P68</f>
        <v>92.250000000000014</v>
      </c>
      <c r="G9" s="8"/>
      <c r="H9" s="38">
        <f t="shared" si="0"/>
        <v>55.87861166636381</v>
      </c>
      <c r="I9" s="38"/>
      <c r="J9">
        <v>90</v>
      </c>
    </row>
    <row r="10" spans="1:10" x14ac:dyDescent="0.25">
      <c r="B10" s="38">
        <v>165.09</v>
      </c>
      <c r="C10" s="57">
        <v>44805</v>
      </c>
      <c r="D10" s="8">
        <f>'Data Collection Sheet'!Q24+'Data Collection Sheet'!Q54+'Data Collection Sheet'!Q68</f>
        <v>93.390000000000015</v>
      </c>
      <c r="G10" s="38"/>
      <c r="H10" s="38">
        <f t="shared" si="0"/>
        <v>56.569144103216438</v>
      </c>
      <c r="I10" s="38"/>
      <c r="J10">
        <v>90</v>
      </c>
    </row>
    <row r="11" spans="1:10" x14ac:dyDescent="0.25">
      <c r="B11" s="38">
        <v>165.09</v>
      </c>
      <c r="C11" s="57">
        <v>44835</v>
      </c>
      <c r="D11" s="8">
        <f>'Data Collection Sheet'!R24+'Data Collection Sheet'!R54+'Data Collection Sheet'!R68</f>
        <v>95.46</v>
      </c>
      <c r="G11" s="38"/>
      <c r="H11" s="38">
        <f t="shared" si="0"/>
        <v>57.823005633290926</v>
      </c>
      <c r="I11" s="38"/>
      <c r="J11">
        <v>90</v>
      </c>
    </row>
    <row r="12" spans="1:10" x14ac:dyDescent="0.25">
      <c r="A12" t="s">
        <v>188</v>
      </c>
      <c r="B12" s="38">
        <v>165.09</v>
      </c>
      <c r="C12" s="57">
        <v>44866</v>
      </c>
      <c r="D12" s="8">
        <f>'Data Collection Sheet'!S24+'Data Collection Sheet'!S54+'Data Collection Sheet'!S68</f>
        <v>98.65</v>
      </c>
      <c r="G12" s="38"/>
      <c r="H12" s="38">
        <f t="shared" si="0"/>
        <v>59.755284996062755</v>
      </c>
      <c r="I12" s="38"/>
      <c r="J12">
        <v>90</v>
      </c>
    </row>
    <row r="13" spans="1:10" x14ac:dyDescent="0.25">
      <c r="A13" t="s">
        <v>189</v>
      </c>
      <c r="B13" s="38">
        <v>165.09</v>
      </c>
      <c r="C13" s="57">
        <v>44896</v>
      </c>
      <c r="D13" s="8">
        <f>'Data Collection Sheet'!T24+'Data Collection Sheet'!T54+'Data Collection Sheet'!T68</f>
        <v>115.89060000000001</v>
      </c>
      <c r="G13" s="38"/>
      <c r="H13" s="38">
        <f t="shared" si="0"/>
        <v>70.198437216063965</v>
      </c>
      <c r="I13" s="38"/>
      <c r="J13">
        <v>90</v>
      </c>
    </row>
    <row r="14" spans="1:10" x14ac:dyDescent="0.25">
      <c r="B14" s="38">
        <v>165.09</v>
      </c>
      <c r="C14" s="57">
        <v>44927</v>
      </c>
      <c r="D14" s="8">
        <f>'Data Collection Sheet'!U24+'Data Collection Sheet'!U54+'Data Collection Sheet'!U68</f>
        <v>119.8</v>
      </c>
      <c r="G14" s="38"/>
      <c r="H14" s="38">
        <f t="shared" si="0"/>
        <v>72.56647889030225</v>
      </c>
      <c r="I14" s="38"/>
      <c r="J14">
        <v>90</v>
      </c>
    </row>
    <row r="15" spans="1:10" x14ac:dyDescent="0.25">
      <c r="A15" t="s">
        <v>190</v>
      </c>
      <c r="B15" s="38">
        <v>165.09</v>
      </c>
      <c r="C15" s="57">
        <v>44958</v>
      </c>
      <c r="D15" s="8">
        <f>'Data Collection Sheet'!V24+'Data Collection Sheet'!V54+'Data Collection Sheet'!V68</f>
        <v>128.9</v>
      </c>
      <c r="G15" s="38"/>
      <c r="H15" s="38">
        <f t="shared" si="0"/>
        <v>78.078623780967959</v>
      </c>
      <c r="I15" s="38"/>
      <c r="J15">
        <v>90</v>
      </c>
    </row>
    <row r="16" spans="1:10" x14ac:dyDescent="0.25">
      <c r="B16" s="38">
        <v>165.09</v>
      </c>
      <c r="C16" s="57">
        <v>44986</v>
      </c>
      <c r="D16" s="8">
        <f>'Data Collection Sheet'!W24+'Data Collection Sheet'!W54+'Data Collection Sheet'!W68</f>
        <v>126.28999999999998</v>
      </c>
      <c r="G16" s="38"/>
      <c r="H16" s="38">
        <f t="shared" si="0"/>
        <v>76.49766793870009</v>
      </c>
      <c r="I16" s="38"/>
      <c r="J16">
        <v>90</v>
      </c>
    </row>
    <row r="17" spans="1:10" x14ac:dyDescent="0.25">
      <c r="B17" s="38">
        <v>165.09</v>
      </c>
      <c r="C17" s="57">
        <v>45017</v>
      </c>
      <c r="D17" s="8">
        <f>'Data Collection Sheet'!X24+'Data Collection Sheet'!X54+'Data Collection Sheet'!X68</f>
        <v>126.98000000000002</v>
      </c>
      <c r="G17" s="38"/>
      <c r="H17" s="38">
        <f t="shared" si="0"/>
        <v>76.915621782058281</v>
      </c>
      <c r="I17" s="38"/>
      <c r="J17">
        <v>90</v>
      </c>
    </row>
    <row r="18" spans="1:10" x14ac:dyDescent="0.25">
      <c r="A18" t="s">
        <v>191</v>
      </c>
      <c r="B18" s="38">
        <v>165.09</v>
      </c>
      <c r="C18" s="57">
        <v>45047</v>
      </c>
      <c r="D18" s="8">
        <f>'Data Collection Sheet'!Y24+'Data Collection Sheet'!Y54+'Data Collection Sheet'!Y68</f>
        <v>109.41999999999999</v>
      </c>
      <c r="G18" s="38"/>
      <c r="H18" s="38">
        <f t="shared" si="0"/>
        <v>66.27899933369676</v>
      </c>
      <c r="I18" s="38"/>
      <c r="J18">
        <v>90</v>
      </c>
    </row>
    <row r="19" spans="1:10" x14ac:dyDescent="0.25">
      <c r="A19" s="61"/>
      <c r="B19" s="38">
        <v>165.09</v>
      </c>
      <c r="C19" s="57">
        <v>45078</v>
      </c>
      <c r="D19" s="8">
        <f>'Data Collection Sheet'!Z24+'Data Collection Sheet'!Z54+'Data Collection Sheet'!Z68</f>
        <v>109.268</v>
      </c>
      <c r="G19" s="38"/>
      <c r="H19" s="38">
        <f t="shared" si="0"/>
        <v>66.186928342116431</v>
      </c>
      <c r="I19" s="38"/>
      <c r="J19">
        <v>90</v>
      </c>
    </row>
    <row r="20" spans="1:10" x14ac:dyDescent="0.25">
      <c r="B20" s="38">
        <v>165.09</v>
      </c>
      <c r="C20" s="57">
        <v>45108</v>
      </c>
      <c r="D20" s="8">
        <f>'Data Collection Sheet'!AA24+'Data Collection Sheet'!AA54+'Data Collection Sheet'!AA68</f>
        <v>111.39</v>
      </c>
      <c r="G20" s="38"/>
      <c r="H20" s="38">
        <f t="shared" si="0"/>
        <v>67.472287842994731</v>
      </c>
      <c r="I20" s="38"/>
      <c r="J20">
        <v>90</v>
      </c>
    </row>
    <row r="21" spans="1:10" x14ac:dyDescent="0.25">
      <c r="B21" s="38">
        <v>165.09</v>
      </c>
      <c r="C21" s="57">
        <v>45139</v>
      </c>
      <c r="D21" s="8">
        <f>'Data Collection Sheet'!AB24+'Data Collection Sheet'!AB54+'Data Collection Sheet'!AB68</f>
        <v>113.54000000000002</v>
      </c>
      <c r="G21" s="38"/>
      <c r="H21" s="38">
        <f t="shared" si="0"/>
        <v>68.774607789690478</v>
      </c>
      <c r="I21" s="38"/>
      <c r="J21">
        <v>90</v>
      </c>
    </row>
    <row r="22" spans="1:10" x14ac:dyDescent="0.25">
      <c r="B22" s="38">
        <v>165.09</v>
      </c>
      <c r="C22" s="57">
        <v>45170</v>
      </c>
      <c r="D22" s="8">
        <f>'Data Collection Sheet'!AC24+'Data Collection Sheet'!AC54+'Data Collection Sheet'!AC68</f>
        <v>114.47000000000001</v>
      </c>
      <c r="G22" s="38"/>
      <c r="H22" s="38">
        <f t="shared" si="0"/>
        <v>69.337936882912359</v>
      </c>
      <c r="I22" s="38"/>
      <c r="J22">
        <v>90</v>
      </c>
    </row>
    <row r="23" spans="1:10" x14ac:dyDescent="0.25">
      <c r="B23" s="38">
        <v>165.1</v>
      </c>
      <c r="C23" s="57">
        <v>45200</v>
      </c>
      <c r="D23" s="8">
        <f>'Data Collection Sheet'!AD24+'Data Collection Sheet'!AD54+'Data Collection Sheet'!AD68</f>
        <v>114.53</v>
      </c>
      <c r="G23" s="38"/>
      <c r="H23" s="38">
        <f t="shared" si="0"/>
        <v>69.370078740157481</v>
      </c>
      <c r="I23" s="38"/>
      <c r="J23">
        <v>90</v>
      </c>
    </row>
    <row r="24" spans="1:10" x14ac:dyDescent="0.25">
      <c r="B24" s="38">
        <v>165.1</v>
      </c>
      <c r="C24" s="57">
        <v>45231</v>
      </c>
      <c r="D24" s="8">
        <f>'Data Collection Sheet'!AE24+'Data Collection Sheet'!AE54+'Data Collection Sheet'!AE68</f>
        <v>117.82</v>
      </c>
      <c r="G24" s="38"/>
      <c r="H24" s="38">
        <f t="shared" si="0"/>
        <v>71.362810417928529</v>
      </c>
      <c r="I24" s="38"/>
      <c r="J24">
        <v>90</v>
      </c>
    </row>
    <row r="25" spans="1:10" x14ac:dyDescent="0.25">
      <c r="B25" s="38">
        <v>165.1</v>
      </c>
      <c r="C25" s="57">
        <v>45261</v>
      </c>
      <c r="D25" s="8">
        <f>'Data Collection Sheet'!AF24+'Data Collection Sheet'!AF54+'Data Collection Sheet'!AF68</f>
        <v>123.88999999999999</v>
      </c>
      <c r="G25" s="38"/>
      <c r="H25" s="38">
        <f t="shared" si="0"/>
        <v>75.039370078740149</v>
      </c>
      <c r="I25" s="38"/>
      <c r="J25">
        <v>90</v>
      </c>
    </row>
    <row r="26" spans="1:10" x14ac:dyDescent="0.25">
      <c r="B26" s="38">
        <v>165.1</v>
      </c>
      <c r="C26" s="57">
        <v>45292</v>
      </c>
      <c r="D26" s="8">
        <f>'Data Collection Sheet'!AG24+'Data Collection Sheet'!AG54+'Data Collection Sheet'!AG68</f>
        <v>125.96000000000001</v>
      </c>
      <c r="G26" s="38"/>
      <c r="H26" s="38">
        <f t="shared" si="0"/>
        <v>76.293155663234415</v>
      </c>
      <c r="I26" s="38"/>
      <c r="J26">
        <v>90</v>
      </c>
    </row>
    <row r="27" spans="1:10" x14ac:dyDescent="0.25">
      <c r="A27" t="s">
        <v>192</v>
      </c>
      <c r="B27" s="38">
        <v>165.1</v>
      </c>
      <c r="C27" s="57">
        <v>45323</v>
      </c>
      <c r="D27" s="8">
        <f>'Data Collection Sheet'!AH24+'Data Collection Sheet'!AH54+'Data Collection Sheet'!AH68</f>
        <v>126.25999999999998</v>
      </c>
      <c r="E27">
        <v>1</v>
      </c>
      <c r="G27" s="38"/>
      <c r="H27" s="38">
        <f t="shared" si="0"/>
        <v>76.474863718958204</v>
      </c>
      <c r="I27" s="38"/>
      <c r="J27">
        <v>90</v>
      </c>
    </row>
    <row r="28" spans="1:10" x14ac:dyDescent="0.25">
      <c r="A28" s="75" t="s">
        <v>193</v>
      </c>
      <c r="B28" s="38">
        <v>165.1</v>
      </c>
      <c r="C28" s="57">
        <v>45352</v>
      </c>
      <c r="D28" s="8">
        <f>'Data Collection Sheet'!AI24+'Data Collection Sheet'!AI54+'Data Collection Sheet'!AI68</f>
        <v>123.43</v>
      </c>
      <c r="E28" s="50">
        <v>9</v>
      </c>
      <c r="G28" s="38"/>
      <c r="H28" s="38">
        <f t="shared" si="0"/>
        <v>74.760751059963667</v>
      </c>
      <c r="I28" s="38"/>
      <c r="J28">
        <v>90</v>
      </c>
    </row>
    <row r="29" spans="1:10" x14ac:dyDescent="0.25">
      <c r="B29" s="38">
        <v>165.1</v>
      </c>
      <c r="C29" s="57">
        <v>45383</v>
      </c>
      <c r="D29" s="8">
        <f>'Data Collection Sheet'!AJ24+'Data Collection Sheet'!AJ54+'Data Collection Sheet'!AJ68</f>
        <v>125.36</v>
      </c>
      <c r="G29" s="38"/>
      <c r="H29" s="38">
        <f t="shared" si="0"/>
        <v>75.929739551786795</v>
      </c>
      <c r="I29" s="38"/>
      <c r="J29">
        <v>90</v>
      </c>
    </row>
    <row r="30" spans="1:10" x14ac:dyDescent="0.25">
      <c r="A30" t="s">
        <v>313</v>
      </c>
      <c r="B30" s="38">
        <v>165.1</v>
      </c>
      <c r="C30" s="57">
        <v>45413</v>
      </c>
      <c r="D30" s="8">
        <f>'Data Collection Sheet'!AK24+'Data Collection Sheet'!AK54+'Data Collection Sheet'!AK68</f>
        <v>123.04999999999998</v>
      </c>
      <c r="G30" s="38"/>
      <c r="H30" s="38">
        <f t="shared" si="0"/>
        <v>74.530587522713503</v>
      </c>
      <c r="I30" s="38"/>
      <c r="J30">
        <v>90</v>
      </c>
    </row>
    <row r="31" spans="1:10" x14ac:dyDescent="0.25">
      <c r="A31" t="s">
        <v>314</v>
      </c>
      <c r="B31" s="38">
        <v>165.1</v>
      </c>
      <c r="C31" s="57">
        <v>45444</v>
      </c>
      <c r="D31" s="8">
        <f>'Data Collection Sheet'!AL24+'Data Collection Sheet'!AL54+'Data Collection Sheet'!AL68</f>
        <v>131.27000000000001</v>
      </c>
      <c r="G31" s="38"/>
      <c r="H31" s="38">
        <f t="shared" si="0"/>
        <v>79.509388249545736</v>
      </c>
      <c r="I31" s="38"/>
      <c r="J31">
        <v>90</v>
      </c>
    </row>
    <row r="32" spans="1:10" x14ac:dyDescent="0.25">
      <c r="B32" s="38">
        <v>165.1</v>
      </c>
      <c r="C32" s="57">
        <v>45474</v>
      </c>
      <c r="D32" s="8">
        <f>'Data Collection Sheet'!AM24+'Data Collection Sheet'!AM54+'Data Collection Sheet'!AM68</f>
        <v>131.82</v>
      </c>
      <c r="G32" s="38"/>
      <c r="H32" s="38">
        <f t="shared" si="0"/>
        <v>79.842519685039377</v>
      </c>
      <c r="I32" s="38"/>
      <c r="J32">
        <v>90</v>
      </c>
    </row>
    <row r="33" spans="1:10" x14ac:dyDescent="0.25">
      <c r="B33" s="38">
        <v>165.1</v>
      </c>
      <c r="C33" s="57">
        <v>45505</v>
      </c>
      <c r="D33" s="8">
        <f>'Data Collection Sheet'!AN24+'Data Collection Sheet'!AN54+'Data Collection Sheet'!AN68</f>
        <v>132.93</v>
      </c>
      <c r="G33" s="38"/>
      <c r="H33" s="38">
        <f t="shared" si="0"/>
        <v>80.514839491217444</v>
      </c>
      <c r="I33" s="38"/>
      <c r="J33">
        <v>90</v>
      </c>
    </row>
    <row r="34" spans="1:10" x14ac:dyDescent="0.25">
      <c r="B34" s="38">
        <v>165.1</v>
      </c>
      <c r="C34" s="57">
        <v>45536</v>
      </c>
      <c r="D34" s="8">
        <f>'Data Collection Sheet'!AO24+'Data Collection Sheet'!AO54+'Data Collection Sheet'!AO68</f>
        <v>136.16</v>
      </c>
      <c r="G34" s="38"/>
      <c r="H34" s="38">
        <f t="shared" si="0"/>
        <v>82.471229557843728</v>
      </c>
      <c r="I34" s="38"/>
      <c r="J34">
        <v>90</v>
      </c>
    </row>
    <row r="35" spans="1:10" x14ac:dyDescent="0.25">
      <c r="B35" s="38">
        <v>165.1</v>
      </c>
      <c r="C35" s="57">
        <v>45566</v>
      </c>
      <c r="D35" s="8">
        <f>'Data Collection Sheet'!AP24+'Data Collection Sheet'!AP54+'Data Collection Sheet'!AP68</f>
        <v>123.09</v>
      </c>
      <c r="G35" s="38"/>
      <c r="H35" s="38">
        <f t="shared" si="0"/>
        <v>74.554815263476684</v>
      </c>
      <c r="I35" s="38"/>
      <c r="J35">
        <v>90</v>
      </c>
    </row>
    <row r="36" spans="1:10" x14ac:dyDescent="0.25">
      <c r="B36" s="38">
        <v>165.1</v>
      </c>
      <c r="C36" s="57">
        <v>45597</v>
      </c>
      <c r="D36" s="8">
        <f>'Data Collection Sheet'!AQ24+'Data Collection Sheet'!AQ54+'Data Collection Sheet'!AQ68</f>
        <v>123.34</v>
      </c>
      <c r="G36" s="38"/>
      <c r="H36" s="38">
        <f t="shared" si="0"/>
        <v>74.706238643246522</v>
      </c>
      <c r="I36" s="38"/>
      <c r="J36">
        <v>90</v>
      </c>
    </row>
    <row r="37" spans="1:10" x14ac:dyDescent="0.25">
      <c r="B37" s="38">
        <v>165.1</v>
      </c>
      <c r="C37" s="57">
        <v>45627</v>
      </c>
      <c r="D37" s="8">
        <f>'Data Collection Sheet'!AR24+'Data Collection Sheet'!AR54+'Data Collection Sheet'!AR68</f>
        <v>126.75999999999999</v>
      </c>
      <c r="G37" s="38"/>
      <c r="H37" s="38">
        <f t="shared" si="0"/>
        <v>76.77771047849788</v>
      </c>
      <c r="I37" s="38"/>
      <c r="J37">
        <v>90</v>
      </c>
    </row>
    <row r="38" spans="1:10" x14ac:dyDescent="0.25">
      <c r="B38" s="38">
        <v>165.1</v>
      </c>
      <c r="C38" s="57">
        <v>45658</v>
      </c>
      <c r="D38" s="8">
        <f>'Data Collection Sheet'!AS24+'Data Collection Sheet'!AS54+'Data Collection Sheet'!AS68</f>
        <v>130.37</v>
      </c>
      <c r="G38" s="38"/>
      <c r="H38" s="38">
        <f t="shared" si="0"/>
        <v>78.964264082374328</v>
      </c>
      <c r="I38" s="38"/>
      <c r="J38">
        <v>90</v>
      </c>
    </row>
    <row r="39" spans="1:10" x14ac:dyDescent="0.25">
      <c r="B39" s="38">
        <v>165.1</v>
      </c>
      <c r="C39" s="57">
        <v>45689</v>
      </c>
      <c r="D39" s="8">
        <f>'Data Collection Sheet'!AT24+'Data Collection Sheet'!AT54+'Data Collection Sheet'!AT68</f>
        <v>128.59</v>
      </c>
      <c r="G39" s="38"/>
      <c r="H39" s="38">
        <f t="shared" ref="H39" si="1">(D39/B39)*100</f>
        <v>77.886129618413094</v>
      </c>
      <c r="I39" s="38"/>
      <c r="J39">
        <v>90</v>
      </c>
    </row>
    <row r="40" spans="1:10" x14ac:dyDescent="0.25">
      <c r="B40" s="38">
        <v>165.1</v>
      </c>
      <c r="C40" s="57">
        <v>45717</v>
      </c>
      <c r="D40" s="8">
        <f>'Data Collection Sheet'!AU24+'Data Collection Sheet'!AU54+'Data Collection Sheet'!AU68</f>
        <v>128.59</v>
      </c>
      <c r="G40" s="38"/>
      <c r="H40" s="38">
        <f t="shared" ref="H40:H41" si="2">(D40/B40)*100</f>
        <v>77.886129618413094</v>
      </c>
      <c r="I40" s="38"/>
      <c r="J40">
        <v>90</v>
      </c>
    </row>
    <row r="41" spans="1:10" x14ac:dyDescent="0.25">
      <c r="A41" t="s">
        <v>194</v>
      </c>
      <c r="B41" s="38">
        <v>165.1</v>
      </c>
      <c r="C41" s="57">
        <v>45748</v>
      </c>
      <c r="D41" s="8">
        <f>'Data Collection Sheet'!AV24+'Data Collection Sheet'!AV54+'Data Collection Sheet'!AU68</f>
        <v>127.99000000000001</v>
      </c>
      <c r="G41" s="38"/>
      <c r="H41" s="38">
        <f t="shared" si="2"/>
        <v>77.522713506965474</v>
      </c>
      <c r="I41" s="38"/>
      <c r="J41">
        <v>90</v>
      </c>
    </row>
    <row r="42" spans="1:10" x14ac:dyDescent="0.25">
      <c r="A42" t="s">
        <v>195</v>
      </c>
      <c r="B42" s="38">
        <v>165.1</v>
      </c>
      <c r="C42" s="57">
        <v>45778</v>
      </c>
      <c r="D42" s="8">
        <f>'Data Collection Sheet'!AW24+'Data Collection Sheet'!AW54+'Data Collection Sheet'!AW68</f>
        <v>132.56</v>
      </c>
      <c r="G42" s="38"/>
      <c r="H42" s="38">
        <f t="shared" ref="H42" si="3">(D42/B42)*100</f>
        <v>80.290732889158093</v>
      </c>
      <c r="I42" s="38"/>
      <c r="J42">
        <v>90</v>
      </c>
    </row>
    <row r="43" spans="1:10" x14ac:dyDescent="0.25">
      <c r="B43" s="38">
        <v>165.1</v>
      </c>
      <c r="C43" s="57">
        <v>45809</v>
      </c>
      <c r="D43" s="8">
        <f>'Data Collection Sheet'!AX24+'Data Collection Sheet'!AX54+'Data Collection Sheet'!AX68</f>
        <v>133.54000000000002</v>
      </c>
      <c r="G43" s="38"/>
      <c r="H43" s="38">
        <f t="shared" ref="H43" si="4">(D43/B43)*100</f>
        <v>80.884312537855863</v>
      </c>
      <c r="I43" s="38"/>
      <c r="J43">
        <v>90</v>
      </c>
    </row>
    <row r="44" spans="1:10" x14ac:dyDescent="0.25">
      <c r="B44" s="38">
        <v>165.1</v>
      </c>
      <c r="C44" s="57">
        <v>45839</v>
      </c>
      <c r="D44" s="8">
        <f>'Data Collection Sheet'!AY24+'Data Collection Sheet'!AY54+'Data Collection Sheet'!AY68</f>
        <v>133.41999999999999</v>
      </c>
      <c r="G44" s="38"/>
      <c r="H44" s="38">
        <f t="shared" ref="H44" si="5">(D44/B44)*100</f>
        <v>80.811629315566307</v>
      </c>
      <c r="I44" s="38"/>
      <c r="J44">
        <v>90</v>
      </c>
    </row>
    <row r="45" spans="1:10" x14ac:dyDescent="0.25">
      <c r="B45" s="38">
        <v>165.1</v>
      </c>
      <c r="C45" s="57">
        <v>45870</v>
      </c>
      <c r="D45" s="8">
        <f>'Data Collection Sheet'!AZ24+'Data Collection Sheet'!AZ54+'Data Collection Sheet'!AZ68</f>
        <v>134.1</v>
      </c>
      <c r="G45" s="38"/>
      <c r="H45" s="38">
        <f t="shared" ref="H45" si="6">(D45/B45)*100</f>
        <v>81.223500908540274</v>
      </c>
      <c r="I45" s="38"/>
      <c r="J45">
        <v>90</v>
      </c>
    </row>
    <row r="46" spans="1:10" x14ac:dyDescent="0.25">
      <c r="B46" s="38">
        <v>165.1</v>
      </c>
      <c r="C46" s="57">
        <v>45901</v>
      </c>
      <c r="D46" s="8">
        <f>'Data Collection Sheet'!BA24+'Data Collection Sheet'!BA54+'Data Collection Sheet'!BA68</f>
        <v>134.95000000000002</v>
      </c>
      <c r="G46" s="38"/>
      <c r="H46" s="38">
        <f t="shared" ref="H46" si="7">(D46/B46)*100</f>
        <v>81.738340399757732</v>
      </c>
      <c r="I46" s="38"/>
      <c r="J46">
        <v>90</v>
      </c>
    </row>
    <row r="47" spans="1:10" x14ac:dyDescent="0.25">
      <c r="B47" s="38">
        <v>165.1</v>
      </c>
      <c r="C47" s="57">
        <v>45931</v>
      </c>
      <c r="D47" s="8">
        <f>'Data Collection Sheet'!BB24+'Data Collection Sheet'!BB54+'Data Collection Sheet'!BB68</f>
        <v>133.83000000000001</v>
      </c>
      <c r="G47" s="38"/>
      <c r="H47" s="38">
        <f t="shared" ref="H47" si="8">(D47/B47)*100</f>
        <v>81.059963658388867</v>
      </c>
      <c r="I47" s="38"/>
      <c r="J47">
        <v>90</v>
      </c>
    </row>
    <row r="48" spans="1:10" x14ac:dyDescent="0.25">
      <c r="B48" s="38">
        <v>165.1</v>
      </c>
      <c r="C48" s="57">
        <v>45962</v>
      </c>
      <c r="D48" s="8">
        <f>'Data Collection Sheet'!BC24+'Data Collection Sheet'!BC54+'Data Collection Sheet'!BC68</f>
        <v>135.76999999999998</v>
      </c>
      <c r="G48" s="38"/>
      <c r="H48" s="38">
        <f t="shared" ref="H48" si="9">(D48/B48)*100</f>
        <v>82.23500908540278</v>
      </c>
      <c r="I48" s="38"/>
      <c r="J48">
        <v>90</v>
      </c>
    </row>
    <row r="49" spans="1:10" x14ac:dyDescent="0.25">
      <c r="B49" s="38">
        <v>165.1</v>
      </c>
      <c r="C49" s="57">
        <v>45992</v>
      </c>
      <c r="D49" s="8">
        <f>'Data Collection Sheet'!BD24+'Data Collection Sheet'!BD54+'Data Collection Sheet'!BD68</f>
        <v>132.61000000000001</v>
      </c>
      <c r="G49" s="38"/>
      <c r="H49" s="38">
        <f t="shared" ref="H49:H54" si="10">(D49/B49)*100</f>
        <v>80.321017565112058</v>
      </c>
      <c r="I49" s="38"/>
      <c r="J49">
        <v>90</v>
      </c>
    </row>
    <row r="50" spans="1:10" x14ac:dyDescent="0.25">
      <c r="B50" s="38">
        <v>165.1</v>
      </c>
      <c r="C50" s="57">
        <v>46023</v>
      </c>
      <c r="D50" s="8">
        <f>'Data Collection Sheet'!BE24+'Data Collection Sheet'!BE54+'Data Collection Sheet'!BE68</f>
        <v>134.37</v>
      </c>
      <c r="G50" s="38"/>
      <c r="H50" s="38">
        <f t="shared" si="10"/>
        <v>81.387038158691709</v>
      </c>
      <c r="I50" s="38"/>
      <c r="J50">
        <v>90</v>
      </c>
    </row>
    <row r="51" spans="1:10" x14ac:dyDescent="0.25">
      <c r="B51" s="38">
        <v>165.1</v>
      </c>
      <c r="C51" s="57">
        <v>46054</v>
      </c>
      <c r="D51" s="8">
        <f>'Data Collection Sheet'!BF24+'Data Collection Sheet'!BF54+'Data Collection Sheet'!BF68</f>
        <v>135.87</v>
      </c>
      <c r="G51" s="38"/>
      <c r="H51" s="38">
        <f t="shared" si="10"/>
        <v>82.295578437310724</v>
      </c>
      <c r="I51" s="38"/>
      <c r="J51">
        <v>90</v>
      </c>
    </row>
    <row r="52" spans="1:10" x14ac:dyDescent="0.25">
      <c r="B52" s="38">
        <v>165.1</v>
      </c>
      <c r="C52" s="57">
        <v>46082</v>
      </c>
      <c r="D52" s="8">
        <f>'Data Collection Sheet'!BG24+'Data Collection Sheet'!BG54+'Data Collection Sheet'!BG68</f>
        <v>138.10999999999999</v>
      </c>
      <c r="G52" s="38"/>
      <c r="H52" s="38">
        <f t="shared" si="10"/>
        <v>83.652331920048454</v>
      </c>
      <c r="I52" s="38"/>
      <c r="J52">
        <v>90</v>
      </c>
    </row>
    <row r="53" spans="1:10" x14ac:dyDescent="0.25">
      <c r="B53" s="38">
        <v>165.1</v>
      </c>
      <c r="C53" s="57">
        <v>46113</v>
      </c>
      <c r="D53" s="8">
        <f>'Data Collection Sheet'!BH24+'Data Collection Sheet'!BH54+'Data Collection Sheet'!BH68</f>
        <v>137.19999999999999</v>
      </c>
      <c r="G53" s="38"/>
      <c r="H53" s="38">
        <f t="shared" si="10"/>
        <v>83.101150817686246</v>
      </c>
      <c r="I53" s="38"/>
      <c r="J53">
        <v>90</v>
      </c>
    </row>
    <row r="54" spans="1:10" x14ac:dyDescent="0.25">
      <c r="B54" s="38">
        <v>165.1</v>
      </c>
      <c r="C54" s="57">
        <v>46143</v>
      </c>
      <c r="D54" s="8">
        <f>'Data Collection Sheet'!BI24+'Data Collection Sheet'!BI54+'Data Collection Sheet'!BH68</f>
        <v>130.98999999999998</v>
      </c>
      <c r="G54" s="38"/>
      <c r="H54" s="38">
        <f t="shared" si="10"/>
        <v>79.339794064203502</v>
      </c>
      <c r="I54" s="38"/>
      <c r="J54">
        <v>90</v>
      </c>
    </row>
    <row r="55" spans="1:10" x14ac:dyDescent="0.25">
      <c r="A55" t="s">
        <v>384</v>
      </c>
      <c r="B55" s="38">
        <f>165.1</f>
        <v>165.1</v>
      </c>
      <c r="C55" s="57">
        <v>46174</v>
      </c>
      <c r="D55" s="8">
        <f>'Data Collection Sheet'!BJ24+'Data Collection Sheet'!BJ54+'Data Collection Sheet'!BJ68+'Data Collection Sheet'!BJ77</f>
        <v>210.37</v>
      </c>
      <c r="G55" s="38"/>
      <c r="H55" s="38">
        <f>(D55/B55)*100</f>
        <v>127.419745608722</v>
      </c>
      <c r="I55" s="38"/>
      <c r="J55">
        <v>90</v>
      </c>
    </row>
    <row r="56" spans="1:10" x14ac:dyDescent="0.25">
      <c r="B56" s="38">
        <f t="shared" ref="B56:B80" si="11">165.1+459.94</f>
        <v>625.04</v>
      </c>
      <c r="C56" s="57">
        <v>46204</v>
      </c>
      <c r="D56" s="8">
        <f>'Data Collection Sheet'!BK24+'Data Collection Sheet'!BK54+'Data Collection Sheet'!BK68+'Data Collection Sheet'!BK77</f>
        <v>211.23000000000002</v>
      </c>
      <c r="G56" s="38"/>
      <c r="H56" s="38">
        <f>(D56/B56)*100</f>
        <v>33.794637143222836</v>
      </c>
      <c r="I56" s="38"/>
      <c r="J56">
        <v>90</v>
      </c>
    </row>
    <row r="57" spans="1:10" x14ac:dyDescent="0.25">
      <c r="B57" s="38">
        <f t="shared" si="11"/>
        <v>625.04</v>
      </c>
      <c r="C57" s="57">
        <v>46235</v>
      </c>
      <c r="D57" s="8">
        <f>'Data Collection Sheet'!BL$24+'Data Collection Sheet'!BL$54+'Data Collection Sheet'!BL$68+'Data Collection Sheet'!BL$77</f>
        <v>211.36</v>
      </c>
      <c r="F57">
        <v>6.08</v>
      </c>
      <c r="G57" s="38">
        <f>D57</f>
        <v>211.36</v>
      </c>
      <c r="H57" s="38">
        <f>(D57/B57)*100</f>
        <v>33.815435812108028</v>
      </c>
      <c r="I57" s="38">
        <f t="shared" ref="I57" si="12">(G57/B57)*100</f>
        <v>33.815435812108028</v>
      </c>
      <c r="J57">
        <v>90</v>
      </c>
    </row>
    <row r="58" spans="1:10" x14ac:dyDescent="0.25">
      <c r="B58" s="38">
        <f t="shared" si="11"/>
        <v>625.04</v>
      </c>
      <c r="C58" s="57">
        <v>46266</v>
      </c>
      <c r="D58" s="8"/>
      <c r="F58">
        <v>7.08</v>
      </c>
      <c r="G58" s="38">
        <f>D58</f>
        <v>0</v>
      </c>
      <c r="H58" s="38">
        <f>(D58/B58)*100</f>
        <v>0</v>
      </c>
      <c r="I58" s="38">
        <f t="shared" ref="I58" si="13">(G58/B58)*100</f>
        <v>0</v>
      </c>
      <c r="J58">
        <v>90</v>
      </c>
    </row>
    <row r="59" spans="1:10" x14ac:dyDescent="0.25">
      <c r="B59" s="38">
        <f t="shared" si="11"/>
        <v>625.04</v>
      </c>
      <c r="C59" s="57">
        <v>46296</v>
      </c>
      <c r="F59">
        <v>1.08</v>
      </c>
      <c r="G59" s="38">
        <f t="shared" ref="G59:G80" si="14">G58*(1+(F59^(1/12)-1))+E59</f>
        <v>0</v>
      </c>
      <c r="H59" s="38"/>
      <c r="I59" s="38">
        <f t="shared" ref="I59:I80" si="15">(G59/B59)*100</f>
        <v>0</v>
      </c>
      <c r="J59">
        <v>90</v>
      </c>
    </row>
    <row r="60" spans="1:10" x14ac:dyDescent="0.25">
      <c r="B60" s="38">
        <f t="shared" si="11"/>
        <v>625.04</v>
      </c>
      <c r="C60" s="57">
        <v>46327</v>
      </c>
      <c r="F60">
        <v>1.08</v>
      </c>
      <c r="G60" s="38">
        <f t="shared" si="14"/>
        <v>0</v>
      </c>
      <c r="I60" s="38">
        <f t="shared" si="15"/>
        <v>0</v>
      </c>
      <c r="J60">
        <v>90</v>
      </c>
    </row>
    <row r="61" spans="1:10" x14ac:dyDescent="0.25">
      <c r="B61" s="38">
        <f t="shared" si="11"/>
        <v>625.04</v>
      </c>
      <c r="C61" s="57">
        <v>46357</v>
      </c>
      <c r="F61">
        <v>1.08</v>
      </c>
      <c r="G61" s="38">
        <f t="shared" si="14"/>
        <v>0</v>
      </c>
      <c r="I61" s="38">
        <f t="shared" si="15"/>
        <v>0</v>
      </c>
      <c r="J61">
        <v>90</v>
      </c>
    </row>
    <row r="62" spans="1:10" x14ac:dyDescent="0.25">
      <c r="B62" s="38">
        <f t="shared" si="11"/>
        <v>625.04</v>
      </c>
      <c r="C62" s="57">
        <v>46388</v>
      </c>
      <c r="F62">
        <v>1.08</v>
      </c>
      <c r="G62" s="38">
        <f t="shared" si="14"/>
        <v>0</v>
      </c>
      <c r="I62" s="38">
        <f t="shared" si="15"/>
        <v>0</v>
      </c>
      <c r="J62">
        <v>90</v>
      </c>
    </row>
    <row r="63" spans="1:10" x14ac:dyDescent="0.25">
      <c r="B63" s="38">
        <f t="shared" si="11"/>
        <v>625.04</v>
      </c>
      <c r="C63" s="57">
        <v>46419</v>
      </c>
      <c r="F63">
        <v>1.08</v>
      </c>
      <c r="G63" s="38">
        <f t="shared" si="14"/>
        <v>0</v>
      </c>
      <c r="I63" s="38">
        <f t="shared" si="15"/>
        <v>0</v>
      </c>
      <c r="J63">
        <v>90</v>
      </c>
    </row>
    <row r="64" spans="1:10" x14ac:dyDescent="0.25">
      <c r="B64" s="38">
        <f t="shared" si="11"/>
        <v>625.04</v>
      </c>
      <c r="C64" s="57">
        <v>46447</v>
      </c>
      <c r="F64">
        <v>1.08</v>
      </c>
      <c r="G64" s="38">
        <f t="shared" si="14"/>
        <v>0</v>
      </c>
      <c r="I64" s="38">
        <f t="shared" si="15"/>
        <v>0</v>
      </c>
      <c r="J64">
        <v>90</v>
      </c>
    </row>
    <row r="65" spans="1:10" x14ac:dyDescent="0.25">
      <c r="B65" s="38">
        <f t="shared" si="11"/>
        <v>625.04</v>
      </c>
      <c r="C65" s="57">
        <v>46478</v>
      </c>
      <c r="F65">
        <v>1.08</v>
      </c>
      <c r="G65" s="38">
        <f t="shared" si="14"/>
        <v>0</v>
      </c>
      <c r="I65" s="38">
        <f t="shared" si="15"/>
        <v>0</v>
      </c>
      <c r="J65">
        <v>90</v>
      </c>
    </row>
    <row r="66" spans="1:10" x14ac:dyDescent="0.25">
      <c r="B66" s="38">
        <f t="shared" si="11"/>
        <v>625.04</v>
      </c>
      <c r="C66" s="57">
        <v>46508</v>
      </c>
      <c r="F66">
        <v>1.08</v>
      </c>
      <c r="G66" s="38">
        <f t="shared" si="14"/>
        <v>0</v>
      </c>
      <c r="I66" s="38">
        <f t="shared" si="15"/>
        <v>0</v>
      </c>
      <c r="J66">
        <v>90</v>
      </c>
    </row>
    <row r="67" spans="1:10" x14ac:dyDescent="0.25">
      <c r="B67" s="38">
        <f t="shared" si="11"/>
        <v>625.04</v>
      </c>
      <c r="C67" s="57">
        <v>46539</v>
      </c>
      <c r="F67">
        <v>1.08</v>
      </c>
      <c r="G67" s="38">
        <f t="shared" si="14"/>
        <v>0</v>
      </c>
      <c r="I67" s="38">
        <f t="shared" si="15"/>
        <v>0</v>
      </c>
      <c r="J67">
        <v>90</v>
      </c>
    </row>
    <row r="68" spans="1:10" x14ac:dyDescent="0.25">
      <c r="A68" t="s">
        <v>198</v>
      </c>
      <c r="B68" s="38">
        <f t="shared" si="11"/>
        <v>625.04</v>
      </c>
      <c r="C68" s="57">
        <v>46569</v>
      </c>
      <c r="F68">
        <v>1.08</v>
      </c>
      <c r="G68" s="38">
        <f t="shared" si="14"/>
        <v>0</v>
      </c>
      <c r="I68" s="38">
        <f t="shared" si="15"/>
        <v>0</v>
      </c>
      <c r="J68">
        <v>90</v>
      </c>
    </row>
    <row r="69" spans="1:10" x14ac:dyDescent="0.25">
      <c r="A69" t="s">
        <v>199</v>
      </c>
      <c r="B69" s="38">
        <f t="shared" si="11"/>
        <v>625.04</v>
      </c>
      <c r="C69" s="57">
        <v>46600</v>
      </c>
      <c r="F69">
        <v>1.08</v>
      </c>
      <c r="G69" s="38">
        <f t="shared" si="14"/>
        <v>0</v>
      </c>
      <c r="I69" s="38">
        <f t="shared" si="15"/>
        <v>0</v>
      </c>
      <c r="J69">
        <v>90</v>
      </c>
    </row>
    <row r="70" spans="1:10" x14ac:dyDescent="0.25">
      <c r="A70" s="58" t="s">
        <v>196</v>
      </c>
      <c r="B70" s="38">
        <f t="shared" si="11"/>
        <v>625.04</v>
      </c>
      <c r="C70" s="57">
        <v>46631</v>
      </c>
      <c r="F70">
        <v>1.08</v>
      </c>
      <c r="G70" s="38">
        <f t="shared" si="14"/>
        <v>0</v>
      </c>
      <c r="I70" s="38">
        <f t="shared" si="15"/>
        <v>0</v>
      </c>
      <c r="J70">
        <v>90</v>
      </c>
    </row>
    <row r="71" spans="1:10" x14ac:dyDescent="0.25">
      <c r="A71" s="61" t="s">
        <v>197</v>
      </c>
      <c r="B71" s="38">
        <f t="shared" si="11"/>
        <v>625.04</v>
      </c>
      <c r="C71" s="57">
        <v>46661</v>
      </c>
      <c r="F71">
        <v>1.08</v>
      </c>
      <c r="G71" s="38">
        <f t="shared" si="14"/>
        <v>0</v>
      </c>
      <c r="I71" s="38">
        <f t="shared" si="15"/>
        <v>0</v>
      </c>
      <c r="J71">
        <v>90</v>
      </c>
    </row>
    <row r="72" spans="1:10" x14ac:dyDescent="0.25">
      <c r="B72" s="38">
        <f t="shared" si="11"/>
        <v>625.04</v>
      </c>
      <c r="C72" s="57">
        <v>46692</v>
      </c>
      <c r="F72">
        <v>1.08</v>
      </c>
      <c r="G72" s="38">
        <f t="shared" si="14"/>
        <v>0</v>
      </c>
      <c r="I72" s="38">
        <f t="shared" si="15"/>
        <v>0</v>
      </c>
      <c r="J72">
        <v>90</v>
      </c>
    </row>
    <row r="73" spans="1:10" x14ac:dyDescent="0.25">
      <c r="B73" s="38">
        <f t="shared" si="11"/>
        <v>625.04</v>
      </c>
      <c r="C73" s="57">
        <v>46722</v>
      </c>
      <c r="F73">
        <v>1.08</v>
      </c>
      <c r="G73" s="38">
        <f t="shared" si="14"/>
        <v>0</v>
      </c>
      <c r="I73" s="38">
        <f t="shared" si="15"/>
        <v>0</v>
      </c>
      <c r="J73">
        <v>90</v>
      </c>
    </row>
    <row r="74" spans="1:10" x14ac:dyDescent="0.25">
      <c r="B74" s="38">
        <f t="shared" si="11"/>
        <v>625.04</v>
      </c>
      <c r="C74" s="57">
        <v>46753</v>
      </c>
      <c r="F74">
        <v>1.08</v>
      </c>
      <c r="G74" s="38">
        <f t="shared" si="14"/>
        <v>0</v>
      </c>
      <c r="I74" s="38">
        <f t="shared" si="15"/>
        <v>0</v>
      </c>
      <c r="J74">
        <v>90</v>
      </c>
    </row>
    <row r="75" spans="1:10" x14ac:dyDescent="0.25">
      <c r="B75" s="38">
        <f t="shared" si="11"/>
        <v>625.04</v>
      </c>
      <c r="C75" s="57">
        <v>46784</v>
      </c>
      <c r="F75">
        <v>1.08</v>
      </c>
      <c r="G75" s="38">
        <f t="shared" si="14"/>
        <v>0</v>
      </c>
      <c r="I75" s="38">
        <f t="shared" si="15"/>
        <v>0</v>
      </c>
      <c r="J75">
        <v>90</v>
      </c>
    </row>
    <row r="76" spans="1:10" x14ac:dyDescent="0.25">
      <c r="B76" s="38">
        <f t="shared" si="11"/>
        <v>625.04</v>
      </c>
      <c r="C76" s="57">
        <v>46813</v>
      </c>
      <c r="F76">
        <v>1.08</v>
      </c>
      <c r="G76" s="38">
        <f t="shared" si="14"/>
        <v>0</v>
      </c>
      <c r="I76" s="38">
        <f t="shared" si="15"/>
        <v>0</v>
      </c>
      <c r="J76">
        <v>90</v>
      </c>
    </row>
    <row r="77" spans="1:10" x14ac:dyDescent="0.25">
      <c r="B77" s="38">
        <f t="shared" si="11"/>
        <v>625.04</v>
      </c>
      <c r="C77" s="57">
        <v>46844</v>
      </c>
      <c r="F77">
        <v>1.08</v>
      </c>
      <c r="G77" s="38">
        <f t="shared" si="14"/>
        <v>0</v>
      </c>
      <c r="I77" s="38">
        <f t="shared" si="15"/>
        <v>0</v>
      </c>
      <c r="J77">
        <v>90</v>
      </c>
    </row>
    <row r="78" spans="1:10" x14ac:dyDescent="0.25">
      <c r="B78" s="38">
        <f t="shared" si="11"/>
        <v>625.04</v>
      </c>
      <c r="C78" s="57">
        <v>46874</v>
      </c>
      <c r="F78">
        <v>1.08</v>
      </c>
      <c r="G78" s="38">
        <f t="shared" si="14"/>
        <v>0</v>
      </c>
      <c r="I78" s="38">
        <f t="shared" si="15"/>
        <v>0</v>
      </c>
      <c r="J78">
        <v>90</v>
      </c>
    </row>
    <row r="79" spans="1:10" x14ac:dyDescent="0.25">
      <c r="B79" s="38">
        <f t="shared" si="11"/>
        <v>625.04</v>
      </c>
      <c r="C79" s="57">
        <v>46905</v>
      </c>
      <c r="F79">
        <v>1.08</v>
      </c>
      <c r="G79" s="38">
        <f t="shared" si="14"/>
        <v>0</v>
      </c>
      <c r="I79" s="38">
        <f t="shared" si="15"/>
        <v>0</v>
      </c>
      <c r="J79">
        <v>90</v>
      </c>
    </row>
    <row r="80" spans="1:10" x14ac:dyDescent="0.25">
      <c r="B80" s="38">
        <f t="shared" si="11"/>
        <v>625.04</v>
      </c>
      <c r="C80" s="57">
        <v>46935</v>
      </c>
      <c r="F80">
        <v>1.08</v>
      </c>
      <c r="G80" s="38">
        <f t="shared" si="14"/>
        <v>0</v>
      </c>
      <c r="I80" s="38">
        <f t="shared" si="15"/>
        <v>0</v>
      </c>
      <c r="J80">
        <v>90</v>
      </c>
    </row>
  </sheetData>
  <conditionalFormatting sqref="I4:I80">
    <cfRule type="cellIs" dxfId="24" priority="1" operator="greaterThan">
      <formula>90</formula>
    </cfRule>
  </conditionalFormatting>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616BC-A462-476F-AE67-8E4A0F506ACA}">
  <dimension ref="A1:J91"/>
  <sheetViews>
    <sheetView zoomScale="85" zoomScaleNormal="85" workbookViewId="0">
      <selection activeCell="D33" sqref="D33"/>
    </sheetView>
  </sheetViews>
  <sheetFormatPr defaultRowHeight="15" x14ac:dyDescent="0.25"/>
  <cols>
    <col min="1" max="1" width="38.7109375" bestFit="1" customWidth="1"/>
    <col min="2" max="2" width="13.7109375" bestFit="1" customWidth="1"/>
    <col min="5" max="5" width="11.140625" bestFit="1" customWidth="1"/>
    <col min="6" max="6" width="10.5703125" bestFit="1" customWidth="1"/>
    <col min="7" max="7" width="15.7109375" bestFit="1" customWidth="1"/>
    <col min="8" max="8" width="10.140625" bestFit="1" customWidth="1"/>
    <col min="9" max="9" width="13.140625" bestFit="1" customWidth="1"/>
    <col min="12" max="12" width="17.7109375" bestFit="1" customWidth="1"/>
    <col min="13" max="13" width="31.7109375" bestFit="1" customWidth="1"/>
    <col min="14" max="14" width="45.7109375" bestFit="1" customWidth="1"/>
  </cols>
  <sheetData>
    <row r="1" spans="1:10" x14ac:dyDescent="0.25">
      <c r="A1" s="61" t="s">
        <v>211</v>
      </c>
      <c r="B1" s="61" t="s">
        <v>119</v>
      </c>
      <c r="C1" s="61" t="s">
        <v>2</v>
      </c>
      <c r="D1" s="61" t="s">
        <v>120</v>
      </c>
      <c r="E1" s="61" t="s">
        <v>121</v>
      </c>
      <c r="F1" s="61" t="s">
        <v>122</v>
      </c>
      <c r="G1" s="61" t="s">
        <v>123</v>
      </c>
      <c r="H1" s="61" t="s">
        <v>124</v>
      </c>
      <c r="I1" s="61" t="s">
        <v>125</v>
      </c>
      <c r="J1" s="61" t="s">
        <v>126</v>
      </c>
    </row>
    <row r="2" spans="1:10" x14ac:dyDescent="0.25">
      <c r="A2" t="s">
        <v>270</v>
      </c>
      <c r="B2">
        <v>25.7</v>
      </c>
      <c r="C2" s="57">
        <v>45292</v>
      </c>
      <c r="D2" s="8">
        <v>14.15</v>
      </c>
      <c r="G2" s="38"/>
      <c r="H2" s="38">
        <f t="shared" ref="H2" si="0">(D2/B2)*100</f>
        <v>55.058365758754867</v>
      </c>
      <c r="I2" s="38"/>
      <c r="J2">
        <v>90</v>
      </c>
    </row>
    <row r="3" spans="1:10" x14ac:dyDescent="0.25">
      <c r="B3">
        <v>25.7</v>
      </c>
      <c r="C3" s="57">
        <v>45323</v>
      </c>
      <c r="D3" s="8">
        <v>14.2</v>
      </c>
      <c r="G3" s="38"/>
      <c r="H3" s="38">
        <f>(D3/B3)*100</f>
        <v>55.252918287937746</v>
      </c>
      <c r="I3" s="38"/>
      <c r="J3">
        <v>90</v>
      </c>
    </row>
    <row r="4" spans="1:10" x14ac:dyDescent="0.25">
      <c r="B4">
        <v>25.7</v>
      </c>
      <c r="C4" s="57">
        <v>45352</v>
      </c>
      <c r="D4" s="8">
        <v>14.2</v>
      </c>
      <c r="G4" s="38"/>
      <c r="H4" s="38">
        <f t="shared" ref="H4:H5" si="1">(D4/B4)*100</f>
        <v>55.252918287937746</v>
      </c>
      <c r="I4" s="38"/>
      <c r="J4">
        <v>90</v>
      </c>
    </row>
    <row r="5" spans="1:10" x14ac:dyDescent="0.25">
      <c r="B5">
        <v>25.7</v>
      </c>
      <c r="C5" s="57">
        <v>45383</v>
      </c>
      <c r="D5" s="8">
        <v>14.6</v>
      </c>
      <c r="G5" s="38"/>
      <c r="H5" s="38">
        <f t="shared" si="1"/>
        <v>56.809338521400775</v>
      </c>
      <c r="I5" s="38"/>
      <c r="J5">
        <v>90</v>
      </c>
    </row>
    <row r="6" spans="1:10" x14ac:dyDescent="0.25">
      <c r="B6">
        <v>25.7</v>
      </c>
      <c r="C6" s="57">
        <v>45413</v>
      </c>
      <c r="D6" s="8">
        <v>14.4</v>
      </c>
      <c r="G6" s="38"/>
      <c r="H6" s="38">
        <f t="shared" ref="H6" si="2">(D6/B6)*100</f>
        <v>56.031128404669261</v>
      </c>
      <c r="I6" s="38"/>
      <c r="J6">
        <v>90</v>
      </c>
    </row>
    <row r="7" spans="1:10" x14ac:dyDescent="0.25">
      <c r="B7">
        <v>25.7</v>
      </c>
      <c r="C7" s="57">
        <v>45444</v>
      </c>
      <c r="D7" s="8">
        <v>14.6</v>
      </c>
      <c r="G7" s="38"/>
      <c r="H7" s="38">
        <f t="shared" ref="H7:H13" si="3">(D7/B7)*100</f>
        <v>56.809338521400775</v>
      </c>
      <c r="I7" s="38"/>
      <c r="J7">
        <v>90</v>
      </c>
    </row>
    <row r="8" spans="1:10" x14ac:dyDescent="0.25">
      <c r="B8">
        <v>25.7</v>
      </c>
      <c r="C8" s="57">
        <v>45474</v>
      </c>
      <c r="D8" s="8">
        <v>15</v>
      </c>
      <c r="G8" s="38"/>
      <c r="H8" s="38">
        <f t="shared" si="3"/>
        <v>58.365758754863819</v>
      </c>
      <c r="I8" s="38"/>
      <c r="J8">
        <v>90</v>
      </c>
    </row>
    <row r="9" spans="1:10" x14ac:dyDescent="0.25">
      <c r="B9">
        <v>25.7</v>
      </c>
      <c r="C9" s="57">
        <v>45505</v>
      </c>
      <c r="D9" s="8">
        <v>15.1</v>
      </c>
      <c r="G9" s="38"/>
      <c r="H9" s="38">
        <f t="shared" si="3"/>
        <v>58.754863813229576</v>
      </c>
      <c r="I9" s="38"/>
      <c r="J9">
        <v>90</v>
      </c>
    </row>
    <row r="10" spans="1:10" x14ac:dyDescent="0.25">
      <c r="B10">
        <v>25.7</v>
      </c>
      <c r="C10" s="57">
        <v>45536</v>
      </c>
      <c r="D10" s="8">
        <v>15.2</v>
      </c>
      <c r="G10" s="38"/>
      <c r="H10" s="38">
        <f t="shared" si="3"/>
        <v>59.143968871595334</v>
      </c>
      <c r="I10" s="38"/>
      <c r="J10">
        <v>90</v>
      </c>
    </row>
    <row r="11" spans="1:10" x14ac:dyDescent="0.25">
      <c r="B11">
        <v>25.7</v>
      </c>
      <c r="C11" s="57">
        <v>45566</v>
      </c>
      <c r="D11" s="8">
        <v>15.2</v>
      </c>
      <c r="G11" s="38"/>
      <c r="H11" s="38">
        <f t="shared" si="3"/>
        <v>59.143968871595334</v>
      </c>
      <c r="I11" s="38"/>
      <c r="J11">
        <v>90</v>
      </c>
    </row>
    <row r="12" spans="1:10" x14ac:dyDescent="0.25">
      <c r="B12">
        <v>25.7</v>
      </c>
      <c r="C12" s="57">
        <v>45597</v>
      </c>
      <c r="D12" s="8">
        <v>15.3</v>
      </c>
      <c r="G12" s="38"/>
      <c r="H12" s="38">
        <f t="shared" si="3"/>
        <v>59.533073929961091</v>
      </c>
      <c r="I12" s="38"/>
      <c r="J12">
        <v>90</v>
      </c>
    </row>
    <row r="13" spans="1:10" x14ac:dyDescent="0.25">
      <c r="B13">
        <v>25.7</v>
      </c>
      <c r="C13" s="57">
        <v>45627</v>
      </c>
      <c r="D13" s="8">
        <v>15.3</v>
      </c>
      <c r="G13" s="38"/>
      <c r="H13" s="38">
        <f t="shared" si="3"/>
        <v>59.533073929961091</v>
      </c>
      <c r="I13" s="38"/>
      <c r="J13">
        <v>90</v>
      </c>
    </row>
    <row r="14" spans="1:10" x14ac:dyDescent="0.25">
      <c r="B14">
        <v>25.7</v>
      </c>
      <c r="C14" s="57">
        <v>45658</v>
      </c>
      <c r="D14" s="8">
        <v>15.4</v>
      </c>
      <c r="G14" s="38"/>
      <c r="H14" s="38">
        <f t="shared" ref="H14:H20" si="4">(D14/B14)*100</f>
        <v>59.922178988326849</v>
      </c>
      <c r="I14" s="38"/>
      <c r="J14">
        <v>90</v>
      </c>
    </row>
    <row r="15" spans="1:10" x14ac:dyDescent="0.25">
      <c r="B15">
        <v>25.7</v>
      </c>
      <c r="C15" s="57">
        <v>45689</v>
      </c>
      <c r="D15" s="8">
        <v>15.4</v>
      </c>
      <c r="G15" s="38"/>
      <c r="H15" s="38">
        <f t="shared" si="4"/>
        <v>59.922178988326849</v>
      </c>
      <c r="I15" s="38"/>
      <c r="J15">
        <v>90</v>
      </c>
    </row>
    <row r="16" spans="1:10" x14ac:dyDescent="0.25">
      <c r="B16">
        <v>25.7</v>
      </c>
      <c r="C16" s="57">
        <v>45717</v>
      </c>
      <c r="D16" s="8">
        <v>15.5</v>
      </c>
      <c r="G16" s="38"/>
      <c r="H16" s="38">
        <f t="shared" si="4"/>
        <v>60.311284046692606</v>
      </c>
      <c r="I16" s="38"/>
      <c r="J16">
        <v>90</v>
      </c>
    </row>
    <row r="17" spans="1:10" x14ac:dyDescent="0.25">
      <c r="B17">
        <v>25.7</v>
      </c>
      <c r="C17" s="57">
        <v>45748</v>
      </c>
      <c r="D17" s="8">
        <v>15.6</v>
      </c>
      <c r="G17" s="38"/>
      <c r="H17" s="38">
        <f t="shared" si="4"/>
        <v>60.700389105058363</v>
      </c>
      <c r="I17" s="38"/>
      <c r="J17">
        <v>90</v>
      </c>
    </row>
    <row r="18" spans="1:10" x14ac:dyDescent="0.25">
      <c r="B18">
        <v>25.7</v>
      </c>
      <c r="C18" s="57">
        <v>45778</v>
      </c>
      <c r="D18" s="8">
        <v>15.7</v>
      </c>
      <c r="G18" s="38"/>
      <c r="H18" s="38">
        <f t="shared" si="4"/>
        <v>61.089494163424121</v>
      </c>
      <c r="I18" s="38"/>
      <c r="J18">
        <v>90</v>
      </c>
    </row>
    <row r="19" spans="1:10" x14ac:dyDescent="0.25">
      <c r="B19">
        <v>25.7</v>
      </c>
      <c r="C19" s="57">
        <v>45809</v>
      </c>
      <c r="D19" s="8">
        <v>15.8</v>
      </c>
      <c r="G19" s="38"/>
      <c r="H19" s="38">
        <f t="shared" si="4"/>
        <v>61.478599221789885</v>
      </c>
      <c r="I19" s="38"/>
      <c r="J19">
        <v>90</v>
      </c>
    </row>
    <row r="20" spans="1:10" x14ac:dyDescent="0.25">
      <c r="B20">
        <v>25.7</v>
      </c>
      <c r="C20" s="57">
        <v>45839</v>
      </c>
      <c r="D20" s="8">
        <v>15.9</v>
      </c>
      <c r="G20" s="38"/>
      <c r="H20" s="38">
        <f t="shared" si="4"/>
        <v>61.867704280155642</v>
      </c>
      <c r="I20" s="38"/>
      <c r="J20">
        <v>90</v>
      </c>
    </row>
    <row r="21" spans="1:10" x14ac:dyDescent="0.25">
      <c r="B21">
        <v>25.7</v>
      </c>
      <c r="C21" s="57">
        <v>45870</v>
      </c>
      <c r="D21" s="8">
        <v>16</v>
      </c>
      <c r="G21" s="38"/>
      <c r="H21" s="38">
        <f t="shared" ref="H21" si="5">(D21/B21)*100</f>
        <v>62.2568093385214</v>
      </c>
      <c r="I21" s="38"/>
      <c r="J21">
        <v>90</v>
      </c>
    </row>
    <row r="22" spans="1:10" x14ac:dyDescent="0.25">
      <c r="B22">
        <v>25.7</v>
      </c>
      <c r="C22" s="57">
        <v>45901</v>
      </c>
      <c r="D22" s="8">
        <v>16</v>
      </c>
      <c r="G22" s="38"/>
      <c r="H22" s="38">
        <f t="shared" ref="H22:H23" si="6">(D22/B22)*100</f>
        <v>62.2568093385214</v>
      </c>
      <c r="I22" s="38"/>
      <c r="J22">
        <v>90</v>
      </c>
    </row>
    <row r="23" spans="1:10" x14ac:dyDescent="0.25">
      <c r="B23">
        <v>25.7</v>
      </c>
      <c r="C23" s="57">
        <v>45931</v>
      </c>
      <c r="D23" s="8">
        <v>16</v>
      </c>
      <c r="G23" s="38"/>
      <c r="H23" s="38">
        <f t="shared" si="6"/>
        <v>62.2568093385214</v>
      </c>
      <c r="I23" s="38"/>
      <c r="J23">
        <v>90</v>
      </c>
    </row>
    <row r="24" spans="1:10" x14ac:dyDescent="0.25">
      <c r="B24">
        <v>25.7</v>
      </c>
      <c r="C24" s="57">
        <v>45962</v>
      </c>
      <c r="D24" s="8">
        <v>16.100000000000001</v>
      </c>
      <c r="G24" s="38"/>
      <c r="H24" s="38">
        <f t="shared" ref="H24" si="7">(D24/B24)*100</f>
        <v>62.645914396887171</v>
      </c>
      <c r="I24" s="38"/>
      <c r="J24">
        <v>90</v>
      </c>
    </row>
    <row r="25" spans="1:10" x14ac:dyDescent="0.25">
      <c r="B25">
        <v>25.7</v>
      </c>
      <c r="C25" s="57">
        <v>45992</v>
      </c>
      <c r="D25" s="8">
        <v>16.2</v>
      </c>
      <c r="G25" s="38"/>
      <c r="H25" s="38">
        <f t="shared" ref="H25:H30" si="8">(D25/B25)*100</f>
        <v>63.035019455252915</v>
      </c>
      <c r="I25" s="38"/>
      <c r="J25">
        <v>90</v>
      </c>
    </row>
    <row r="26" spans="1:10" x14ac:dyDescent="0.25">
      <c r="A26" t="s">
        <v>214</v>
      </c>
      <c r="B26">
        <v>25.7</v>
      </c>
      <c r="C26" s="57">
        <v>46023</v>
      </c>
      <c r="D26" s="8">
        <v>16.2</v>
      </c>
      <c r="G26" s="38"/>
      <c r="H26" s="38">
        <f t="shared" si="8"/>
        <v>63.035019455252915</v>
      </c>
      <c r="I26" s="38"/>
      <c r="J26">
        <v>90</v>
      </c>
    </row>
    <row r="27" spans="1:10" x14ac:dyDescent="0.25">
      <c r="B27">
        <v>25.7</v>
      </c>
      <c r="C27" s="57">
        <v>46054</v>
      </c>
      <c r="D27" s="8">
        <v>16.2</v>
      </c>
      <c r="G27" s="38"/>
      <c r="H27" s="38">
        <f t="shared" si="8"/>
        <v>63.035019455252915</v>
      </c>
      <c r="I27" s="38"/>
      <c r="J27">
        <v>90</v>
      </c>
    </row>
    <row r="28" spans="1:10" x14ac:dyDescent="0.25">
      <c r="B28">
        <v>25.7</v>
      </c>
      <c r="C28" s="57">
        <v>46082</v>
      </c>
      <c r="D28" s="8">
        <v>16.2</v>
      </c>
      <c r="G28" s="38"/>
      <c r="H28" s="38">
        <f t="shared" si="8"/>
        <v>63.035019455252915</v>
      </c>
      <c r="I28" s="38"/>
      <c r="J28">
        <v>90</v>
      </c>
    </row>
    <row r="29" spans="1:10" x14ac:dyDescent="0.25">
      <c r="B29">
        <v>25.7</v>
      </c>
      <c r="C29" s="57">
        <v>46113</v>
      </c>
      <c r="D29" s="8">
        <v>16.2</v>
      </c>
      <c r="G29" s="38"/>
      <c r="H29" s="38">
        <f t="shared" si="8"/>
        <v>63.035019455252915</v>
      </c>
      <c r="I29" s="38"/>
      <c r="J29">
        <v>90</v>
      </c>
    </row>
    <row r="30" spans="1:10" x14ac:dyDescent="0.25">
      <c r="B30">
        <v>25.7</v>
      </c>
      <c r="C30" s="57">
        <v>46143</v>
      </c>
      <c r="D30" s="8">
        <v>16.2</v>
      </c>
      <c r="G30" s="38"/>
      <c r="H30" s="38">
        <f t="shared" si="8"/>
        <v>63.035019455252915</v>
      </c>
      <c r="I30" s="38"/>
      <c r="J30">
        <v>90</v>
      </c>
    </row>
    <row r="31" spans="1:10" x14ac:dyDescent="0.25">
      <c r="B31">
        <v>25.7</v>
      </c>
      <c r="C31" s="57">
        <v>46174</v>
      </c>
      <c r="D31" s="8">
        <v>16.2</v>
      </c>
      <c r="G31" s="38"/>
      <c r="H31" s="38">
        <f>(D31/B31)*100</f>
        <v>63.035019455252915</v>
      </c>
      <c r="I31" s="38"/>
      <c r="J31">
        <v>90</v>
      </c>
    </row>
    <row r="32" spans="1:10" x14ac:dyDescent="0.25">
      <c r="B32">
        <v>25.7</v>
      </c>
      <c r="C32" s="57">
        <v>46204</v>
      </c>
      <c r="D32" s="8">
        <v>16.3</v>
      </c>
      <c r="G32" s="38"/>
      <c r="H32" s="38">
        <f>(D32/B32)*100</f>
        <v>63.424124513618686</v>
      </c>
      <c r="I32" s="38"/>
      <c r="J32">
        <v>90</v>
      </c>
    </row>
    <row r="33" spans="2:10" x14ac:dyDescent="0.25">
      <c r="B33">
        <v>25.7</v>
      </c>
      <c r="C33" s="57">
        <v>46235</v>
      </c>
      <c r="D33" s="8">
        <v>16.3</v>
      </c>
      <c r="F33">
        <v>1.08</v>
      </c>
      <c r="G33" s="38">
        <f>D33</f>
        <v>16.3</v>
      </c>
      <c r="H33" s="38">
        <f>(D33/B33)*100</f>
        <v>63.424124513618686</v>
      </c>
      <c r="I33" s="38">
        <f t="shared" ref="I33" si="9">(G33/B33)*100</f>
        <v>63.424124513618686</v>
      </c>
      <c r="J33">
        <v>90</v>
      </c>
    </row>
    <row r="34" spans="2:10" x14ac:dyDescent="0.25">
      <c r="B34">
        <v>25.7</v>
      </c>
      <c r="C34" s="57">
        <v>46266</v>
      </c>
      <c r="D34" s="8"/>
      <c r="F34">
        <v>1.08</v>
      </c>
      <c r="G34" s="38">
        <f t="shared" ref="G34:G78" si="10">G33*(1+(F34^(1/12)-1))+E34</f>
        <v>16.404874690793058</v>
      </c>
      <c r="H34" s="38"/>
      <c r="I34" s="38">
        <f t="shared" ref="I34:I77" si="11">(G34/B34)*100</f>
        <v>63.832197240439911</v>
      </c>
      <c r="J34">
        <v>90</v>
      </c>
    </row>
    <row r="35" spans="2:10" x14ac:dyDescent="0.25">
      <c r="B35">
        <v>25.7</v>
      </c>
      <c r="C35" s="57">
        <v>46296</v>
      </c>
      <c r="D35" s="8"/>
      <c r="F35">
        <v>1.08</v>
      </c>
      <c r="G35" s="38">
        <f t="shared" si="10"/>
        <v>16.510424148504452</v>
      </c>
      <c r="H35" s="38"/>
      <c r="I35" s="38">
        <f t="shared" si="11"/>
        <v>64.242895519472569</v>
      </c>
      <c r="J35">
        <v>90</v>
      </c>
    </row>
    <row r="36" spans="2:10" x14ac:dyDescent="0.25">
      <c r="B36">
        <v>25.7</v>
      </c>
      <c r="C36" s="57">
        <v>46327</v>
      </c>
      <c r="D36" s="8"/>
      <c r="F36">
        <v>1.08</v>
      </c>
      <c r="G36" s="38">
        <f t="shared" si="10"/>
        <v>16.616652714604857</v>
      </c>
      <c r="H36" s="38"/>
      <c r="I36" s="38">
        <f t="shared" si="11"/>
        <v>64.65623624359867</v>
      </c>
      <c r="J36">
        <v>90</v>
      </c>
    </row>
    <row r="37" spans="2:10" x14ac:dyDescent="0.25">
      <c r="B37">
        <v>25.7</v>
      </c>
      <c r="C37" s="57">
        <v>46357</v>
      </c>
      <c r="D37" s="8"/>
      <c r="F37">
        <v>1.08</v>
      </c>
      <c r="G37" s="38">
        <f t="shared" si="10"/>
        <v>16.723564758498096</v>
      </c>
      <c r="H37" s="38"/>
      <c r="I37" s="38">
        <f t="shared" si="11"/>
        <v>65.072236414389479</v>
      </c>
      <c r="J37">
        <v>90</v>
      </c>
    </row>
    <row r="38" spans="2:10" x14ac:dyDescent="0.25">
      <c r="B38">
        <v>25.7</v>
      </c>
      <c r="C38" s="57">
        <v>46388</v>
      </c>
      <c r="D38" s="8"/>
      <c r="F38">
        <v>1.08</v>
      </c>
      <c r="G38" s="38">
        <f t="shared" si="10"/>
        <v>16.831164677700865</v>
      </c>
      <c r="H38" s="38"/>
      <c r="I38" s="38">
        <f t="shared" si="11"/>
        <v>65.490913142804928</v>
      </c>
      <c r="J38">
        <v>90</v>
      </c>
    </row>
    <row r="39" spans="2:10" x14ac:dyDescent="0.25">
      <c r="B39">
        <v>25.7</v>
      </c>
      <c r="C39" s="57">
        <v>46419</v>
      </c>
      <c r="D39" s="8"/>
      <c r="F39">
        <v>1.08</v>
      </c>
      <c r="G39" s="38">
        <f t="shared" si="10"/>
        <v>16.939456898023618</v>
      </c>
      <c r="H39" s="38"/>
      <c r="I39" s="38">
        <f t="shared" si="11"/>
        <v>65.912283649897347</v>
      </c>
      <c r="J39">
        <v>90</v>
      </c>
    </row>
    <row r="40" spans="2:10" x14ac:dyDescent="0.25">
      <c r="B40">
        <v>25.7</v>
      </c>
      <c r="C40" s="57">
        <v>46447</v>
      </c>
      <c r="D40" s="8"/>
      <c r="F40">
        <v>1.08</v>
      </c>
      <c r="G40" s="38">
        <f t="shared" si="10"/>
        <v>17.048445873752609</v>
      </c>
      <c r="H40" s="38"/>
      <c r="I40" s="38">
        <f t="shared" si="11"/>
        <v>66.336365267519881</v>
      </c>
      <c r="J40">
        <v>90</v>
      </c>
    </row>
    <row r="41" spans="2:10" x14ac:dyDescent="0.25">
      <c r="B41">
        <v>25.7</v>
      </c>
      <c r="C41" s="57">
        <v>46478</v>
      </c>
      <c r="D41" s="8"/>
      <c r="F41">
        <v>1.08</v>
      </c>
      <c r="G41" s="38">
        <f t="shared" si="10"/>
        <v>17.158136087833096</v>
      </c>
      <c r="H41" s="38"/>
      <c r="I41" s="38">
        <f t="shared" si="11"/>
        <v>66.763175439039287</v>
      </c>
      <c r="J41">
        <v>90</v>
      </c>
    </row>
    <row r="42" spans="2:10" x14ac:dyDescent="0.25">
      <c r="B42">
        <v>25.7</v>
      </c>
      <c r="C42" s="57">
        <v>46508</v>
      </c>
      <c r="D42" s="8"/>
      <c r="F42">
        <v>1.08</v>
      </c>
      <c r="G42" s="38">
        <f t="shared" si="10"/>
        <v>17.26853205205375</v>
      </c>
      <c r="H42" s="38"/>
      <c r="I42" s="38">
        <f t="shared" si="11"/>
        <v>67.192731720053501</v>
      </c>
      <c r="J42">
        <v>90</v>
      </c>
    </row>
    <row r="43" spans="2:10" x14ac:dyDescent="0.25">
      <c r="B43">
        <v>25.7</v>
      </c>
      <c r="C43" s="57">
        <v>46539</v>
      </c>
      <c r="D43" s="38"/>
      <c r="F43">
        <v>1.08</v>
      </c>
      <c r="G43" s="38">
        <f t="shared" si="10"/>
        <v>17.379638307232224</v>
      </c>
      <c r="H43" s="38"/>
      <c r="I43" s="38">
        <f t="shared" si="11"/>
        <v>67.625051779113704</v>
      </c>
      <c r="J43">
        <v>90</v>
      </c>
    </row>
    <row r="44" spans="2:10" x14ac:dyDescent="0.25">
      <c r="B44">
        <v>25.7</v>
      </c>
      <c r="C44" s="57">
        <v>46569</v>
      </c>
      <c r="F44">
        <v>1.08</v>
      </c>
      <c r="G44" s="38">
        <f t="shared" si="10"/>
        <v>17.491459423401924</v>
      </c>
      <c r="H44" s="38"/>
      <c r="I44" s="38">
        <f t="shared" si="11"/>
        <v>68.060153398451078</v>
      </c>
      <c r="J44">
        <v>90</v>
      </c>
    </row>
    <row r="45" spans="2:10" x14ac:dyDescent="0.25">
      <c r="B45">
        <v>25.7</v>
      </c>
      <c r="C45" s="57">
        <v>46600</v>
      </c>
      <c r="F45">
        <v>1.08</v>
      </c>
      <c r="G45" s="38">
        <f t="shared" si="10"/>
        <v>17.603999999999996</v>
      </c>
      <c r="H45" s="38"/>
      <c r="I45" s="38">
        <f t="shared" si="11"/>
        <v>68.498054474708155</v>
      </c>
      <c r="J45">
        <v>90</v>
      </c>
    </row>
    <row r="46" spans="2:10" x14ac:dyDescent="0.25">
      <c r="B46">
        <v>25.7</v>
      </c>
      <c r="C46" s="57">
        <v>46631</v>
      </c>
      <c r="F46">
        <v>1.08</v>
      </c>
      <c r="G46" s="38">
        <f t="shared" si="10"/>
        <v>17.717264666056497</v>
      </c>
      <c r="H46" s="38"/>
      <c r="I46" s="38">
        <f t="shared" si="11"/>
        <v>68.938773019675097</v>
      </c>
      <c r="J46">
        <v>90</v>
      </c>
    </row>
    <row r="47" spans="2:10" x14ac:dyDescent="0.25">
      <c r="B47">
        <v>25.7</v>
      </c>
      <c r="C47" s="57">
        <v>46661</v>
      </c>
      <c r="F47">
        <v>1.08</v>
      </c>
      <c r="G47" s="38">
        <f t="shared" si="10"/>
        <v>17.831258080384803</v>
      </c>
      <c r="H47" s="38"/>
      <c r="I47" s="38">
        <f t="shared" si="11"/>
        <v>69.382327161030361</v>
      </c>
      <c r="J47">
        <v>90</v>
      </c>
    </row>
    <row r="48" spans="2:10" x14ac:dyDescent="0.25">
      <c r="B48">
        <v>25.7</v>
      </c>
      <c r="C48" s="57">
        <v>46692</v>
      </c>
      <c r="E48" s="38"/>
      <c r="F48">
        <v>1.08</v>
      </c>
      <c r="G48" s="38">
        <f t="shared" si="10"/>
        <v>17.945984931773239</v>
      </c>
      <c r="H48" s="38"/>
      <c r="I48" s="38">
        <f t="shared" si="11"/>
        <v>69.828735143086533</v>
      </c>
      <c r="J48">
        <v>90</v>
      </c>
    </row>
    <row r="49" spans="2:10" x14ac:dyDescent="0.25">
      <c r="B49">
        <v>25.7</v>
      </c>
      <c r="C49" s="57">
        <v>46722</v>
      </c>
      <c r="E49" s="38"/>
      <c r="F49">
        <v>1.08</v>
      </c>
      <c r="G49" s="38">
        <f t="shared" si="10"/>
        <v>18.061449939177937</v>
      </c>
      <c r="H49" s="38"/>
      <c r="I49" s="38">
        <f t="shared" si="11"/>
        <v>70.278015327540615</v>
      </c>
      <c r="J49">
        <v>90</v>
      </c>
    </row>
    <row r="50" spans="2:10" x14ac:dyDescent="0.25">
      <c r="B50">
        <v>25.7</v>
      </c>
      <c r="C50" s="57">
        <v>46753</v>
      </c>
      <c r="E50" s="38"/>
      <c r="F50">
        <v>1.08</v>
      </c>
      <c r="G50" s="38">
        <f t="shared" si="10"/>
        <v>18.177657851916926</v>
      </c>
      <c r="H50" s="38"/>
      <c r="I50" s="38">
        <f t="shared" si="11"/>
        <v>70.730186194229276</v>
      </c>
      <c r="J50">
        <v>90</v>
      </c>
    </row>
    <row r="51" spans="2:10" x14ac:dyDescent="0.25">
      <c r="B51">
        <v>25.7</v>
      </c>
      <c r="C51" s="57">
        <v>46784</v>
      </c>
      <c r="F51">
        <v>1.08</v>
      </c>
      <c r="G51" s="38">
        <f t="shared" si="10"/>
        <v>18.294613449865501</v>
      </c>
      <c r="H51" s="38"/>
      <c r="I51" s="38">
        <f t="shared" si="11"/>
        <v>71.185266341889104</v>
      </c>
      <c r="J51">
        <v>90</v>
      </c>
    </row>
    <row r="52" spans="2:10" x14ac:dyDescent="0.25">
      <c r="B52">
        <v>25.7</v>
      </c>
      <c r="C52" s="57">
        <v>46813</v>
      </c>
      <c r="F52">
        <v>1.08</v>
      </c>
      <c r="G52" s="38">
        <f t="shared" si="10"/>
        <v>18.412321543652808</v>
      </c>
      <c r="H52" s="38"/>
      <c r="I52" s="38">
        <f t="shared" si="11"/>
        <v>71.643274488921435</v>
      </c>
      <c r="J52">
        <v>90</v>
      </c>
    </row>
    <row r="53" spans="2:10" x14ac:dyDescent="0.25">
      <c r="B53">
        <v>25.7</v>
      </c>
      <c r="C53" s="57">
        <v>46844</v>
      </c>
      <c r="F53">
        <v>1.08</v>
      </c>
      <c r="G53" s="38">
        <f t="shared" si="10"/>
        <v>18.530786974859737</v>
      </c>
      <c r="H53" s="38"/>
      <c r="I53" s="38">
        <f t="shared" si="11"/>
        <v>72.104229474162409</v>
      </c>
      <c r="J53">
        <v>90</v>
      </c>
    </row>
    <row r="54" spans="2:10" x14ac:dyDescent="0.25">
      <c r="B54">
        <v>25.7</v>
      </c>
      <c r="C54" s="57">
        <v>46874</v>
      </c>
      <c r="F54">
        <v>1.08</v>
      </c>
      <c r="G54" s="38">
        <f t="shared" si="10"/>
        <v>18.650014616218044</v>
      </c>
      <c r="H54" s="38"/>
      <c r="I54" s="38">
        <f t="shared" si="11"/>
        <v>72.568150257657763</v>
      </c>
      <c r="J54">
        <v>90</v>
      </c>
    </row>
    <row r="55" spans="2:10" x14ac:dyDescent="0.25">
      <c r="B55">
        <v>25.7</v>
      </c>
      <c r="C55" s="57">
        <v>46905</v>
      </c>
      <c r="F55">
        <v>1.08</v>
      </c>
      <c r="G55" s="38">
        <f t="shared" si="10"/>
        <v>18.770009371810794</v>
      </c>
      <c r="H55" s="38"/>
      <c r="I55" s="38">
        <f t="shared" si="11"/>
        <v>73.035055921442776</v>
      </c>
      <c r="J55">
        <v>90</v>
      </c>
    </row>
    <row r="56" spans="2:10" x14ac:dyDescent="0.25">
      <c r="B56">
        <v>25.7</v>
      </c>
      <c r="C56" s="57">
        <v>46935</v>
      </c>
      <c r="F56">
        <v>1.08</v>
      </c>
      <c r="G56" s="38">
        <f t="shared" si="10"/>
        <v>18.89077617727407</v>
      </c>
      <c r="H56" s="38"/>
      <c r="I56" s="38">
        <f t="shared" si="11"/>
        <v>73.504965670327124</v>
      </c>
      <c r="J56">
        <v>90</v>
      </c>
    </row>
    <row r="57" spans="2:10" x14ac:dyDescent="0.25">
      <c r="B57">
        <v>25.7</v>
      </c>
      <c r="C57" s="57">
        <v>46966</v>
      </c>
      <c r="F57">
        <v>1.08</v>
      </c>
      <c r="G57" s="38">
        <f t="shared" si="10"/>
        <v>19.012319999999988</v>
      </c>
      <c r="H57" s="38"/>
      <c r="I57" s="38">
        <f t="shared" si="11"/>
        <v>73.977898832684787</v>
      </c>
      <c r="J57">
        <v>90</v>
      </c>
    </row>
    <row r="58" spans="2:10" x14ac:dyDescent="0.25">
      <c r="B58">
        <v>25.7</v>
      </c>
      <c r="C58" s="57">
        <v>46997</v>
      </c>
      <c r="F58">
        <v>1.08</v>
      </c>
      <c r="G58" s="38">
        <f t="shared" si="10"/>
        <v>19.134645839341008</v>
      </c>
      <c r="H58" s="38"/>
      <c r="I58" s="38">
        <f t="shared" si="11"/>
        <v>74.453874861249062</v>
      </c>
      <c r="J58">
        <v>90</v>
      </c>
    </row>
    <row r="59" spans="2:10" x14ac:dyDescent="0.25">
      <c r="B59">
        <v>25.7</v>
      </c>
      <c r="C59" s="57">
        <v>47027</v>
      </c>
      <c r="F59">
        <v>1.08</v>
      </c>
      <c r="G59" s="38">
        <f t="shared" si="10"/>
        <v>19.257758726815581</v>
      </c>
      <c r="H59" s="38"/>
      <c r="I59" s="38">
        <f t="shared" si="11"/>
        <v>74.932913333912765</v>
      </c>
      <c r="J59">
        <v>90</v>
      </c>
    </row>
    <row r="60" spans="2:10" x14ac:dyDescent="0.25">
      <c r="B60">
        <v>25.7</v>
      </c>
      <c r="C60" s="57">
        <v>47058</v>
      </c>
      <c r="F60">
        <v>1.08</v>
      </c>
      <c r="G60" s="38">
        <f t="shared" si="10"/>
        <v>19.381663726315093</v>
      </c>
      <c r="H60" s="38"/>
      <c r="I60" s="38">
        <f t="shared" si="11"/>
        <v>75.415033954533442</v>
      </c>
      <c r="J60">
        <v>90</v>
      </c>
    </row>
    <row r="61" spans="2:10" x14ac:dyDescent="0.25">
      <c r="B61">
        <v>25.7</v>
      </c>
      <c r="C61" s="57">
        <v>47088</v>
      </c>
      <c r="F61">
        <v>1.08</v>
      </c>
      <c r="G61" s="38">
        <f t="shared" si="10"/>
        <v>19.506365934312164</v>
      </c>
      <c r="H61" s="38"/>
      <c r="I61" s="38">
        <f t="shared" si="11"/>
        <v>75.90025655374383</v>
      </c>
      <c r="J61">
        <v>90</v>
      </c>
    </row>
    <row r="62" spans="2:10" x14ac:dyDescent="0.25">
      <c r="B62">
        <v>25.7</v>
      </c>
      <c r="C62" s="57">
        <v>47119</v>
      </c>
      <c r="D62" s="38"/>
      <c r="F62">
        <v>1.08</v>
      </c>
      <c r="G62" s="38">
        <f t="shared" si="10"/>
        <v>19.631870480070273</v>
      </c>
      <c r="H62" s="38"/>
      <c r="I62" s="38">
        <f t="shared" si="11"/>
        <v>76.388601089767604</v>
      </c>
      <c r="J62">
        <v>90</v>
      </c>
    </row>
    <row r="63" spans="2:10" x14ac:dyDescent="0.25">
      <c r="B63">
        <v>25.7</v>
      </c>
      <c r="C63" s="57">
        <v>47150</v>
      </c>
      <c r="D63" s="38"/>
      <c r="F63">
        <v>1.08</v>
      </c>
      <c r="G63" s="38">
        <f t="shared" si="10"/>
        <v>19.758182525854732</v>
      </c>
      <c r="H63" s="38"/>
      <c r="I63" s="38">
        <f t="shared" si="11"/>
        <v>76.88008764924021</v>
      </c>
      <c r="J63">
        <v>90</v>
      </c>
    </row>
    <row r="64" spans="2:10" x14ac:dyDescent="0.25">
      <c r="B64">
        <v>25.7</v>
      </c>
      <c r="C64" s="57">
        <v>47178</v>
      </c>
      <c r="D64" s="38"/>
      <c r="F64">
        <v>1.08</v>
      </c>
      <c r="G64" s="38">
        <f t="shared" si="10"/>
        <v>19.885307267145024</v>
      </c>
      <c r="H64" s="38"/>
      <c r="I64" s="38">
        <f t="shared" si="11"/>
        <v>77.374736448035108</v>
      </c>
      <c r="J64">
        <v>90</v>
      </c>
    </row>
    <row r="65" spans="2:10" x14ac:dyDescent="0.25">
      <c r="B65">
        <v>25.7</v>
      </c>
      <c r="C65" s="57">
        <v>47209</v>
      </c>
      <c r="D65" s="38"/>
      <c r="F65">
        <v>1.08</v>
      </c>
      <c r="G65" s="38">
        <f t="shared" si="10"/>
        <v>20.013249932848506</v>
      </c>
      <c r="H65" s="38"/>
      <c r="I65" s="38">
        <f t="shared" si="11"/>
        <v>77.872567832095356</v>
      </c>
      <c r="J65">
        <v>90</v>
      </c>
    </row>
    <row r="66" spans="2:10" x14ac:dyDescent="0.25">
      <c r="B66">
        <v>25.7</v>
      </c>
      <c r="C66" s="57">
        <v>47239</v>
      </c>
      <c r="D66" s="38"/>
      <c r="F66">
        <v>1.08</v>
      </c>
      <c r="G66" s="38">
        <f t="shared" si="10"/>
        <v>20.142015785515479</v>
      </c>
      <c r="H66" s="38"/>
      <c r="I66" s="38">
        <f t="shared" si="11"/>
        <v>78.373602278270354</v>
      </c>
      <c r="J66">
        <v>90</v>
      </c>
    </row>
    <row r="67" spans="2:10" x14ac:dyDescent="0.25">
      <c r="B67">
        <v>25.7</v>
      </c>
      <c r="C67" s="57">
        <v>47270</v>
      </c>
      <c r="D67" s="38"/>
      <c r="F67">
        <v>1.08</v>
      </c>
      <c r="G67" s="38">
        <f t="shared" si="10"/>
        <v>20.27161012155565</v>
      </c>
      <c r="H67" s="38"/>
      <c r="I67" s="38">
        <f t="shared" si="11"/>
        <v>78.877860395158166</v>
      </c>
      <c r="J67">
        <v>90</v>
      </c>
    </row>
    <row r="68" spans="2:10" x14ac:dyDescent="0.25">
      <c r="B68">
        <v>25.7</v>
      </c>
      <c r="C68" s="57">
        <v>47300</v>
      </c>
      <c r="F68">
        <v>1.08</v>
      </c>
      <c r="G68" s="38">
        <f t="shared" si="10"/>
        <v>20.402038271455989</v>
      </c>
      <c r="H68" s="38"/>
      <c r="I68" s="38">
        <f t="shared" si="11"/>
        <v>79.385362923953267</v>
      </c>
      <c r="J68">
        <v>90</v>
      </c>
    </row>
    <row r="69" spans="2:10" x14ac:dyDescent="0.25">
      <c r="B69">
        <v>25.7</v>
      </c>
      <c r="C69" s="57">
        <v>47331</v>
      </c>
      <c r="F69">
        <v>1.08</v>
      </c>
      <c r="G69" s="38">
        <f t="shared" si="10"/>
        <v>20.533305599999981</v>
      </c>
      <c r="H69" s="38"/>
      <c r="I69" s="38">
        <f t="shared" si="11"/>
        <v>79.896130739299537</v>
      </c>
      <c r="J69">
        <v>90</v>
      </c>
    </row>
    <row r="70" spans="2:10" x14ac:dyDescent="0.25">
      <c r="B70">
        <v>25.7</v>
      </c>
      <c r="C70" s="57">
        <v>47362</v>
      </c>
      <c r="F70">
        <v>1.08</v>
      </c>
      <c r="G70" s="38">
        <f t="shared" si="10"/>
        <v>20.665417506488282</v>
      </c>
      <c r="H70" s="38"/>
      <c r="I70" s="38">
        <f t="shared" si="11"/>
        <v>80.410184850148951</v>
      </c>
      <c r="J70">
        <v>90</v>
      </c>
    </row>
    <row r="71" spans="2:10" x14ac:dyDescent="0.25">
      <c r="B71">
        <v>25.7</v>
      </c>
      <c r="C71" s="57">
        <v>47392</v>
      </c>
      <c r="F71">
        <v>1.08</v>
      </c>
      <c r="G71" s="38">
        <f t="shared" si="10"/>
        <v>20.798379424960821</v>
      </c>
      <c r="H71" s="38"/>
      <c r="I71" s="38">
        <f t="shared" si="11"/>
        <v>80.927546400625758</v>
      </c>
      <c r="J71">
        <v>90</v>
      </c>
    </row>
    <row r="72" spans="2:10" x14ac:dyDescent="0.25">
      <c r="B72">
        <v>25.7</v>
      </c>
      <c r="C72" s="57">
        <v>47423</v>
      </c>
      <c r="F72">
        <v>1.08</v>
      </c>
      <c r="G72" s="38">
        <f t="shared" si="10"/>
        <v>20.932196824420295</v>
      </c>
      <c r="H72" s="38"/>
      <c r="I72" s="74">
        <f t="shared" si="11"/>
        <v>81.448236670896094</v>
      </c>
      <c r="J72">
        <v>90</v>
      </c>
    </row>
    <row r="73" spans="2:10" x14ac:dyDescent="0.25">
      <c r="B73">
        <v>25.7</v>
      </c>
      <c r="C73" s="57">
        <v>47453</v>
      </c>
      <c r="F73">
        <v>1.08</v>
      </c>
      <c r="G73" s="38">
        <f t="shared" si="10"/>
        <v>21.066875209057134</v>
      </c>
      <c r="H73" s="38"/>
      <c r="I73" s="74">
        <f t="shared" si="11"/>
        <v>81.972277078043319</v>
      </c>
      <c r="J73">
        <v>90</v>
      </c>
    </row>
    <row r="74" spans="2:10" x14ac:dyDescent="0.25">
      <c r="B74">
        <v>25.7</v>
      </c>
      <c r="C74" s="57">
        <v>47484</v>
      </c>
      <c r="F74">
        <v>1.08</v>
      </c>
      <c r="G74" s="38">
        <f t="shared" si="10"/>
        <v>21.202420118475892</v>
      </c>
      <c r="H74" s="38"/>
      <c r="I74" s="74">
        <f t="shared" si="11"/>
        <v>82.499689176949005</v>
      </c>
      <c r="J74">
        <v>90</v>
      </c>
    </row>
    <row r="75" spans="2:10" x14ac:dyDescent="0.25">
      <c r="B75">
        <v>25.7</v>
      </c>
      <c r="C75" s="57">
        <v>47515</v>
      </c>
      <c r="F75">
        <v>1.08</v>
      </c>
      <c r="G75" s="38">
        <f t="shared" si="10"/>
        <v>21.33883712792311</v>
      </c>
      <c r="H75" s="38"/>
      <c r="I75" s="74">
        <f t="shared" si="11"/>
        <v>83.030494661179418</v>
      </c>
      <c r="J75">
        <v>90</v>
      </c>
    </row>
    <row r="76" spans="2:10" x14ac:dyDescent="0.25">
      <c r="B76">
        <v>25.7</v>
      </c>
      <c r="C76" s="57">
        <v>47543</v>
      </c>
      <c r="F76">
        <v>1.08</v>
      </c>
      <c r="G76" s="38">
        <f t="shared" si="10"/>
        <v>21.476131848516626</v>
      </c>
      <c r="H76" s="38"/>
      <c r="I76" s="74">
        <f t="shared" si="11"/>
        <v>83.564715363877923</v>
      </c>
      <c r="J76">
        <v>90</v>
      </c>
    </row>
    <row r="77" spans="2:10" x14ac:dyDescent="0.25">
      <c r="B77">
        <v>25.7</v>
      </c>
      <c r="C77" s="57">
        <v>47574</v>
      </c>
      <c r="F77">
        <v>1.08</v>
      </c>
      <c r="G77" s="38">
        <f t="shared" si="10"/>
        <v>21.614309927476388</v>
      </c>
      <c r="H77" s="38"/>
      <c r="I77" s="74">
        <f t="shared" si="11"/>
        <v>84.102373258662993</v>
      </c>
      <c r="J77">
        <v>90</v>
      </c>
    </row>
    <row r="78" spans="2:10" x14ac:dyDescent="0.25">
      <c r="B78">
        <v>25.7</v>
      </c>
      <c r="C78" s="57">
        <v>47604</v>
      </c>
      <c r="F78">
        <v>1.08</v>
      </c>
      <c r="G78" s="38">
        <f t="shared" si="10"/>
        <v>21.753377048356718</v>
      </c>
      <c r="H78" s="38"/>
      <c r="I78" s="74">
        <f t="shared" ref="I78:I85" si="12">(G78/B78)*100</f>
        <v>84.643490460531979</v>
      </c>
      <c r="J78">
        <v>90</v>
      </c>
    </row>
    <row r="79" spans="2:10" x14ac:dyDescent="0.25">
      <c r="B79">
        <v>25.7</v>
      </c>
      <c r="C79" s="57">
        <v>47635</v>
      </c>
      <c r="F79">
        <v>1.08</v>
      </c>
      <c r="G79" s="38">
        <f t="shared" ref="G79:G85" si="13">G78*(1+(F79^(1/12)-1))+E79</f>
        <v>21.893338931280102</v>
      </c>
      <c r="H79" s="38"/>
      <c r="I79" s="74">
        <f t="shared" si="12"/>
        <v>85.188089226770828</v>
      </c>
      <c r="J79">
        <v>90</v>
      </c>
    </row>
    <row r="80" spans="2:10" x14ac:dyDescent="0.25">
      <c r="B80">
        <v>25.7</v>
      </c>
      <c r="C80" s="57">
        <v>47665</v>
      </c>
      <c r="F80">
        <v>1.08</v>
      </c>
      <c r="G80" s="38">
        <f t="shared" si="13"/>
        <v>22.034201333172469</v>
      </c>
      <c r="H80" s="38"/>
      <c r="I80" s="74">
        <f t="shared" si="12"/>
        <v>85.736191957869536</v>
      </c>
      <c r="J80">
        <v>90</v>
      </c>
    </row>
    <row r="81" spans="2:10" x14ac:dyDescent="0.25">
      <c r="B81">
        <v>25.7</v>
      </c>
      <c r="C81" s="57">
        <v>47696</v>
      </c>
      <c r="F81">
        <v>1.08</v>
      </c>
      <c r="G81" s="38">
        <f t="shared" si="13"/>
        <v>22.175970047999979</v>
      </c>
      <c r="I81" s="74">
        <f t="shared" si="12"/>
        <v>86.28782119844351</v>
      </c>
      <c r="J81">
        <v>90</v>
      </c>
    </row>
    <row r="82" spans="2:10" x14ac:dyDescent="0.25">
      <c r="B82">
        <v>25.7</v>
      </c>
      <c r="C82" s="57">
        <v>47727</v>
      </c>
      <c r="F82">
        <v>1.08</v>
      </c>
      <c r="G82" s="38">
        <f t="shared" si="13"/>
        <v>22.318650907007346</v>
      </c>
      <c r="I82" s="74">
        <f t="shared" si="12"/>
        <v>86.842999638160876</v>
      </c>
      <c r="J82">
        <v>90</v>
      </c>
    </row>
    <row r="83" spans="2:10" x14ac:dyDescent="0.25">
      <c r="B83">
        <v>25.7</v>
      </c>
      <c r="C83" s="57">
        <v>47757</v>
      </c>
      <c r="F83">
        <v>1.08</v>
      </c>
      <c r="G83" s="38">
        <f t="shared" si="13"/>
        <v>22.462249778957688</v>
      </c>
      <c r="I83" s="74">
        <f t="shared" si="12"/>
        <v>87.401750112675828</v>
      </c>
      <c r="J83">
        <v>90</v>
      </c>
    </row>
    <row r="84" spans="2:10" x14ac:dyDescent="0.25">
      <c r="B84">
        <v>25.7</v>
      </c>
      <c r="C84" s="57">
        <v>47788</v>
      </c>
      <c r="F84">
        <v>1.08</v>
      </c>
      <c r="G84" s="38">
        <f t="shared" si="13"/>
        <v>22.60677257037392</v>
      </c>
      <c r="I84" s="74">
        <f t="shared" si="12"/>
        <v>87.964095604567788</v>
      </c>
      <c r="J84">
        <v>90</v>
      </c>
    </row>
    <row r="85" spans="2:10" x14ac:dyDescent="0.25">
      <c r="B85">
        <v>25.7</v>
      </c>
      <c r="C85" s="57">
        <v>47818</v>
      </c>
      <c r="F85">
        <v>1.08</v>
      </c>
      <c r="G85" s="38">
        <f t="shared" si="13"/>
        <v>22.752225225781704</v>
      </c>
      <c r="I85" s="74">
        <f t="shared" si="12"/>
        <v>88.53005924428679</v>
      </c>
      <c r="J85">
        <v>90</v>
      </c>
    </row>
    <row r="86" spans="2:10" x14ac:dyDescent="0.25">
      <c r="C86" s="57"/>
      <c r="G86" s="38"/>
      <c r="I86" s="38"/>
    </row>
    <row r="87" spans="2:10" x14ac:dyDescent="0.25">
      <c r="C87" s="57"/>
      <c r="G87" s="38"/>
      <c r="I87" s="38"/>
    </row>
    <row r="88" spans="2:10" x14ac:dyDescent="0.25">
      <c r="C88" s="57"/>
      <c r="G88" s="38"/>
      <c r="I88" s="38"/>
    </row>
    <row r="89" spans="2:10" x14ac:dyDescent="0.25">
      <c r="C89" s="57"/>
      <c r="G89" s="38"/>
      <c r="I89" s="38"/>
    </row>
    <row r="90" spans="2:10" x14ac:dyDescent="0.25">
      <c r="C90" s="57"/>
      <c r="G90" s="38"/>
      <c r="I90" s="38"/>
    </row>
    <row r="91" spans="2:10" x14ac:dyDescent="0.25">
      <c r="C91" s="57"/>
      <c r="G91" s="38"/>
      <c r="I91" s="38"/>
    </row>
  </sheetData>
  <conditionalFormatting sqref="I2:I85">
    <cfRule type="cellIs" dxfId="23" priority="1" operator="greaterThan">
      <formula>$J$2</formula>
    </cfRule>
  </conditionalFormatting>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AE7F5-EFD9-41FC-BC4A-87384EABF656}">
  <sheetPr codeName="Sheet6"/>
  <dimension ref="A1:J117"/>
  <sheetViews>
    <sheetView zoomScale="85" zoomScaleNormal="85" workbookViewId="0">
      <pane ySplit="1" topLeftCell="A47" activePane="bottomLeft" state="frozen"/>
      <selection pane="bottomLeft" activeCell="D54" sqref="D54"/>
    </sheetView>
  </sheetViews>
  <sheetFormatPr defaultRowHeight="15" x14ac:dyDescent="0.25"/>
  <cols>
    <col min="1" max="1" width="38.7109375" bestFit="1" customWidth="1"/>
    <col min="2" max="2" width="13.7109375" bestFit="1" customWidth="1"/>
    <col min="5" max="5" width="11.140625" bestFit="1" customWidth="1"/>
    <col min="6" max="6" width="10.5703125" bestFit="1" customWidth="1"/>
    <col min="7" max="7" width="15.7109375" bestFit="1" customWidth="1"/>
    <col min="8" max="8" width="10.140625" bestFit="1" customWidth="1"/>
    <col min="9" max="9" width="13.140625" bestFit="1" customWidth="1"/>
    <col min="12" max="12" width="17.7109375" bestFit="1" customWidth="1"/>
    <col min="13" max="13" width="31.7109375" bestFit="1" customWidth="1"/>
    <col min="14" max="14" width="45.7109375" bestFit="1" customWidth="1"/>
  </cols>
  <sheetData>
    <row r="1" spans="1:10" x14ac:dyDescent="0.25">
      <c r="A1" s="61" t="s">
        <v>211</v>
      </c>
      <c r="B1" s="61" t="s">
        <v>119</v>
      </c>
      <c r="C1" s="61" t="s">
        <v>2</v>
      </c>
      <c r="D1" s="61" t="s">
        <v>120</v>
      </c>
      <c r="E1" s="61" t="s">
        <v>121</v>
      </c>
      <c r="F1" s="61" t="s">
        <v>122</v>
      </c>
      <c r="G1" s="61" t="s">
        <v>123</v>
      </c>
      <c r="H1" s="61" t="s">
        <v>124</v>
      </c>
      <c r="I1" s="61" t="s">
        <v>125</v>
      </c>
      <c r="J1" s="61" t="s">
        <v>126</v>
      </c>
    </row>
    <row r="2" spans="1:10" x14ac:dyDescent="0.25">
      <c r="A2" t="s">
        <v>108</v>
      </c>
      <c r="B2">
        <f>25.7</f>
        <v>25.7</v>
      </c>
      <c r="C2" s="57">
        <v>44562</v>
      </c>
      <c r="D2" s="8">
        <f>'Data Collection Sheet'!I$124</f>
        <v>12.65</v>
      </c>
      <c r="E2" s="38"/>
      <c r="F2" s="38"/>
      <c r="G2" s="38"/>
      <c r="H2" s="38">
        <f t="shared" ref="H2:H21" si="0">(D2/B2)*100</f>
        <v>49.221789883268485</v>
      </c>
      <c r="I2" s="38"/>
      <c r="J2">
        <v>75</v>
      </c>
    </row>
    <row r="3" spans="1:10" x14ac:dyDescent="0.25">
      <c r="B3">
        <f t="shared" ref="B3:B66" si="1">25.7</f>
        <v>25.7</v>
      </c>
      <c r="C3" s="57">
        <v>44593</v>
      </c>
      <c r="D3" s="8">
        <f>'Data Collection Sheet'!J$124</f>
        <v>12.75</v>
      </c>
      <c r="E3" s="38"/>
      <c r="F3" s="38"/>
      <c r="G3" s="38"/>
      <c r="H3" s="38">
        <f t="shared" si="0"/>
        <v>49.610894941634243</v>
      </c>
      <c r="I3" s="38"/>
      <c r="J3">
        <v>75</v>
      </c>
    </row>
    <row r="4" spans="1:10" x14ac:dyDescent="0.25">
      <c r="B4">
        <f t="shared" si="1"/>
        <v>25.7</v>
      </c>
      <c r="C4" s="57">
        <v>44621</v>
      </c>
      <c r="D4" s="8">
        <f>'Data Collection Sheet'!K$124</f>
        <v>12.85</v>
      </c>
      <c r="E4" s="38"/>
      <c r="F4" s="38"/>
      <c r="G4" s="38"/>
      <c r="H4" s="38">
        <f t="shared" si="0"/>
        <v>50</v>
      </c>
      <c r="I4" s="38"/>
      <c r="J4">
        <v>75</v>
      </c>
    </row>
    <row r="5" spans="1:10" x14ac:dyDescent="0.25">
      <c r="B5">
        <f t="shared" si="1"/>
        <v>25.7</v>
      </c>
      <c r="C5" s="57">
        <v>44652</v>
      </c>
      <c r="D5" s="8">
        <f>'Data Collection Sheet'!L$124</f>
        <v>12.3874</v>
      </c>
      <c r="G5" s="38"/>
      <c r="H5" s="38">
        <f t="shared" si="0"/>
        <v>48.199999999999996</v>
      </c>
      <c r="I5" s="38"/>
      <c r="J5">
        <v>75</v>
      </c>
    </row>
    <row r="6" spans="1:10" x14ac:dyDescent="0.25">
      <c r="B6">
        <f t="shared" si="1"/>
        <v>25.7</v>
      </c>
      <c r="C6" s="57">
        <v>44682</v>
      </c>
      <c r="D6" s="8">
        <f>'Data Collection Sheet'!M$124</f>
        <v>12.4</v>
      </c>
      <c r="G6" s="38"/>
      <c r="H6" s="38">
        <f t="shared" si="0"/>
        <v>48.249027237354085</v>
      </c>
      <c r="I6" s="38"/>
      <c r="J6">
        <v>75</v>
      </c>
    </row>
    <row r="7" spans="1:10" x14ac:dyDescent="0.25">
      <c r="A7" t="s">
        <v>212</v>
      </c>
      <c r="B7">
        <f t="shared" si="1"/>
        <v>25.7</v>
      </c>
      <c r="C7" s="57">
        <v>44713</v>
      </c>
      <c r="D7" s="8">
        <f>'Data Collection Sheet'!N$124</f>
        <v>12.6</v>
      </c>
      <c r="G7" s="38"/>
      <c r="H7" s="38">
        <f t="shared" si="0"/>
        <v>49.027237354085599</v>
      </c>
      <c r="I7" s="38"/>
      <c r="J7">
        <v>75</v>
      </c>
    </row>
    <row r="8" spans="1:10" x14ac:dyDescent="0.25">
      <c r="B8">
        <f t="shared" si="1"/>
        <v>25.7</v>
      </c>
      <c r="C8" s="57">
        <v>44743</v>
      </c>
      <c r="D8" s="8">
        <f>'Data Collection Sheet'!O$124</f>
        <v>12.8</v>
      </c>
      <c r="G8" s="38"/>
      <c r="H8" s="38">
        <f t="shared" si="0"/>
        <v>49.805447470817128</v>
      </c>
      <c r="I8" s="38"/>
      <c r="J8">
        <v>75</v>
      </c>
    </row>
    <row r="9" spans="1:10" x14ac:dyDescent="0.25">
      <c r="B9">
        <f t="shared" si="1"/>
        <v>25.7</v>
      </c>
      <c r="C9" s="57">
        <v>44774</v>
      </c>
      <c r="D9" s="8">
        <f>'Data Collection Sheet'!P$124</f>
        <v>11.4</v>
      </c>
      <c r="G9" s="38"/>
      <c r="H9" s="38">
        <f t="shared" si="0"/>
        <v>44.357976653696504</v>
      </c>
      <c r="I9" s="38"/>
      <c r="J9">
        <v>75</v>
      </c>
    </row>
    <row r="10" spans="1:10" x14ac:dyDescent="0.25">
      <c r="B10">
        <f t="shared" si="1"/>
        <v>25.7</v>
      </c>
      <c r="C10" s="57">
        <v>44805</v>
      </c>
      <c r="D10" s="8">
        <f>'Data Collection Sheet'!Q$124</f>
        <v>11.8</v>
      </c>
      <c r="G10" s="38"/>
      <c r="H10" s="38">
        <f t="shared" si="0"/>
        <v>45.914396887159533</v>
      </c>
      <c r="I10" s="38"/>
      <c r="J10">
        <v>75</v>
      </c>
    </row>
    <row r="11" spans="1:10" x14ac:dyDescent="0.25">
      <c r="B11">
        <f t="shared" si="1"/>
        <v>25.7</v>
      </c>
      <c r="C11" s="57">
        <v>44835</v>
      </c>
      <c r="D11" s="8">
        <f>'Data Collection Sheet'!R$124</f>
        <v>12</v>
      </c>
      <c r="G11" s="38"/>
      <c r="H11" s="38">
        <f t="shared" si="0"/>
        <v>46.692607003891048</v>
      </c>
      <c r="I11" s="38"/>
      <c r="J11">
        <v>75</v>
      </c>
    </row>
    <row r="12" spans="1:10" x14ac:dyDescent="0.25">
      <c r="B12">
        <f t="shared" si="1"/>
        <v>25.7</v>
      </c>
      <c r="C12" s="57">
        <v>44866</v>
      </c>
      <c r="D12" s="8">
        <f>'Data Collection Sheet'!S$124</f>
        <v>12.1</v>
      </c>
      <c r="G12" s="38"/>
      <c r="H12" s="38">
        <f t="shared" si="0"/>
        <v>47.081712062256805</v>
      </c>
      <c r="I12" s="38"/>
      <c r="J12">
        <v>75</v>
      </c>
    </row>
    <row r="13" spans="1:10" x14ac:dyDescent="0.25">
      <c r="B13">
        <f t="shared" si="1"/>
        <v>25.7</v>
      </c>
      <c r="C13" s="57">
        <v>44896</v>
      </c>
      <c r="D13" s="8">
        <f>'Data Collection Sheet'!T$124</f>
        <v>12.5</v>
      </c>
      <c r="G13" s="38"/>
      <c r="H13" s="38">
        <f t="shared" si="0"/>
        <v>48.638132295719842</v>
      </c>
      <c r="I13" s="38"/>
      <c r="J13">
        <v>75</v>
      </c>
    </row>
    <row r="14" spans="1:10" x14ac:dyDescent="0.25">
      <c r="B14">
        <f t="shared" si="1"/>
        <v>25.7</v>
      </c>
      <c r="C14" s="57">
        <v>44927</v>
      </c>
      <c r="D14" s="8">
        <f>'Data Collection Sheet'!U$124</f>
        <v>12.2</v>
      </c>
      <c r="G14" s="38"/>
      <c r="H14" s="38">
        <f t="shared" si="0"/>
        <v>47.470817120622563</v>
      </c>
      <c r="I14" s="38"/>
      <c r="J14">
        <v>75</v>
      </c>
    </row>
    <row r="15" spans="1:10" x14ac:dyDescent="0.25">
      <c r="B15">
        <f t="shared" si="1"/>
        <v>25.7</v>
      </c>
      <c r="C15" s="57">
        <v>44958</v>
      </c>
      <c r="D15" s="8">
        <f>'Data Collection Sheet'!V$124</f>
        <v>12.3</v>
      </c>
      <c r="G15" s="38"/>
      <c r="H15" s="38">
        <f t="shared" si="0"/>
        <v>47.859922178988327</v>
      </c>
      <c r="I15" s="38"/>
      <c r="J15">
        <v>75</v>
      </c>
    </row>
    <row r="16" spans="1:10" x14ac:dyDescent="0.25">
      <c r="B16">
        <f t="shared" si="1"/>
        <v>25.7</v>
      </c>
      <c r="C16" s="57">
        <v>44986</v>
      </c>
      <c r="D16" s="8">
        <f>'Data Collection Sheet'!W$124</f>
        <v>12</v>
      </c>
      <c r="G16" s="38"/>
      <c r="H16" s="38">
        <f t="shared" si="0"/>
        <v>46.692607003891048</v>
      </c>
      <c r="I16" s="38"/>
      <c r="J16">
        <v>75</v>
      </c>
    </row>
    <row r="17" spans="1:10" x14ac:dyDescent="0.25">
      <c r="B17">
        <f t="shared" si="1"/>
        <v>25.7</v>
      </c>
      <c r="C17" s="57">
        <v>45017</v>
      </c>
      <c r="D17" s="8">
        <f>'Data Collection Sheet'!X$124</f>
        <v>11.9</v>
      </c>
      <c r="G17" s="38"/>
      <c r="H17" s="38">
        <f t="shared" si="0"/>
        <v>46.303501945525291</v>
      </c>
      <c r="I17" s="38"/>
      <c r="J17">
        <v>75</v>
      </c>
    </row>
    <row r="18" spans="1:10" x14ac:dyDescent="0.25">
      <c r="B18">
        <f t="shared" si="1"/>
        <v>25.7</v>
      </c>
      <c r="C18" s="57">
        <v>45047</v>
      </c>
      <c r="D18" s="8">
        <f>'Data Collection Sheet'!Y$124</f>
        <v>12.1</v>
      </c>
      <c r="G18" s="38"/>
      <c r="H18" s="38">
        <f t="shared" si="0"/>
        <v>47.081712062256805</v>
      </c>
      <c r="I18" s="38"/>
      <c r="J18">
        <v>75</v>
      </c>
    </row>
    <row r="19" spans="1:10" x14ac:dyDescent="0.25">
      <c r="B19">
        <f t="shared" si="1"/>
        <v>25.7</v>
      </c>
      <c r="C19" s="57">
        <v>45078</v>
      </c>
      <c r="D19" s="8">
        <f>'Data Collection Sheet'!Z$124</f>
        <v>11.2</v>
      </c>
      <c r="G19" s="38"/>
      <c r="H19" s="38">
        <f t="shared" si="0"/>
        <v>43.579766536964982</v>
      </c>
      <c r="I19" s="38"/>
      <c r="J19">
        <v>75</v>
      </c>
    </row>
    <row r="20" spans="1:10" x14ac:dyDescent="0.25">
      <c r="B20">
        <f t="shared" si="1"/>
        <v>25.7</v>
      </c>
      <c r="C20" s="57">
        <v>45108</v>
      </c>
      <c r="D20" s="8">
        <f>'Data Collection Sheet'!AA$124</f>
        <v>11.5</v>
      </c>
      <c r="G20" s="38"/>
      <c r="H20" s="38">
        <f t="shared" si="0"/>
        <v>44.747081712062261</v>
      </c>
      <c r="I20" s="38"/>
      <c r="J20">
        <v>75</v>
      </c>
    </row>
    <row r="21" spans="1:10" x14ac:dyDescent="0.25">
      <c r="B21">
        <f t="shared" si="1"/>
        <v>25.7</v>
      </c>
      <c r="C21" s="57">
        <v>45139</v>
      </c>
      <c r="D21" s="8">
        <f>'Data Collection Sheet'!AB$124</f>
        <v>11.7</v>
      </c>
      <c r="G21" s="38"/>
      <c r="H21" s="38">
        <f t="shared" si="0"/>
        <v>45.525291828793776</v>
      </c>
      <c r="I21" s="38"/>
      <c r="J21">
        <v>75</v>
      </c>
    </row>
    <row r="22" spans="1:10" x14ac:dyDescent="0.25">
      <c r="B22">
        <f t="shared" si="1"/>
        <v>25.7</v>
      </c>
      <c r="C22" s="57">
        <v>45170</v>
      </c>
      <c r="D22" s="8">
        <f>'Data Collection Sheet'!AC$124</f>
        <v>12</v>
      </c>
      <c r="G22" s="38"/>
      <c r="H22" s="38">
        <f t="shared" ref="H22" si="2">(D22/B22)*100</f>
        <v>46.692607003891048</v>
      </c>
      <c r="I22" s="38"/>
      <c r="J22">
        <v>75</v>
      </c>
    </row>
    <row r="23" spans="1:10" x14ac:dyDescent="0.25">
      <c r="B23">
        <f t="shared" si="1"/>
        <v>25.7</v>
      </c>
      <c r="C23" s="57">
        <v>45200</v>
      </c>
      <c r="D23" s="8">
        <f>'Data Collection Sheet'!AD$124</f>
        <v>12.2</v>
      </c>
      <c r="G23" s="38"/>
      <c r="H23" s="38">
        <f t="shared" ref="H23:H28" si="3">(D23/B23)*100</f>
        <v>47.470817120622563</v>
      </c>
      <c r="I23" s="38"/>
      <c r="J23">
        <v>75</v>
      </c>
    </row>
    <row r="24" spans="1:10" x14ac:dyDescent="0.25">
      <c r="B24">
        <f t="shared" si="1"/>
        <v>25.7</v>
      </c>
      <c r="C24" s="57">
        <v>45231</v>
      </c>
      <c r="D24" s="8">
        <f>'Data Collection Sheet'!AE$124</f>
        <v>12.5</v>
      </c>
      <c r="G24" s="38"/>
      <c r="H24" s="38">
        <f t="shared" si="3"/>
        <v>48.638132295719842</v>
      </c>
      <c r="I24" s="38"/>
      <c r="J24">
        <v>75</v>
      </c>
    </row>
    <row r="25" spans="1:10" x14ac:dyDescent="0.25">
      <c r="B25">
        <f t="shared" si="1"/>
        <v>25.7</v>
      </c>
      <c r="C25" s="57">
        <v>45261</v>
      </c>
      <c r="D25" s="8">
        <f>'Data Collection Sheet'!AF$124</f>
        <v>12.6</v>
      </c>
      <c r="G25" s="38"/>
      <c r="H25" s="38">
        <f t="shared" si="3"/>
        <v>49.027237354085599</v>
      </c>
      <c r="I25" s="38"/>
      <c r="J25">
        <v>75</v>
      </c>
    </row>
    <row r="26" spans="1:10" x14ac:dyDescent="0.25">
      <c r="B26">
        <f t="shared" si="1"/>
        <v>25.7</v>
      </c>
      <c r="C26" s="57">
        <v>45292</v>
      </c>
      <c r="D26" s="8">
        <f>'Data Collection Sheet'!AG$124</f>
        <v>12.2</v>
      </c>
      <c r="G26" s="38"/>
      <c r="H26" s="38">
        <f t="shared" si="3"/>
        <v>47.470817120622563</v>
      </c>
      <c r="I26" s="38"/>
      <c r="J26">
        <v>75</v>
      </c>
    </row>
    <row r="27" spans="1:10" x14ac:dyDescent="0.25">
      <c r="B27">
        <f t="shared" si="1"/>
        <v>25.7</v>
      </c>
      <c r="C27" s="57">
        <v>45323</v>
      </c>
      <c r="D27" s="8">
        <f>'Data Collection Sheet'!AH$124</f>
        <v>12.5</v>
      </c>
      <c r="G27" s="38"/>
      <c r="H27" s="38">
        <f t="shared" si="3"/>
        <v>48.638132295719842</v>
      </c>
      <c r="I27" s="38"/>
      <c r="J27">
        <v>75</v>
      </c>
    </row>
    <row r="28" spans="1:10" x14ac:dyDescent="0.25">
      <c r="B28">
        <f t="shared" si="1"/>
        <v>25.7</v>
      </c>
      <c r="C28" s="57">
        <v>45352</v>
      </c>
      <c r="D28" s="8">
        <f>'Data Collection Sheet'!AI$124</f>
        <v>12.4</v>
      </c>
      <c r="G28" s="38"/>
      <c r="H28" s="38">
        <f t="shared" si="3"/>
        <v>48.249027237354085</v>
      </c>
      <c r="I28" s="38"/>
      <c r="J28">
        <v>75</v>
      </c>
    </row>
    <row r="29" spans="1:10" x14ac:dyDescent="0.25">
      <c r="B29">
        <f t="shared" si="1"/>
        <v>25.7</v>
      </c>
      <c r="C29" s="57">
        <v>45383</v>
      </c>
      <c r="D29" s="8">
        <f>'Data Collection Sheet'!AJ$124</f>
        <v>12.3</v>
      </c>
      <c r="G29" s="38"/>
      <c r="H29" s="38">
        <f t="shared" ref="H29" si="4">(D29/B29)*100</f>
        <v>47.859922178988327</v>
      </c>
      <c r="I29" s="38"/>
      <c r="J29">
        <v>75</v>
      </c>
    </row>
    <row r="30" spans="1:10" x14ac:dyDescent="0.25">
      <c r="B30">
        <f t="shared" si="1"/>
        <v>25.7</v>
      </c>
      <c r="C30" s="57">
        <v>45413</v>
      </c>
      <c r="D30" s="8">
        <f>'Data Collection Sheet'!AK$124</f>
        <v>11.9</v>
      </c>
      <c r="G30" s="38"/>
      <c r="H30" s="38">
        <f t="shared" ref="H30" si="5">(D30/B30)*100</f>
        <v>46.303501945525291</v>
      </c>
      <c r="I30" s="38"/>
      <c r="J30">
        <v>75</v>
      </c>
    </row>
    <row r="31" spans="1:10" x14ac:dyDescent="0.25">
      <c r="A31" t="s">
        <v>213</v>
      </c>
      <c r="B31">
        <f t="shared" si="1"/>
        <v>25.7</v>
      </c>
      <c r="C31" s="57">
        <v>45444</v>
      </c>
      <c r="D31" s="8">
        <f>'Data Collection Sheet'!AL$124</f>
        <v>11.6</v>
      </c>
      <c r="G31" s="38"/>
      <c r="H31" s="38">
        <f t="shared" ref="H31:H36" si="6">(D31/B31)*100</f>
        <v>45.136186770428019</v>
      </c>
      <c r="I31" s="38"/>
      <c r="J31">
        <v>75</v>
      </c>
    </row>
    <row r="32" spans="1:10" x14ac:dyDescent="0.25">
      <c r="B32">
        <f t="shared" si="1"/>
        <v>25.7</v>
      </c>
      <c r="C32" s="57">
        <v>45474</v>
      </c>
      <c r="D32" s="8">
        <f>'Data Collection Sheet'!AM$124</f>
        <v>11.7</v>
      </c>
      <c r="G32" s="38"/>
      <c r="H32" s="38">
        <f t="shared" si="6"/>
        <v>45.525291828793776</v>
      </c>
      <c r="I32" s="38"/>
      <c r="J32">
        <v>75</v>
      </c>
    </row>
    <row r="33" spans="1:10" x14ac:dyDescent="0.25">
      <c r="B33">
        <f t="shared" si="1"/>
        <v>25.7</v>
      </c>
      <c r="C33" s="57">
        <v>45505</v>
      </c>
      <c r="D33" s="8">
        <f>'Data Collection Sheet'!AN$124</f>
        <v>11.9</v>
      </c>
      <c r="G33" s="38"/>
      <c r="H33" s="38">
        <f t="shared" si="6"/>
        <v>46.303501945525291</v>
      </c>
      <c r="I33" s="38"/>
      <c r="J33">
        <v>75</v>
      </c>
    </row>
    <row r="34" spans="1:10" x14ac:dyDescent="0.25">
      <c r="B34">
        <f t="shared" si="1"/>
        <v>25.7</v>
      </c>
      <c r="C34" s="57">
        <v>45536</v>
      </c>
      <c r="D34" s="8">
        <f>'Data Collection Sheet'!AO$124</f>
        <v>11.9</v>
      </c>
      <c r="G34" s="38"/>
      <c r="H34" s="38">
        <f t="shared" si="6"/>
        <v>46.303501945525291</v>
      </c>
      <c r="I34" s="38"/>
      <c r="J34">
        <v>75</v>
      </c>
    </row>
    <row r="35" spans="1:10" x14ac:dyDescent="0.25">
      <c r="A35" t="s">
        <v>210</v>
      </c>
      <c r="B35">
        <f t="shared" si="1"/>
        <v>25.7</v>
      </c>
      <c r="C35" s="57">
        <v>45566</v>
      </c>
      <c r="D35" s="8">
        <f>'Data Collection Sheet'!AP$124</f>
        <v>12.3</v>
      </c>
      <c r="G35" s="38"/>
      <c r="H35" s="38">
        <f t="shared" si="6"/>
        <v>47.859922178988327</v>
      </c>
      <c r="I35" s="38"/>
      <c r="J35">
        <v>75</v>
      </c>
    </row>
    <row r="36" spans="1:10" x14ac:dyDescent="0.25">
      <c r="B36">
        <f t="shared" si="1"/>
        <v>25.7</v>
      </c>
      <c r="C36" s="57">
        <v>45597</v>
      </c>
      <c r="D36" s="8">
        <f>'Data Collection Sheet'!AQ$124</f>
        <v>12.4</v>
      </c>
      <c r="G36" s="38"/>
      <c r="H36" s="38">
        <f t="shared" si="6"/>
        <v>48.249027237354085</v>
      </c>
      <c r="I36" s="38"/>
      <c r="J36">
        <v>75</v>
      </c>
    </row>
    <row r="37" spans="1:10" x14ac:dyDescent="0.25">
      <c r="B37">
        <f t="shared" si="1"/>
        <v>25.7</v>
      </c>
      <c r="C37" s="57">
        <v>45627</v>
      </c>
      <c r="D37" s="8">
        <f>'Data Collection Sheet'!AR$124</f>
        <v>12.6</v>
      </c>
      <c r="G37" s="38"/>
      <c r="H37" s="38">
        <f>(D37/B37)*100</f>
        <v>49.027237354085599</v>
      </c>
      <c r="I37" s="38"/>
      <c r="J37">
        <v>75</v>
      </c>
    </row>
    <row r="38" spans="1:10" x14ac:dyDescent="0.25">
      <c r="B38">
        <f t="shared" si="1"/>
        <v>25.7</v>
      </c>
      <c r="C38" s="57">
        <v>45658</v>
      </c>
      <c r="D38" s="8">
        <f>'Data Collection Sheet'!AS$124</f>
        <v>12.6</v>
      </c>
      <c r="G38" s="38"/>
      <c r="H38" s="38">
        <f>(D38/B38)*100</f>
        <v>49.027237354085599</v>
      </c>
      <c r="I38" s="38"/>
      <c r="J38">
        <v>75</v>
      </c>
    </row>
    <row r="39" spans="1:10" x14ac:dyDescent="0.25">
      <c r="B39">
        <f t="shared" si="1"/>
        <v>25.7</v>
      </c>
      <c r="C39" s="57">
        <v>45689</v>
      </c>
      <c r="D39" s="8">
        <f>'Data Collection Sheet'!AT$124</f>
        <v>12.8</v>
      </c>
      <c r="G39" s="38"/>
      <c r="H39" s="38">
        <f>(D39/B39)*100</f>
        <v>49.805447470817128</v>
      </c>
      <c r="I39" s="38"/>
      <c r="J39">
        <v>75</v>
      </c>
    </row>
    <row r="40" spans="1:10" x14ac:dyDescent="0.25">
      <c r="B40">
        <f t="shared" si="1"/>
        <v>25.7</v>
      </c>
      <c r="C40" s="57">
        <v>45717</v>
      </c>
      <c r="D40" s="8">
        <f>'Data Collection Sheet'!AU$124</f>
        <v>12.8</v>
      </c>
      <c r="G40" s="38"/>
      <c r="H40" s="38">
        <f t="shared" ref="H40:H41" si="7">(D40/B40)*100</f>
        <v>49.805447470817128</v>
      </c>
      <c r="I40" s="38"/>
      <c r="J40">
        <v>75</v>
      </c>
    </row>
    <row r="41" spans="1:10" x14ac:dyDescent="0.25">
      <c r="B41">
        <f t="shared" si="1"/>
        <v>25.7</v>
      </c>
      <c r="C41" s="57">
        <v>45748</v>
      </c>
      <c r="D41" s="8">
        <f>'Data Collection Sheet'!AV$124</f>
        <v>12.7</v>
      </c>
      <c r="G41" s="38"/>
      <c r="H41" s="38">
        <f t="shared" si="7"/>
        <v>49.416342412451357</v>
      </c>
      <c r="I41" s="38"/>
      <c r="J41">
        <v>75</v>
      </c>
    </row>
    <row r="42" spans="1:10" x14ac:dyDescent="0.25">
      <c r="B42">
        <f t="shared" si="1"/>
        <v>25.7</v>
      </c>
      <c r="C42" s="57">
        <v>45778</v>
      </c>
      <c r="D42" s="8">
        <f>'Data Collection Sheet'!AW$124</f>
        <v>12.9</v>
      </c>
      <c r="G42" s="38"/>
      <c r="H42" s="38">
        <f t="shared" ref="H42" si="8">(D42/B42)*100</f>
        <v>50.194552529182879</v>
      </c>
      <c r="I42" s="38"/>
      <c r="J42">
        <v>75</v>
      </c>
    </row>
    <row r="43" spans="1:10" x14ac:dyDescent="0.25">
      <c r="B43">
        <f t="shared" si="1"/>
        <v>25.7</v>
      </c>
      <c r="C43" s="57">
        <v>45809</v>
      </c>
      <c r="D43" s="8">
        <f>'Data Collection Sheet'!AX$124</f>
        <v>12.8</v>
      </c>
      <c r="G43" s="38"/>
      <c r="H43" s="38">
        <f t="shared" ref="H43" si="9">(D43/B43)*100</f>
        <v>49.805447470817128</v>
      </c>
      <c r="I43" s="38"/>
      <c r="J43">
        <v>75</v>
      </c>
    </row>
    <row r="44" spans="1:10" x14ac:dyDescent="0.25">
      <c r="B44">
        <f t="shared" si="1"/>
        <v>25.7</v>
      </c>
      <c r="C44" s="57">
        <v>45839</v>
      </c>
      <c r="D44" s="8">
        <f>'Data Collection Sheet'!AY$124</f>
        <v>12.3</v>
      </c>
      <c r="G44" s="38"/>
      <c r="H44" s="38">
        <f t="shared" ref="H44" si="10">(D44/B44)*100</f>
        <v>47.859922178988327</v>
      </c>
      <c r="I44" s="38"/>
      <c r="J44">
        <v>75</v>
      </c>
    </row>
    <row r="45" spans="1:10" x14ac:dyDescent="0.25">
      <c r="B45">
        <f t="shared" si="1"/>
        <v>25.7</v>
      </c>
      <c r="C45" s="57">
        <v>45870</v>
      </c>
      <c r="D45" s="8">
        <f>'Data Collection Sheet'!AZ$124</f>
        <v>12.2</v>
      </c>
      <c r="G45" s="38"/>
      <c r="H45" s="38">
        <f t="shared" ref="H45" si="11">(D45/B45)*100</f>
        <v>47.470817120622563</v>
      </c>
      <c r="I45" s="38"/>
      <c r="J45">
        <v>75</v>
      </c>
    </row>
    <row r="46" spans="1:10" x14ac:dyDescent="0.25">
      <c r="B46">
        <f t="shared" si="1"/>
        <v>25.7</v>
      </c>
      <c r="C46" s="57">
        <v>45901</v>
      </c>
      <c r="D46" s="8">
        <f>'Data Collection Sheet'!BA$124</f>
        <v>12.3</v>
      </c>
      <c r="G46" s="38"/>
      <c r="H46" s="38">
        <f t="shared" ref="H46" si="12">(D46/B46)*100</f>
        <v>47.859922178988327</v>
      </c>
      <c r="I46" s="38"/>
      <c r="J46">
        <v>75</v>
      </c>
    </row>
    <row r="47" spans="1:10" x14ac:dyDescent="0.25">
      <c r="B47">
        <f t="shared" si="1"/>
        <v>25.7</v>
      </c>
      <c r="C47" s="57">
        <v>45931</v>
      </c>
      <c r="D47" s="8">
        <f>'Data Collection Sheet'!BB$124</f>
        <v>12.6</v>
      </c>
      <c r="G47" s="38"/>
      <c r="H47" s="38">
        <f t="shared" ref="H47" si="13">(D47/B47)*100</f>
        <v>49.027237354085599</v>
      </c>
      <c r="I47" s="38"/>
      <c r="J47">
        <v>75</v>
      </c>
    </row>
    <row r="48" spans="1:10" x14ac:dyDescent="0.25">
      <c r="B48">
        <f t="shared" si="1"/>
        <v>25.7</v>
      </c>
      <c r="C48" s="57">
        <v>45962</v>
      </c>
      <c r="D48" s="8">
        <f>'Data Collection Sheet'!BC$124</f>
        <v>12.6</v>
      </c>
      <c r="G48" s="38"/>
      <c r="H48" s="38">
        <f t="shared" ref="H48" si="14">(D48/B48)*100</f>
        <v>49.027237354085599</v>
      </c>
      <c r="I48" s="38"/>
      <c r="J48">
        <v>75</v>
      </c>
    </row>
    <row r="49" spans="1:10" x14ac:dyDescent="0.25">
      <c r="B49">
        <f t="shared" si="1"/>
        <v>25.7</v>
      </c>
      <c r="C49" s="57">
        <v>45992</v>
      </c>
      <c r="D49" s="8">
        <f>'Data Collection Sheet'!BD$124</f>
        <v>12.8</v>
      </c>
      <c r="G49" s="38"/>
      <c r="H49" s="38">
        <f t="shared" ref="H49:H54" si="15">(D49/B49)*100</f>
        <v>49.805447470817128</v>
      </c>
      <c r="I49" s="38"/>
      <c r="J49">
        <v>75</v>
      </c>
    </row>
    <row r="50" spans="1:10" x14ac:dyDescent="0.25">
      <c r="B50">
        <f t="shared" si="1"/>
        <v>25.7</v>
      </c>
      <c r="C50" s="57">
        <v>46023</v>
      </c>
      <c r="D50" s="8">
        <f>'Data Collection Sheet'!BE$124</f>
        <v>12.8</v>
      </c>
      <c r="G50" s="38"/>
      <c r="H50" s="38">
        <f t="shared" si="15"/>
        <v>49.805447470817128</v>
      </c>
      <c r="I50" s="38"/>
      <c r="J50">
        <v>75</v>
      </c>
    </row>
    <row r="51" spans="1:10" x14ac:dyDescent="0.25">
      <c r="B51">
        <f t="shared" si="1"/>
        <v>25.7</v>
      </c>
      <c r="C51" s="57">
        <v>46054</v>
      </c>
      <c r="D51" s="8">
        <f>'Data Collection Sheet'!BF$124</f>
        <v>12.8</v>
      </c>
      <c r="G51" s="38"/>
      <c r="H51" s="38">
        <f t="shared" si="15"/>
        <v>49.805447470817128</v>
      </c>
      <c r="I51" s="38"/>
      <c r="J51">
        <v>75</v>
      </c>
    </row>
    <row r="52" spans="1:10" x14ac:dyDescent="0.25">
      <c r="B52">
        <f t="shared" si="1"/>
        <v>25.7</v>
      </c>
      <c r="C52" s="57">
        <v>46082</v>
      </c>
      <c r="D52" s="8">
        <f>'Data Collection Sheet'!BG$124</f>
        <v>12.8</v>
      </c>
      <c r="G52" s="38"/>
      <c r="H52" s="38">
        <f t="shared" si="15"/>
        <v>49.805447470817128</v>
      </c>
      <c r="I52" s="38"/>
      <c r="J52">
        <v>75</v>
      </c>
    </row>
    <row r="53" spans="1:10" x14ac:dyDescent="0.25">
      <c r="A53" t="s">
        <v>381</v>
      </c>
      <c r="B53">
        <f t="shared" si="1"/>
        <v>25.7</v>
      </c>
      <c r="C53" s="57">
        <v>46113</v>
      </c>
      <c r="D53" s="8">
        <f>'Data Collection Sheet'!BH$124</f>
        <v>12.8</v>
      </c>
      <c r="G53" s="38"/>
      <c r="H53" s="38">
        <f t="shared" si="15"/>
        <v>49.805447470817128</v>
      </c>
      <c r="I53" s="38"/>
      <c r="J53">
        <v>75</v>
      </c>
    </row>
    <row r="54" spans="1:10" x14ac:dyDescent="0.25">
      <c r="B54">
        <f t="shared" si="1"/>
        <v>25.7</v>
      </c>
      <c r="C54" s="57">
        <v>46143</v>
      </c>
      <c r="D54" s="8">
        <f>'Data Collection Sheet'!BI$124</f>
        <v>12.8</v>
      </c>
      <c r="G54" s="38"/>
      <c r="H54" s="38">
        <f t="shared" si="15"/>
        <v>49.805447470817128</v>
      </c>
      <c r="I54" s="38"/>
      <c r="J54">
        <v>75</v>
      </c>
    </row>
    <row r="55" spans="1:10" x14ac:dyDescent="0.25">
      <c r="B55">
        <f t="shared" si="1"/>
        <v>25.7</v>
      </c>
      <c r="C55" s="57">
        <v>46174</v>
      </c>
      <c r="D55" s="8">
        <f>'Data Collection Sheet'!BJ$124</f>
        <v>12.8</v>
      </c>
      <c r="G55" s="38"/>
      <c r="H55" s="38">
        <f>(D55/B55)*100</f>
        <v>49.805447470817128</v>
      </c>
      <c r="I55" s="38"/>
      <c r="J55">
        <v>75</v>
      </c>
    </row>
    <row r="56" spans="1:10" x14ac:dyDescent="0.25">
      <c r="B56">
        <f t="shared" si="1"/>
        <v>25.7</v>
      </c>
      <c r="C56" s="57">
        <v>46204</v>
      </c>
      <c r="D56" s="8">
        <f>'Data Collection Sheet'!BK$124</f>
        <v>12.9</v>
      </c>
      <c r="F56">
        <v>6.08</v>
      </c>
      <c r="G56" s="38">
        <f>D56</f>
        <v>12.9</v>
      </c>
      <c r="H56" s="38">
        <f>(D56/B56)*100</f>
        <v>50.194552529182879</v>
      </c>
      <c r="I56" s="38">
        <f t="shared" ref="I56:I68" si="16">(G56/B56)*100</f>
        <v>50.194552529182879</v>
      </c>
      <c r="J56">
        <v>75</v>
      </c>
    </row>
    <row r="57" spans="1:10" x14ac:dyDescent="0.25">
      <c r="B57">
        <f t="shared" si="1"/>
        <v>25.7</v>
      </c>
      <c r="C57" s="57">
        <v>46235</v>
      </c>
      <c r="D57" s="8">
        <f>'Data Collection Sheet'!BL$124</f>
        <v>12.8</v>
      </c>
      <c r="F57">
        <v>7.08</v>
      </c>
      <c r="G57" s="38">
        <f>D57</f>
        <v>12.8</v>
      </c>
      <c r="H57" s="38">
        <f>(D57/B57)*100</f>
        <v>49.805447470817128</v>
      </c>
      <c r="I57" s="38">
        <f t="shared" ref="I57" si="17">(G57/B57)*100</f>
        <v>49.805447470817128</v>
      </c>
      <c r="J57">
        <v>75</v>
      </c>
    </row>
    <row r="58" spans="1:10" x14ac:dyDescent="0.25">
      <c r="A58" t="s">
        <v>215</v>
      </c>
      <c r="B58">
        <f t="shared" si="1"/>
        <v>25.7</v>
      </c>
      <c r="C58" s="57">
        <v>46266</v>
      </c>
      <c r="F58">
        <v>1.08</v>
      </c>
      <c r="G58" s="38">
        <f t="shared" ref="G58:G68" si="18">G57*(1+(F58^(1/12)-1))+E58</f>
        <v>12.882355585408044</v>
      </c>
      <c r="H58" s="38"/>
      <c r="I58" s="38">
        <f t="shared" si="16"/>
        <v>50.125897219486561</v>
      </c>
      <c r="J58">
        <v>75</v>
      </c>
    </row>
    <row r="59" spans="1:10" x14ac:dyDescent="0.25">
      <c r="B59">
        <f t="shared" si="1"/>
        <v>25.7</v>
      </c>
      <c r="C59" s="57">
        <v>46296</v>
      </c>
      <c r="F59">
        <v>1.08</v>
      </c>
      <c r="G59" s="38">
        <f t="shared" si="18"/>
        <v>12.965241049132331</v>
      </c>
      <c r="H59" s="38"/>
      <c r="I59" s="38">
        <f t="shared" si="16"/>
        <v>50.448408751487669</v>
      </c>
      <c r="J59">
        <v>75</v>
      </c>
    </row>
    <row r="60" spans="1:10" x14ac:dyDescent="0.25">
      <c r="B60">
        <f t="shared" si="1"/>
        <v>25.7</v>
      </c>
      <c r="C60" s="57">
        <v>46327</v>
      </c>
      <c r="E60" s="38"/>
      <c r="F60">
        <v>1.08</v>
      </c>
      <c r="G60" s="38">
        <f t="shared" si="18"/>
        <v>13.0486598004259</v>
      </c>
      <c r="H60" s="38"/>
      <c r="I60" s="38">
        <f t="shared" si="16"/>
        <v>50.772995332396498</v>
      </c>
      <c r="J60">
        <v>75</v>
      </c>
    </row>
    <row r="61" spans="1:10" x14ac:dyDescent="0.25">
      <c r="B61">
        <f t="shared" si="1"/>
        <v>25.7</v>
      </c>
      <c r="C61" s="57">
        <v>46357</v>
      </c>
      <c r="E61" s="38"/>
      <c r="F61">
        <v>1.08</v>
      </c>
      <c r="G61" s="38">
        <f t="shared" si="18"/>
        <v>13.132615270477032</v>
      </c>
      <c r="H61" s="38"/>
      <c r="I61" s="38">
        <f t="shared" si="16"/>
        <v>51.099670313140201</v>
      </c>
      <c r="J61">
        <v>75</v>
      </c>
    </row>
    <row r="62" spans="1:10" x14ac:dyDescent="0.25">
      <c r="B62">
        <f t="shared" si="1"/>
        <v>25.7</v>
      </c>
      <c r="C62" s="57">
        <v>46388</v>
      </c>
      <c r="E62" s="38"/>
      <c r="F62">
        <v>1.08</v>
      </c>
      <c r="G62" s="38">
        <f t="shared" si="18"/>
        <v>13.217110912550373</v>
      </c>
      <c r="H62" s="38"/>
      <c r="I62" s="38">
        <f t="shared" si="16"/>
        <v>51.428447130546196</v>
      </c>
      <c r="J62">
        <v>75</v>
      </c>
    </row>
    <row r="63" spans="1:10" x14ac:dyDescent="0.25">
      <c r="B63">
        <f t="shared" si="1"/>
        <v>25.7</v>
      </c>
      <c r="C63" s="57">
        <v>46419</v>
      </c>
      <c r="F63">
        <v>1.08</v>
      </c>
      <c r="G63" s="38">
        <f t="shared" si="18"/>
        <v>13.302150202128978</v>
      </c>
      <c r="H63" s="38"/>
      <c r="I63" s="38">
        <f t="shared" si="16"/>
        <v>51.759339307894855</v>
      </c>
      <c r="J63">
        <v>75</v>
      </c>
    </row>
    <row r="64" spans="1:10" x14ac:dyDescent="0.25">
      <c r="B64">
        <f t="shared" si="1"/>
        <v>25.7</v>
      </c>
      <c r="C64" s="57">
        <v>46447</v>
      </c>
      <c r="F64">
        <v>1.08</v>
      </c>
      <c r="G64" s="38">
        <f t="shared" si="18"/>
        <v>13.387736637057264</v>
      </c>
      <c r="H64" s="38"/>
      <c r="I64" s="38">
        <f t="shared" si="16"/>
        <v>52.092360455475742</v>
      </c>
      <c r="J64">
        <v>75</v>
      </c>
    </row>
    <row r="65" spans="2:10" x14ac:dyDescent="0.25">
      <c r="B65">
        <f t="shared" si="1"/>
        <v>25.7</v>
      </c>
      <c r="C65" s="57">
        <v>46478</v>
      </c>
      <c r="F65">
        <v>1.08</v>
      </c>
      <c r="G65" s="38">
        <f t="shared" si="18"/>
        <v>13.473873737684887</v>
      </c>
      <c r="H65" s="38"/>
      <c r="I65" s="38">
        <f t="shared" si="16"/>
        <v>52.427524271147419</v>
      </c>
      <c r="J65">
        <v>75</v>
      </c>
    </row>
    <row r="66" spans="2:10" x14ac:dyDescent="0.25">
      <c r="B66">
        <f t="shared" si="1"/>
        <v>25.7</v>
      </c>
      <c r="C66" s="57">
        <v>46508</v>
      </c>
      <c r="F66">
        <v>1.08</v>
      </c>
      <c r="G66" s="38">
        <f t="shared" si="18"/>
        <v>13.560565047011536</v>
      </c>
      <c r="H66" s="38"/>
      <c r="I66" s="38">
        <f t="shared" si="16"/>
        <v>52.764844540900924</v>
      </c>
      <c r="J66">
        <v>75</v>
      </c>
    </row>
    <row r="67" spans="2:10" x14ac:dyDescent="0.25">
      <c r="B67">
        <f t="shared" ref="B67:B109" si="19">25.7</f>
        <v>25.7</v>
      </c>
      <c r="C67" s="57">
        <v>46539</v>
      </c>
      <c r="F67">
        <v>1.08</v>
      </c>
      <c r="G67" s="38">
        <f t="shared" si="18"/>
        <v>13.647814130832669</v>
      </c>
      <c r="H67" s="38"/>
      <c r="I67" s="38">
        <f t="shared" si="16"/>
        <v>53.10433513942673</v>
      </c>
      <c r="J67">
        <v>75</v>
      </c>
    </row>
    <row r="68" spans="2:10" x14ac:dyDescent="0.25">
      <c r="B68">
        <f t="shared" si="19"/>
        <v>25.7</v>
      </c>
      <c r="C68" s="57">
        <v>46569</v>
      </c>
      <c r="F68">
        <v>1.08</v>
      </c>
      <c r="G68" s="38">
        <f t="shared" si="18"/>
        <v>13.735624577886178</v>
      </c>
      <c r="H68" s="38"/>
      <c r="I68" s="38">
        <f t="shared" si="16"/>
        <v>53.446010030685521</v>
      </c>
      <c r="J68">
        <v>75</v>
      </c>
    </row>
    <row r="69" spans="2:10" x14ac:dyDescent="0.25">
      <c r="B69">
        <f t="shared" si="19"/>
        <v>25.7</v>
      </c>
      <c r="C69" s="57">
        <v>46600</v>
      </c>
      <c r="F69">
        <v>1.08</v>
      </c>
      <c r="G69" s="38">
        <f t="shared" ref="G69:G109" si="20">G68*(1+(F69^(1/12)-1))+E69</f>
        <v>13.824</v>
      </c>
      <c r="H69" s="38"/>
      <c r="I69" s="38">
        <f t="shared" ref="I69:I109" si="21">(G69/B69)*100</f>
        <v>53.789883268482484</v>
      </c>
      <c r="J69">
        <v>75</v>
      </c>
    </row>
    <row r="70" spans="2:10" x14ac:dyDescent="0.25">
      <c r="B70">
        <f t="shared" si="19"/>
        <v>25.7</v>
      </c>
      <c r="C70" s="57">
        <v>46631</v>
      </c>
      <c r="F70">
        <v>1.08</v>
      </c>
      <c r="G70" s="38">
        <f t="shared" si="20"/>
        <v>13.912944032240688</v>
      </c>
      <c r="H70" s="38"/>
      <c r="I70" s="38">
        <f t="shared" si="21"/>
        <v>54.135968997045481</v>
      </c>
      <c r="J70">
        <v>75</v>
      </c>
    </row>
    <row r="71" spans="2:10" x14ac:dyDescent="0.25">
      <c r="B71">
        <f t="shared" si="19"/>
        <v>25.7</v>
      </c>
      <c r="C71" s="57">
        <v>46661</v>
      </c>
      <c r="F71">
        <v>1.08</v>
      </c>
      <c r="G71" s="38">
        <f t="shared" si="20"/>
        <v>14.002460333062917</v>
      </c>
      <c r="H71" s="38"/>
      <c r="I71" s="38">
        <f t="shared" si="21"/>
        <v>54.484281451606684</v>
      </c>
      <c r="J71">
        <v>75</v>
      </c>
    </row>
    <row r="72" spans="2:10" x14ac:dyDescent="0.25">
      <c r="B72">
        <f t="shared" si="19"/>
        <v>25.7</v>
      </c>
      <c r="C72" s="57">
        <v>46692</v>
      </c>
      <c r="F72">
        <v>1.08</v>
      </c>
      <c r="G72" s="38">
        <f t="shared" si="20"/>
        <v>14.092552584459973</v>
      </c>
      <c r="H72" s="38"/>
      <c r="I72" s="38">
        <f t="shared" si="21"/>
        <v>54.834834958988225</v>
      </c>
      <c r="J72">
        <v>75</v>
      </c>
    </row>
    <row r="73" spans="2:10" x14ac:dyDescent="0.25">
      <c r="B73">
        <f t="shared" si="19"/>
        <v>25.7</v>
      </c>
      <c r="C73" s="57">
        <v>46722</v>
      </c>
      <c r="F73">
        <v>1.08</v>
      </c>
      <c r="G73" s="38">
        <f t="shared" si="20"/>
        <v>14.183224492115196</v>
      </c>
      <c r="H73" s="38"/>
      <c r="I73" s="38">
        <f t="shared" si="21"/>
        <v>55.187643938191421</v>
      </c>
      <c r="J73">
        <v>75</v>
      </c>
    </row>
    <row r="74" spans="2:10" x14ac:dyDescent="0.25">
      <c r="B74">
        <f t="shared" si="19"/>
        <v>25.7</v>
      </c>
      <c r="C74" s="57">
        <v>46753</v>
      </c>
      <c r="D74" s="38"/>
      <c r="F74">
        <v>1.08</v>
      </c>
      <c r="G74" s="38">
        <f t="shared" si="20"/>
        <v>14.274479785554403</v>
      </c>
      <c r="H74" s="38"/>
      <c r="I74" s="38">
        <f t="shared" si="21"/>
        <v>55.542722900989894</v>
      </c>
      <c r="J74">
        <v>75</v>
      </c>
    </row>
    <row r="75" spans="2:10" x14ac:dyDescent="0.25">
      <c r="B75">
        <f t="shared" si="19"/>
        <v>25.7</v>
      </c>
      <c r="C75" s="57">
        <v>46784</v>
      </c>
      <c r="D75" s="38"/>
      <c r="F75">
        <v>1.08</v>
      </c>
      <c r="G75" s="38">
        <f t="shared" si="20"/>
        <v>14.366322218299295</v>
      </c>
      <c r="H75" s="38"/>
      <c r="I75" s="38">
        <f t="shared" si="21"/>
        <v>55.900086452526445</v>
      </c>
      <c r="J75">
        <v>75</v>
      </c>
    </row>
    <row r="76" spans="2:10" x14ac:dyDescent="0.25">
      <c r="B76">
        <f t="shared" si="19"/>
        <v>25.7</v>
      </c>
      <c r="C76" s="57">
        <v>46813</v>
      </c>
      <c r="D76" s="38"/>
      <c r="F76">
        <v>1.08</v>
      </c>
      <c r="G76" s="38">
        <f t="shared" si="20"/>
        <v>14.458755568021845</v>
      </c>
      <c r="H76" s="38"/>
      <c r="I76" s="38">
        <f t="shared" si="21"/>
        <v>56.259749291913799</v>
      </c>
      <c r="J76">
        <v>75</v>
      </c>
    </row>
    <row r="77" spans="2:10" x14ac:dyDescent="0.25">
      <c r="B77">
        <f t="shared" si="19"/>
        <v>25.7</v>
      </c>
      <c r="C77" s="57">
        <v>46844</v>
      </c>
      <c r="D77" s="38"/>
      <c r="F77">
        <v>1.08</v>
      </c>
      <c r="G77" s="38">
        <f t="shared" si="20"/>
        <v>14.551783636699676</v>
      </c>
      <c r="H77" s="38"/>
      <c r="I77" s="38">
        <f t="shared" si="21"/>
        <v>56.621726212839206</v>
      </c>
      <c r="J77">
        <v>75</v>
      </c>
    </row>
    <row r="78" spans="2:10" x14ac:dyDescent="0.25">
      <c r="B78">
        <f t="shared" si="19"/>
        <v>25.7</v>
      </c>
      <c r="C78" s="57">
        <v>46874</v>
      </c>
      <c r="D78" s="38"/>
      <c r="F78">
        <v>1.08</v>
      </c>
      <c r="G78" s="38">
        <f t="shared" si="20"/>
        <v>14.645410250772457</v>
      </c>
      <c r="H78" s="38"/>
      <c r="I78" s="38">
        <f t="shared" si="21"/>
        <v>56.986032104172992</v>
      </c>
      <c r="J78">
        <v>75</v>
      </c>
    </row>
    <row r="79" spans="2:10" x14ac:dyDescent="0.25">
      <c r="B79">
        <f t="shared" si="19"/>
        <v>25.7</v>
      </c>
      <c r="C79" s="57">
        <v>46905</v>
      </c>
      <c r="D79" s="38"/>
      <c r="F79">
        <v>1.08</v>
      </c>
      <c r="G79" s="38">
        <f t="shared" si="20"/>
        <v>14.739639261299279</v>
      </c>
      <c r="H79" s="38"/>
      <c r="I79" s="38">
        <f t="shared" si="21"/>
        <v>57.352681950580852</v>
      </c>
      <c r="J79">
        <v>75</v>
      </c>
    </row>
    <row r="80" spans="2:10" x14ac:dyDescent="0.25">
      <c r="B80">
        <f t="shared" si="19"/>
        <v>25.7</v>
      </c>
      <c r="C80" s="57">
        <v>46935</v>
      </c>
      <c r="F80">
        <v>1.08</v>
      </c>
      <c r="G80" s="38">
        <f t="shared" si="20"/>
        <v>14.834474544117068</v>
      </c>
      <c r="H80" s="38"/>
      <c r="I80" s="38">
        <f t="shared" si="21"/>
        <v>57.72169083314035</v>
      </c>
      <c r="J80">
        <v>75</v>
      </c>
    </row>
    <row r="81" spans="2:10" x14ac:dyDescent="0.25">
      <c r="B81">
        <f t="shared" si="19"/>
        <v>25.7</v>
      </c>
      <c r="C81" s="57">
        <v>46966</v>
      </c>
      <c r="F81">
        <v>1.08</v>
      </c>
      <c r="G81" s="38">
        <f t="shared" si="20"/>
        <v>14.929919999999997</v>
      </c>
      <c r="H81" s="38"/>
      <c r="I81" s="38">
        <f t="shared" si="21"/>
        <v>58.093073929961079</v>
      </c>
      <c r="J81">
        <v>75</v>
      </c>
    </row>
    <row r="82" spans="2:10" x14ac:dyDescent="0.25">
      <c r="B82">
        <f t="shared" si="19"/>
        <v>25.7</v>
      </c>
      <c r="C82" s="57">
        <v>46997</v>
      </c>
      <c r="F82">
        <v>1.08</v>
      </c>
      <c r="G82" s="38">
        <f t="shared" si="20"/>
        <v>15.025979554819941</v>
      </c>
      <c r="H82" s="38"/>
      <c r="I82" s="38">
        <f t="shared" si="21"/>
        <v>58.466846516809113</v>
      </c>
      <c r="J82">
        <v>75</v>
      </c>
    </row>
    <row r="83" spans="2:10" x14ac:dyDescent="0.25">
      <c r="B83">
        <f t="shared" si="19"/>
        <v>25.7</v>
      </c>
      <c r="C83" s="57">
        <v>47027</v>
      </c>
      <c r="F83">
        <v>1.08</v>
      </c>
      <c r="G83" s="38">
        <f t="shared" si="20"/>
        <v>15.122657159707948</v>
      </c>
      <c r="H83" s="38"/>
      <c r="I83" s="38">
        <f t="shared" si="21"/>
        <v>58.843023967735206</v>
      </c>
      <c r="J83">
        <v>75</v>
      </c>
    </row>
    <row r="84" spans="2:10" x14ac:dyDescent="0.25">
      <c r="B84">
        <f t="shared" si="19"/>
        <v>25.7</v>
      </c>
      <c r="C84" s="57">
        <v>47058</v>
      </c>
      <c r="F84">
        <v>1.08</v>
      </c>
      <c r="G84" s="38">
        <f t="shared" si="20"/>
        <v>15.219956791216768</v>
      </c>
      <c r="H84" s="38"/>
      <c r="I84" s="74">
        <f t="shared" si="21"/>
        <v>59.221621755707275</v>
      </c>
      <c r="J84">
        <v>75</v>
      </c>
    </row>
    <row r="85" spans="2:10" x14ac:dyDescent="0.25">
      <c r="B85">
        <f t="shared" si="19"/>
        <v>25.7</v>
      </c>
      <c r="C85" s="57">
        <v>47088</v>
      </c>
      <c r="F85">
        <v>1.08</v>
      </c>
      <c r="G85" s="38">
        <f t="shared" si="20"/>
        <v>15.317882451484408</v>
      </c>
      <c r="H85" s="38"/>
      <c r="I85" s="74">
        <f t="shared" si="21"/>
        <v>59.602655453246726</v>
      </c>
      <c r="J85">
        <v>75</v>
      </c>
    </row>
    <row r="86" spans="2:10" x14ac:dyDescent="0.25">
      <c r="B86">
        <f t="shared" si="19"/>
        <v>25.7</v>
      </c>
      <c r="C86" s="57">
        <v>47119</v>
      </c>
      <c r="F86">
        <v>1.08</v>
      </c>
      <c r="G86" s="38">
        <f t="shared" si="20"/>
        <v>15.416438168398752</v>
      </c>
      <c r="H86" s="38"/>
      <c r="I86" s="74">
        <f t="shared" si="21"/>
        <v>59.986140733069071</v>
      </c>
      <c r="J86">
        <v>75</v>
      </c>
    </row>
    <row r="87" spans="2:10" x14ac:dyDescent="0.25">
      <c r="B87">
        <f t="shared" si="19"/>
        <v>25.7</v>
      </c>
      <c r="C87" s="57">
        <v>47150</v>
      </c>
      <c r="F87">
        <v>1.08</v>
      </c>
      <c r="G87" s="38">
        <f t="shared" si="20"/>
        <v>15.515627995763236</v>
      </c>
      <c r="H87" s="38"/>
      <c r="I87" s="74">
        <f t="shared" si="21"/>
        <v>60.372093368728542</v>
      </c>
      <c r="J87">
        <v>75</v>
      </c>
    </row>
    <row r="88" spans="2:10" x14ac:dyDescent="0.25">
      <c r="B88">
        <f t="shared" si="19"/>
        <v>25.7</v>
      </c>
      <c r="C88" s="57">
        <v>47178</v>
      </c>
      <c r="F88">
        <v>1.08</v>
      </c>
      <c r="G88" s="38">
        <f t="shared" si="20"/>
        <v>15.615456013463589</v>
      </c>
      <c r="H88" s="38"/>
      <c r="I88" s="74">
        <f t="shared" si="21"/>
        <v>60.760529235266894</v>
      </c>
      <c r="J88">
        <v>75</v>
      </c>
    </row>
    <row r="89" spans="2:10" x14ac:dyDescent="0.25">
      <c r="B89">
        <f t="shared" si="19"/>
        <v>25.7</v>
      </c>
      <c r="C89" s="57">
        <v>47209</v>
      </c>
      <c r="F89">
        <v>1.08</v>
      </c>
      <c r="G89" s="38">
        <f t="shared" si="20"/>
        <v>15.715926327635648</v>
      </c>
      <c r="H89" s="38"/>
      <c r="I89" s="74">
        <f t="shared" si="21"/>
        <v>61.151464309866334</v>
      </c>
      <c r="J89">
        <v>75</v>
      </c>
    </row>
    <row r="90" spans="2:10" x14ac:dyDescent="0.25">
      <c r="B90">
        <f t="shared" si="19"/>
        <v>25.7</v>
      </c>
      <c r="C90" s="57">
        <v>47239</v>
      </c>
      <c r="F90">
        <v>1.08</v>
      </c>
      <c r="G90" s="38">
        <f t="shared" si="20"/>
        <v>15.817043070834252</v>
      </c>
      <c r="H90" s="38"/>
      <c r="I90" s="74">
        <f t="shared" si="21"/>
        <v>61.54491467250682</v>
      </c>
      <c r="J90">
        <v>75</v>
      </c>
    </row>
    <row r="91" spans="2:10" x14ac:dyDescent="0.25">
      <c r="B91">
        <f t="shared" si="19"/>
        <v>25.7</v>
      </c>
      <c r="C91" s="57">
        <v>47270</v>
      </c>
      <c r="F91">
        <v>1.08</v>
      </c>
      <c r="G91" s="38">
        <f t="shared" si="20"/>
        <v>15.918810402203221</v>
      </c>
      <c r="H91" s="38"/>
      <c r="I91" s="74">
        <f t="shared" si="21"/>
        <v>61.940896506627318</v>
      </c>
      <c r="J91">
        <v>75</v>
      </c>
    </row>
    <row r="92" spans="2:10" x14ac:dyDescent="0.25">
      <c r="B92">
        <f t="shared" si="19"/>
        <v>25.7</v>
      </c>
      <c r="C92" s="57">
        <v>47300</v>
      </c>
      <c r="E92" s="50"/>
      <c r="F92">
        <v>1.08</v>
      </c>
      <c r="G92" s="38">
        <f t="shared" si="20"/>
        <v>16.021232507646431</v>
      </c>
      <c r="H92" s="38"/>
      <c r="I92" s="74">
        <f t="shared" si="21"/>
        <v>62.339426099791559</v>
      </c>
      <c r="J92">
        <v>75</v>
      </c>
    </row>
    <row r="93" spans="2:10" x14ac:dyDescent="0.25">
      <c r="B93">
        <f t="shared" si="19"/>
        <v>25.7</v>
      </c>
      <c r="C93" s="57">
        <v>47331</v>
      </c>
      <c r="F93">
        <v>1.08</v>
      </c>
      <c r="G93" s="38">
        <f t="shared" si="20"/>
        <v>16.124313599999994</v>
      </c>
      <c r="I93" s="74">
        <f t="shared" si="21"/>
        <v>62.740519844357955</v>
      </c>
      <c r="J93">
        <v>75</v>
      </c>
    </row>
    <row r="94" spans="2:10" x14ac:dyDescent="0.25">
      <c r="B94">
        <f t="shared" si="19"/>
        <v>25.7</v>
      </c>
      <c r="C94" s="57">
        <v>47362</v>
      </c>
      <c r="F94">
        <v>1.08</v>
      </c>
      <c r="G94" s="38">
        <f t="shared" si="20"/>
        <v>16.228057919205533</v>
      </c>
      <c r="I94" s="74">
        <f t="shared" si="21"/>
        <v>63.14419423815383</v>
      </c>
      <c r="J94">
        <v>75</v>
      </c>
    </row>
    <row r="95" spans="2:10" x14ac:dyDescent="0.25">
      <c r="B95">
        <f t="shared" si="19"/>
        <v>25.7</v>
      </c>
      <c r="C95" s="57">
        <v>47392</v>
      </c>
      <c r="F95">
        <v>1.08</v>
      </c>
      <c r="G95" s="38">
        <f t="shared" si="20"/>
        <v>16.332469732484579</v>
      </c>
      <c r="I95" s="74">
        <f t="shared" si="21"/>
        <v>63.550465885154004</v>
      </c>
      <c r="J95">
        <v>75</v>
      </c>
    </row>
    <row r="96" spans="2:10" x14ac:dyDescent="0.25">
      <c r="B96">
        <f t="shared" si="19"/>
        <v>25.7</v>
      </c>
      <c r="C96" s="57">
        <v>47423</v>
      </c>
      <c r="F96">
        <v>1.08</v>
      </c>
      <c r="G96" s="38">
        <f t="shared" si="20"/>
        <v>16.437553334514106</v>
      </c>
      <c r="I96" s="74">
        <f t="shared" si="21"/>
        <v>63.959351496163841</v>
      </c>
      <c r="J96">
        <v>75</v>
      </c>
    </row>
    <row r="97" spans="2:10" x14ac:dyDescent="0.25">
      <c r="B97">
        <f t="shared" si="19"/>
        <v>25.7</v>
      </c>
      <c r="C97" s="57">
        <v>47453</v>
      </c>
      <c r="F97">
        <v>1.08</v>
      </c>
      <c r="G97" s="38">
        <f t="shared" si="20"/>
        <v>16.543313047603156</v>
      </c>
      <c r="I97" s="74">
        <f t="shared" si="21"/>
        <v>64.370867889506442</v>
      </c>
      <c r="J97">
        <v>75</v>
      </c>
    </row>
    <row r="98" spans="2:10" x14ac:dyDescent="0.25">
      <c r="B98">
        <f t="shared" si="19"/>
        <v>25.7</v>
      </c>
      <c r="C98" s="57">
        <v>47484</v>
      </c>
      <c r="F98">
        <v>1.08</v>
      </c>
      <c r="G98" s="38">
        <f t="shared" si="20"/>
        <v>16.649753221870647</v>
      </c>
      <c r="I98" s="74">
        <f t="shared" si="21"/>
        <v>64.785031991714575</v>
      </c>
      <c r="J98">
        <v>75</v>
      </c>
    </row>
    <row r="99" spans="2:10" x14ac:dyDescent="0.25">
      <c r="B99">
        <f t="shared" si="19"/>
        <v>25.7</v>
      </c>
      <c r="C99" s="57">
        <v>47515</v>
      </c>
      <c r="F99">
        <v>1.08</v>
      </c>
      <c r="G99" s="38">
        <f t="shared" si="20"/>
        <v>16.756878235424288</v>
      </c>
      <c r="I99" s="74">
        <f t="shared" si="21"/>
        <v>65.201860838226807</v>
      </c>
      <c r="J99">
        <v>75</v>
      </c>
    </row>
    <row r="100" spans="2:10" x14ac:dyDescent="0.25">
      <c r="B100">
        <f t="shared" si="19"/>
        <v>25.7</v>
      </c>
      <c r="C100" s="57">
        <v>47543</v>
      </c>
      <c r="F100">
        <v>1.08</v>
      </c>
      <c r="G100" s="38">
        <f t="shared" si="20"/>
        <v>16.86469249454067</v>
      </c>
      <c r="I100" s="74">
        <f t="shared" si="21"/>
        <v>65.621371574088201</v>
      </c>
      <c r="J100">
        <v>75</v>
      </c>
    </row>
    <row r="101" spans="2:10" x14ac:dyDescent="0.25">
      <c r="B101">
        <f t="shared" si="19"/>
        <v>25.7</v>
      </c>
      <c r="C101" s="57">
        <v>47574</v>
      </c>
      <c r="F101">
        <v>1.08</v>
      </c>
      <c r="G101" s="38">
        <f t="shared" si="20"/>
        <v>16.973200433846493</v>
      </c>
      <c r="I101" s="74">
        <f t="shared" si="21"/>
        <v>66.043581454655623</v>
      </c>
      <c r="J101">
        <v>75</v>
      </c>
    </row>
    <row r="102" spans="2:10" x14ac:dyDescent="0.25">
      <c r="B102">
        <f t="shared" si="19"/>
        <v>25.7</v>
      </c>
      <c r="C102" s="57">
        <v>47604</v>
      </c>
      <c r="F102">
        <v>1.08</v>
      </c>
      <c r="G102" s="38">
        <f t="shared" si="20"/>
        <v>17.082406516500985</v>
      </c>
      <c r="I102" s="74">
        <f t="shared" si="21"/>
        <v>66.468507846307332</v>
      </c>
      <c r="J102">
        <v>75</v>
      </c>
    </row>
    <row r="103" spans="2:10" x14ac:dyDescent="0.25">
      <c r="B103">
        <f t="shared" si="19"/>
        <v>25.7</v>
      </c>
      <c r="C103" s="57">
        <v>47635</v>
      </c>
      <c r="F103">
        <v>1.08</v>
      </c>
      <c r="G103" s="38">
        <f t="shared" si="20"/>
        <v>17.192315234379471</v>
      </c>
      <c r="I103" s="74">
        <f t="shared" si="21"/>
        <v>66.896168227157489</v>
      </c>
      <c r="J103">
        <v>75</v>
      </c>
    </row>
    <row r="104" spans="2:10" x14ac:dyDescent="0.25">
      <c r="B104">
        <f t="shared" si="19"/>
        <v>25.7</v>
      </c>
      <c r="C104" s="57">
        <v>47665</v>
      </c>
      <c r="F104">
        <v>1.08</v>
      </c>
      <c r="G104" s="38">
        <f t="shared" si="20"/>
        <v>17.302931108258139</v>
      </c>
      <c r="I104" s="74">
        <f t="shared" si="21"/>
        <v>67.326580187774866</v>
      </c>
      <c r="J104">
        <v>75</v>
      </c>
    </row>
    <row r="105" spans="2:10" x14ac:dyDescent="0.25">
      <c r="B105">
        <f t="shared" si="19"/>
        <v>25.7</v>
      </c>
      <c r="C105" s="57">
        <v>47696</v>
      </c>
      <c r="F105">
        <v>1.08</v>
      </c>
      <c r="G105" s="38">
        <f t="shared" si="20"/>
        <v>17.414258687999986</v>
      </c>
      <c r="I105" s="74">
        <f t="shared" si="21"/>
        <v>67.759761431906568</v>
      </c>
      <c r="J105">
        <v>75</v>
      </c>
    </row>
    <row r="106" spans="2:10" x14ac:dyDescent="0.25">
      <c r="B106">
        <f t="shared" si="19"/>
        <v>25.7</v>
      </c>
      <c r="C106" s="57">
        <v>47727</v>
      </c>
      <c r="F106">
        <v>1.08</v>
      </c>
      <c r="G106" s="38">
        <f t="shared" si="20"/>
        <v>17.526302552741967</v>
      </c>
      <c r="I106" s="74">
        <f t="shared" si="21"/>
        <v>68.195729777206111</v>
      </c>
      <c r="J106">
        <v>75</v>
      </c>
    </row>
    <row r="107" spans="2:10" x14ac:dyDescent="0.25">
      <c r="B107">
        <f t="shared" si="19"/>
        <v>25.7</v>
      </c>
      <c r="C107" s="57">
        <v>47757</v>
      </c>
      <c r="F107">
        <v>1.08</v>
      </c>
      <c r="G107" s="38">
        <f t="shared" si="20"/>
        <v>17.639067311083338</v>
      </c>
      <c r="I107" s="74">
        <f t="shared" si="21"/>
        <v>68.6345031559663</v>
      </c>
      <c r="J107">
        <v>75</v>
      </c>
    </row>
    <row r="108" spans="2:10" x14ac:dyDescent="0.25">
      <c r="B108">
        <f t="shared" si="19"/>
        <v>25.7</v>
      </c>
      <c r="C108" s="57">
        <v>47788</v>
      </c>
      <c r="F108">
        <v>1.08</v>
      </c>
      <c r="G108" s="38">
        <f t="shared" si="20"/>
        <v>17.752557601275225</v>
      </c>
      <c r="I108" s="74">
        <f t="shared" si="21"/>
        <v>69.076099615856918</v>
      </c>
      <c r="J108">
        <v>75</v>
      </c>
    </row>
    <row r="109" spans="2:10" x14ac:dyDescent="0.25">
      <c r="B109">
        <f t="shared" si="19"/>
        <v>25.7</v>
      </c>
      <c r="C109" s="57">
        <v>47818</v>
      </c>
      <c r="F109">
        <v>1.08</v>
      </c>
      <c r="G109" s="38">
        <f t="shared" si="20"/>
        <v>17.866778091411401</v>
      </c>
      <c r="I109" s="74">
        <f t="shared" si="21"/>
        <v>69.520537320666932</v>
      </c>
      <c r="J109">
        <v>75</v>
      </c>
    </row>
    <row r="110" spans="2:10" x14ac:dyDescent="0.25">
      <c r="C110" s="57"/>
      <c r="G110" s="38"/>
      <c r="I110" s="38"/>
    </row>
    <row r="111" spans="2:10" x14ac:dyDescent="0.25">
      <c r="C111" s="57"/>
      <c r="G111" s="38"/>
      <c r="I111" s="38"/>
    </row>
    <row r="112" spans="2:10" x14ac:dyDescent="0.25">
      <c r="C112" s="57"/>
      <c r="G112" s="38"/>
      <c r="I112" s="38"/>
    </row>
    <row r="113" spans="3:9" x14ac:dyDescent="0.25">
      <c r="C113" s="57"/>
      <c r="G113" s="38"/>
      <c r="I113" s="38"/>
    </row>
    <row r="114" spans="3:9" x14ac:dyDescent="0.25">
      <c r="C114" s="57"/>
      <c r="G114" s="38"/>
      <c r="I114" s="38"/>
    </row>
    <row r="115" spans="3:9" x14ac:dyDescent="0.25">
      <c r="C115" s="57"/>
      <c r="G115" s="38"/>
      <c r="I115" s="38"/>
    </row>
    <row r="116" spans="3:9" x14ac:dyDescent="0.25">
      <c r="C116" s="57"/>
      <c r="G116" s="38"/>
      <c r="I116" s="38"/>
    </row>
    <row r="117" spans="3:9" x14ac:dyDescent="0.25">
      <c r="C117" s="57"/>
      <c r="G117" s="38"/>
      <c r="I117" s="38"/>
    </row>
  </sheetData>
  <conditionalFormatting sqref="I2:I109">
    <cfRule type="cellIs" dxfId="22" priority="1" operator="greaterThan">
      <formula>$J$2</formula>
    </cfRule>
  </conditionalFormatting>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78BED-9ECD-4DE3-BE8D-79AC09CC3B84}">
  <dimension ref="A1:J117"/>
  <sheetViews>
    <sheetView topLeftCell="A32" zoomScale="85" zoomScaleNormal="85" workbookViewId="0">
      <selection activeCell="I56" sqref="I56"/>
    </sheetView>
  </sheetViews>
  <sheetFormatPr defaultRowHeight="15" x14ac:dyDescent="0.25"/>
  <cols>
    <col min="1" max="1" width="38.7109375" bestFit="1" customWidth="1"/>
    <col min="2" max="2" width="13.7109375" bestFit="1" customWidth="1"/>
    <col min="5" max="5" width="11.140625" bestFit="1" customWidth="1"/>
    <col min="6" max="6" width="10.5703125" bestFit="1" customWidth="1"/>
    <col min="7" max="7" width="15.7109375" bestFit="1" customWidth="1"/>
    <col min="8" max="8" width="10.140625" bestFit="1" customWidth="1"/>
    <col min="9" max="9" width="13.140625" bestFit="1" customWidth="1"/>
    <col min="12" max="12" width="17.7109375" bestFit="1" customWidth="1"/>
    <col min="13" max="13" width="31.7109375" bestFit="1" customWidth="1"/>
    <col min="14" max="14" width="45.7109375" bestFit="1" customWidth="1"/>
  </cols>
  <sheetData>
    <row r="1" spans="1:10" x14ac:dyDescent="0.25">
      <c r="A1" s="61" t="s">
        <v>211</v>
      </c>
      <c r="B1" s="61" t="s">
        <v>119</v>
      </c>
      <c r="C1" s="61" t="s">
        <v>2</v>
      </c>
      <c r="D1" s="61" t="s">
        <v>120</v>
      </c>
      <c r="E1" s="61" t="s">
        <v>121</v>
      </c>
      <c r="F1" s="61" t="s">
        <v>122</v>
      </c>
      <c r="G1" s="61" t="s">
        <v>123</v>
      </c>
      <c r="H1" s="61" t="s">
        <v>124</v>
      </c>
      <c r="I1" s="61" t="s">
        <v>125</v>
      </c>
      <c r="J1" s="61" t="s">
        <v>126</v>
      </c>
    </row>
    <row r="2" spans="1:10" x14ac:dyDescent="0.25">
      <c r="A2" t="s">
        <v>271</v>
      </c>
      <c r="B2">
        <f>25.7-10.3</f>
        <v>15.399999999999999</v>
      </c>
      <c r="C2" s="57">
        <v>44562</v>
      </c>
      <c r="D2" s="8">
        <f>'Data Collection Sheet'!I$112</f>
        <v>8.4</v>
      </c>
      <c r="E2" s="38"/>
      <c r="F2" s="38"/>
      <c r="G2" s="38"/>
      <c r="H2" s="38">
        <f t="shared" ref="H2:H22" si="0">(D2/B2)*100</f>
        <v>54.545454545454554</v>
      </c>
      <c r="I2" s="38"/>
      <c r="J2">
        <v>90</v>
      </c>
    </row>
    <row r="3" spans="1:10" x14ac:dyDescent="0.25">
      <c r="B3">
        <f t="shared" ref="B3:B66" si="1">25.7-10.3</f>
        <v>15.399999999999999</v>
      </c>
      <c r="C3" s="57">
        <v>44593</v>
      </c>
      <c r="D3" s="8">
        <f>'Data Collection Sheet'!J$112</f>
        <v>8.5</v>
      </c>
      <c r="E3" s="38"/>
      <c r="F3" s="38"/>
      <c r="G3" s="38"/>
      <c r="H3" s="38">
        <f t="shared" si="0"/>
        <v>55.194805194805198</v>
      </c>
      <c r="I3" s="38"/>
      <c r="J3">
        <v>90</v>
      </c>
    </row>
    <row r="4" spans="1:10" x14ac:dyDescent="0.25">
      <c r="B4">
        <f t="shared" si="1"/>
        <v>15.399999999999999</v>
      </c>
      <c r="C4" s="57">
        <v>44621</v>
      </c>
      <c r="D4" s="8">
        <f>'Data Collection Sheet'!K$112</f>
        <v>8.6</v>
      </c>
      <c r="E4" s="38"/>
      <c r="F4" s="38"/>
      <c r="G4" s="38"/>
      <c r="H4" s="38">
        <f t="shared" si="0"/>
        <v>55.84415584415585</v>
      </c>
      <c r="I4" s="38"/>
      <c r="J4">
        <v>90</v>
      </c>
    </row>
    <row r="5" spans="1:10" x14ac:dyDescent="0.25">
      <c r="B5">
        <f t="shared" si="1"/>
        <v>15.399999999999999</v>
      </c>
      <c r="C5" s="57">
        <v>44652</v>
      </c>
      <c r="D5" s="8">
        <f>'Data Collection Sheet'!L$112</f>
        <v>7.5</v>
      </c>
      <c r="G5" s="38"/>
      <c r="H5" s="38">
        <f t="shared" si="0"/>
        <v>48.701298701298704</v>
      </c>
      <c r="I5" s="38"/>
      <c r="J5">
        <v>90</v>
      </c>
    </row>
    <row r="6" spans="1:10" x14ac:dyDescent="0.25">
      <c r="B6">
        <f t="shared" si="1"/>
        <v>15.399999999999999</v>
      </c>
      <c r="C6" s="57">
        <v>44682</v>
      </c>
      <c r="D6" s="8">
        <f>'Data Collection Sheet'!M$112</f>
        <v>7.6</v>
      </c>
      <c r="G6" s="38"/>
      <c r="H6" s="38">
        <f t="shared" si="0"/>
        <v>49.350649350649348</v>
      </c>
      <c r="I6" s="38"/>
      <c r="J6">
        <v>90</v>
      </c>
    </row>
    <row r="7" spans="1:10" x14ac:dyDescent="0.25">
      <c r="B7">
        <f t="shared" si="1"/>
        <v>15.399999999999999</v>
      </c>
      <c r="C7" s="57">
        <v>44713</v>
      </c>
      <c r="D7" s="8">
        <f>'Data Collection Sheet'!N$112</f>
        <v>7.6</v>
      </c>
      <c r="G7" s="38"/>
      <c r="H7" s="38">
        <f t="shared" si="0"/>
        <v>49.350649350649348</v>
      </c>
      <c r="I7" s="38"/>
      <c r="J7">
        <v>90</v>
      </c>
    </row>
    <row r="8" spans="1:10" x14ac:dyDescent="0.25">
      <c r="B8">
        <f t="shared" si="1"/>
        <v>15.399999999999999</v>
      </c>
      <c r="C8" s="57">
        <v>44743</v>
      </c>
      <c r="D8" s="8">
        <f>'Data Collection Sheet'!O$112</f>
        <v>7.6</v>
      </c>
      <c r="G8" s="38"/>
      <c r="H8" s="38">
        <f t="shared" si="0"/>
        <v>49.350649350649348</v>
      </c>
      <c r="I8" s="38"/>
      <c r="J8">
        <v>90</v>
      </c>
    </row>
    <row r="9" spans="1:10" x14ac:dyDescent="0.25">
      <c r="B9">
        <f t="shared" si="1"/>
        <v>15.399999999999999</v>
      </c>
      <c r="C9" s="57">
        <v>44774</v>
      </c>
      <c r="D9" s="8">
        <f>'Data Collection Sheet'!P$112</f>
        <v>7.6</v>
      </c>
      <c r="G9" s="38"/>
      <c r="H9" s="38">
        <f t="shared" si="0"/>
        <v>49.350649350649348</v>
      </c>
      <c r="I9" s="38"/>
      <c r="J9">
        <v>90</v>
      </c>
    </row>
    <row r="10" spans="1:10" x14ac:dyDescent="0.25">
      <c r="B10">
        <f t="shared" si="1"/>
        <v>15.399999999999999</v>
      </c>
      <c r="C10" s="57">
        <v>44805</v>
      </c>
      <c r="D10" s="8">
        <f>'Data Collection Sheet'!Q$112</f>
        <v>7.6</v>
      </c>
      <c r="G10" s="38"/>
      <c r="H10" s="38">
        <f t="shared" si="0"/>
        <v>49.350649350649348</v>
      </c>
      <c r="I10" s="38"/>
      <c r="J10">
        <v>90</v>
      </c>
    </row>
    <row r="11" spans="1:10" x14ac:dyDescent="0.25">
      <c r="B11">
        <f t="shared" si="1"/>
        <v>15.399999999999999</v>
      </c>
      <c r="C11" s="57">
        <v>44835</v>
      </c>
      <c r="D11" s="8">
        <f>'Data Collection Sheet'!R$112</f>
        <v>7.6</v>
      </c>
      <c r="G11" s="38"/>
      <c r="H11" s="38">
        <f t="shared" si="0"/>
        <v>49.350649350649348</v>
      </c>
      <c r="I11" s="38"/>
      <c r="J11">
        <v>90</v>
      </c>
    </row>
    <row r="12" spans="1:10" x14ac:dyDescent="0.25">
      <c r="B12">
        <f t="shared" si="1"/>
        <v>15.399999999999999</v>
      </c>
      <c r="C12" s="57">
        <v>44866</v>
      </c>
      <c r="D12" s="8">
        <f>'Data Collection Sheet'!S$112</f>
        <v>7.6</v>
      </c>
      <c r="G12" s="38"/>
      <c r="H12" s="38">
        <f t="shared" si="0"/>
        <v>49.350649350649348</v>
      </c>
      <c r="I12" s="38"/>
      <c r="J12">
        <v>90</v>
      </c>
    </row>
    <row r="13" spans="1:10" x14ac:dyDescent="0.25">
      <c r="B13">
        <f t="shared" si="1"/>
        <v>15.399999999999999</v>
      </c>
      <c r="C13" s="57">
        <v>44896</v>
      </c>
      <c r="D13" s="8">
        <f>'Data Collection Sheet'!T$112</f>
        <v>7.6</v>
      </c>
      <c r="G13" s="38"/>
      <c r="H13" s="38">
        <f t="shared" si="0"/>
        <v>49.350649350649348</v>
      </c>
      <c r="I13" s="38"/>
      <c r="J13">
        <v>90</v>
      </c>
    </row>
    <row r="14" spans="1:10" x14ac:dyDescent="0.25">
      <c r="B14">
        <f t="shared" si="1"/>
        <v>15.399999999999999</v>
      </c>
      <c r="C14" s="57">
        <v>44927</v>
      </c>
      <c r="D14" s="8">
        <f>'Data Collection Sheet'!U$112</f>
        <v>7.68</v>
      </c>
      <c r="G14" s="38"/>
      <c r="H14" s="38">
        <f t="shared" si="0"/>
        <v>49.870129870129873</v>
      </c>
      <c r="I14" s="38"/>
      <c r="J14">
        <v>90</v>
      </c>
    </row>
    <row r="15" spans="1:10" x14ac:dyDescent="0.25">
      <c r="B15">
        <f t="shared" si="1"/>
        <v>15.399999999999999</v>
      </c>
      <c r="C15" s="57">
        <v>44958</v>
      </c>
      <c r="D15" s="8">
        <f>'Data Collection Sheet'!V$112</f>
        <v>7.73</v>
      </c>
      <c r="G15" s="38"/>
      <c r="H15" s="38">
        <f t="shared" si="0"/>
        <v>50.194805194805205</v>
      </c>
      <c r="I15" s="38"/>
      <c r="J15">
        <v>90</v>
      </c>
    </row>
    <row r="16" spans="1:10" x14ac:dyDescent="0.25">
      <c r="B16">
        <f t="shared" si="1"/>
        <v>15.399999999999999</v>
      </c>
      <c r="C16" s="57">
        <v>44986</v>
      </c>
      <c r="D16" s="8">
        <f>'Data Collection Sheet'!W$112</f>
        <v>7.79</v>
      </c>
      <c r="G16" s="38"/>
      <c r="H16" s="38">
        <f t="shared" si="0"/>
        <v>50.584415584415588</v>
      </c>
      <c r="I16" s="38"/>
      <c r="J16">
        <v>90</v>
      </c>
    </row>
    <row r="17" spans="2:10" x14ac:dyDescent="0.25">
      <c r="B17">
        <f t="shared" si="1"/>
        <v>15.399999999999999</v>
      </c>
      <c r="C17" s="57">
        <v>45017</v>
      </c>
      <c r="D17" s="8">
        <f>'Data Collection Sheet'!X$112</f>
        <v>7.95</v>
      </c>
      <c r="G17" s="38"/>
      <c r="H17" s="38">
        <f t="shared" si="0"/>
        <v>51.623376623376629</v>
      </c>
      <c r="I17" s="38"/>
      <c r="J17">
        <v>90</v>
      </c>
    </row>
    <row r="18" spans="2:10" x14ac:dyDescent="0.25">
      <c r="B18">
        <f t="shared" si="1"/>
        <v>15.399999999999999</v>
      </c>
      <c r="C18" s="57">
        <v>45047</v>
      </c>
      <c r="D18" s="8">
        <f>'Data Collection Sheet'!Y$112</f>
        <v>8.09</v>
      </c>
      <c r="G18" s="38"/>
      <c r="H18" s="38">
        <f t="shared" si="0"/>
        <v>52.532467532467543</v>
      </c>
      <c r="I18" s="38"/>
      <c r="J18">
        <v>90</v>
      </c>
    </row>
    <row r="19" spans="2:10" x14ac:dyDescent="0.25">
      <c r="B19">
        <f t="shared" si="1"/>
        <v>15.399999999999999</v>
      </c>
      <c r="C19" s="57">
        <v>45078</v>
      </c>
      <c r="D19" s="8">
        <f>'Data Collection Sheet'!Z$112</f>
        <v>8.15</v>
      </c>
      <c r="G19" s="38"/>
      <c r="H19" s="38">
        <f t="shared" si="0"/>
        <v>52.922077922077925</v>
      </c>
      <c r="I19" s="38"/>
      <c r="J19">
        <v>90</v>
      </c>
    </row>
    <row r="20" spans="2:10" x14ac:dyDescent="0.25">
      <c r="B20">
        <f t="shared" si="1"/>
        <v>15.399999999999999</v>
      </c>
      <c r="C20" s="57">
        <v>45108</v>
      </c>
      <c r="D20" s="8">
        <f>'Data Collection Sheet'!AA$112</f>
        <v>8.1999999999999993</v>
      </c>
      <c r="G20" s="38"/>
      <c r="H20" s="38">
        <f t="shared" si="0"/>
        <v>53.246753246753244</v>
      </c>
      <c r="I20" s="38"/>
      <c r="J20">
        <v>90</v>
      </c>
    </row>
    <row r="21" spans="2:10" x14ac:dyDescent="0.25">
      <c r="B21">
        <f t="shared" si="1"/>
        <v>15.399999999999999</v>
      </c>
      <c r="C21" s="57">
        <v>45139</v>
      </c>
      <c r="D21" s="8">
        <f>'Data Collection Sheet'!AB$112</f>
        <v>8.32</v>
      </c>
      <c r="G21" s="38"/>
      <c r="H21" s="38">
        <f t="shared" si="0"/>
        <v>54.02597402597403</v>
      </c>
      <c r="I21" s="38"/>
      <c r="J21">
        <v>90</v>
      </c>
    </row>
    <row r="22" spans="2:10" x14ac:dyDescent="0.25">
      <c r="B22">
        <f t="shared" si="1"/>
        <v>15.399999999999999</v>
      </c>
      <c r="C22" s="57">
        <v>45170</v>
      </c>
      <c r="D22" s="8">
        <f>'Data Collection Sheet'!AC$112</f>
        <v>8.26</v>
      </c>
      <c r="G22" s="38"/>
      <c r="H22" s="38">
        <f t="shared" si="0"/>
        <v>53.63636363636364</v>
      </c>
      <c r="I22" s="38"/>
      <c r="J22">
        <v>90</v>
      </c>
    </row>
    <row r="23" spans="2:10" x14ac:dyDescent="0.25">
      <c r="B23">
        <f t="shared" si="1"/>
        <v>15.399999999999999</v>
      </c>
      <c r="C23" s="57">
        <v>45200</v>
      </c>
      <c r="D23" s="8">
        <f>'Data Collection Sheet'!AD$112</f>
        <v>8.4499999999999993</v>
      </c>
      <c r="G23" s="38"/>
      <c r="H23" s="38">
        <f t="shared" ref="H23:H28" si="2">(D23/B23)*100</f>
        <v>54.870129870129873</v>
      </c>
      <c r="I23" s="38"/>
      <c r="J23">
        <v>90</v>
      </c>
    </row>
    <row r="24" spans="2:10" x14ac:dyDescent="0.25">
      <c r="B24">
        <f t="shared" si="1"/>
        <v>15.399999999999999</v>
      </c>
      <c r="C24" s="57">
        <v>45231</v>
      </c>
      <c r="D24" s="8">
        <f>'Data Collection Sheet'!AE$112</f>
        <v>8.4499999999999993</v>
      </c>
      <c r="G24" s="38"/>
      <c r="H24" s="38">
        <f t="shared" si="2"/>
        <v>54.870129870129873</v>
      </c>
      <c r="I24" s="38"/>
      <c r="J24">
        <v>90</v>
      </c>
    </row>
    <row r="25" spans="2:10" x14ac:dyDescent="0.25">
      <c r="B25">
        <f t="shared" si="1"/>
        <v>15.399999999999999</v>
      </c>
      <c r="C25" s="57">
        <v>45261</v>
      </c>
      <c r="D25" s="8">
        <f>'Data Collection Sheet'!AF$112</f>
        <v>8.48</v>
      </c>
      <c r="G25" s="38"/>
      <c r="H25" s="38">
        <f t="shared" si="2"/>
        <v>55.064935064935071</v>
      </c>
      <c r="I25" s="38"/>
      <c r="J25">
        <v>90</v>
      </c>
    </row>
    <row r="26" spans="2:10" x14ac:dyDescent="0.25">
      <c r="B26">
        <f t="shared" si="1"/>
        <v>15.399999999999999</v>
      </c>
      <c r="C26" s="57">
        <v>45292</v>
      </c>
      <c r="D26" s="8">
        <f>'Data Collection Sheet'!AG$112</f>
        <v>8.51</v>
      </c>
      <c r="G26" s="38"/>
      <c r="H26" s="38">
        <f t="shared" si="2"/>
        <v>55.259740259740262</v>
      </c>
      <c r="I26" s="38"/>
      <c r="J26">
        <v>90</v>
      </c>
    </row>
    <row r="27" spans="2:10" x14ac:dyDescent="0.25">
      <c r="B27">
        <f t="shared" si="1"/>
        <v>15.399999999999999</v>
      </c>
      <c r="C27" s="57">
        <v>45323</v>
      </c>
      <c r="D27" s="8">
        <f>'Data Collection Sheet'!AH$112</f>
        <v>8.81</v>
      </c>
      <c r="G27" s="38"/>
      <c r="H27" s="38">
        <f t="shared" si="2"/>
        <v>57.207792207792217</v>
      </c>
      <c r="I27" s="38"/>
      <c r="J27">
        <v>90</v>
      </c>
    </row>
    <row r="28" spans="2:10" x14ac:dyDescent="0.25">
      <c r="B28">
        <f t="shared" si="1"/>
        <v>15.399999999999999</v>
      </c>
      <c r="C28" s="57">
        <v>45352</v>
      </c>
      <c r="D28" s="8">
        <f>'Data Collection Sheet'!AI$112</f>
        <v>8.82</v>
      </c>
      <c r="G28" s="38"/>
      <c r="H28" s="38">
        <f t="shared" si="2"/>
        <v>57.272727272727273</v>
      </c>
      <c r="I28" s="38"/>
      <c r="J28">
        <v>90</v>
      </c>
    </row>
    <row r="29" spans="2:10" x14ac:dyDescent="0.25">
      <c r="B29">
        <f t="shared" si="1"/>
        <v>15.399999999999999</v>
      </c>
      <c r="C29" s="57">
        <v>45383</v>
      </c>
      <c r="D29" s="8">
        <f>'Data Collection Sheet'!AJ$112</f>
        <v>8.8800000000000008</v>
      </c>
      <c r="G29" s="38"/>
      <c r="H29" s="38">
        <f t="shared" ref="H29" si="3">(D29/B29)*100</f>
        <v>57.66233766233767</v>
      </c>
      <c r="I29" s="38"/>
      <c r="J29">
        <v>90</v>
      </c>
    </row>
    <row r="30" spans="2:10" x14ac:dyDescent="0.25">
      <c r="B30">
        <f t="shared" si="1"/>
        <v>15.399999999999999</v>
      </c>
      <c r="C30" s="57">
        <v>45413</v>
      </c>
      <c r="D30" s="8">
        <f>'Data Collection Sheet'!AK$112</f>
        <v>8.8800000000000008</v>
      </c>
      <c r="G30" s="38"/>
      <c r="H30" s="38">
        <f t="shared" ref="H30" si="4">(D30/B30)*100</f>
        <v>57.66233766233767</v>
      </c>
      <c r="I30" s="38"/>
      <c r="J30">
        <v>90</v>
      </c>
    </row>
    <row r="31" spans="2:10" x14ac:dyDescent="0.25">
      <c r="B31">
        <f t="shared" si="1"/>
        <v>15.399999999999999</v>
      </c>
      <c r="C31" s="57">
        <v>45444</v>
      </c>
      <c r="D31" s="8">
        <f>'Data Collection Sheet'!AL$112</f>
        <v>9.3000000000000007</v>
      </c>
      <c r="G31" s="38"/>
      <c r="H31" s="38">
        <f t="shared" ref="H31:H36" si="5">(D31/B31)*100</f>
        <v>60.389610389610404</v>
      </c>
      <c r="I31" s="38"/>
      <c r="J31">
        <v>90</v>
      </c>
    </row>
    <row r="32" spans="2:10" x14ac:dyDescent="0.25">
      <c r="B32">
        <f t="shared" si="1"/>
        <v>15.399999999999999</v>
      </c>
      <c r="C32" s="57">
        <v>45474</v>
      </c>
      <c r="D32" s="8">
        <f>'Data Collection Sheet'!AM$112</f>
        <v>9.77</v>
      </c>
      <c r="G32" s="38"/>
      <c r="H32" s="38">
        <f t="shared" si="5"/>
        <v>63.441558441558442</v>
      </c>
      <c r="I32" s="38"/>
      <c r="J32">
        <v>90</v>
      </c>
    </row>
    <row r="33" spans="2:10" x14ac:dyDescent="0.25">
      <c r="B33">
        <f t="shared" si="1"/>
        <v>15.399999999999999</v>
      </c>
      <c r="C33" s="57">
        <v>45505</v>
      </c>
      <c r="D33" s="8">
        <f>'Data Collection Sheet'!AN$112</f>
        <v>9.93</v>
      </c>
      <c r="G33" s="38"/>
      <c r="H33" s="38">
        <f t="shared" si="5"/>
        <v>64.480519480519476</v>
      </c>
      <c r="I33" s="38"/>
      <c r="J33">
        <v>90</v>
      </c>
    </row>
    <row r="34" spans="2:10" x14ac:dyDescent="0.25">
      <c r="B34">
        <f t="shared" si="1"/>
        <v>15.399999999999999</v>
      </c>
      <c r="C34" s="57">
        <v>45536</v>
      </c>
      <c r="D34" s="8">
        <f>'Data Collection Sheet'!AO$112</f>
        <v>9.93</v>
      </c>
      <c r="G34" s="38"/>
      <c r="H34" s="38">
        <f t="shared" si="5"/>
        <v>64.480519480519476</v>
      </c>
      <c r="I34" s="38"/>
      <c r="J34">
        <v>90</v>
      </c>
    </row>
    <row r="35" spans="2:10" x14ac:dyDescent="0.25">
      <c r="B35">
        <f t="shared" si="1"/>
        <v>15.399999999999999</v>
      </c>
      <c r="C35" s="57">
        <v>45566</v>
      </c>
      <c r="D35" s="8">
        <f>'Data Collection Sheet'!AP$112</f>
        <v>9.93</v>
      </c>
      <c r="G35" s="38"/>
      <c r="H35" s="38">
        <f t="shared" si="5"/>
        <v>64.480519480519476</v>
      </c>
      <c r="I35" s="38"/>
      <c r="J35">
        <v>90</v>
      </c>
    </row>
    <row r="36" spans="2:10" x14ac:dyDescent="0.25">
      <c r="B36">
        <f t="shared" si="1"/>
        <v>15.399999999999999</v>
      </c>
      <c r="C36" s="57">
        <v>45597</v>
      </c>
      <c r="D36" s="8">
        <f>'Data Collection Sheet'!AQ$112</f>
        <v>10.039999999999999</v>
      </c>
      <c r="G36" s="38"/>
      <c r="H36" s="38">
        <f t="shared" si="5"/>
        <v>65.194805194805198</v>
      </c>
      <c r="I36" s="38"/>
      <c r="J36">
        <v>90</v>
      </c>
    </row>
    <row r="37" spans="2:10" x14ac:dyDescent="0.25">
      <c r="B37">
        <f t="shared" si="1"/>
        <v>15.399999999999999</v>
      </c>
      <c r="C37" s="57">
        <v>45627</v>
      </c>
      <c r="D37" s="8">
        <f>'Data Collection Sheet'!AR$112</f>
        <v>10.039999999999999</v>
      </c>
      <c r="G37" s="38"/>
      <c r="H37" s="38">
        <f>(D37/B37)*100</f>
        <v>65.194805194805198</v>
      </c>
      <c r="I37" s="38"/>
      <c r="J37">
        <v>90</v>
      </c>
    </row>
    <row r="38" spans="2:10" x14ac:dyDescent="0.25">
      <c r="B38">
        <f t="shared" si="1"/>
        <v>15.399999999999999</v>
      </c>
      <c r="C38" s="57">
        <v>45658</v>
      </c>
      <c r="D38" s="8">
        <f>'Data Collection Sheet'!AS$112</f>
        <v>10.039999999999999</v>
      </c>
      <c r="G38" s="38"/>
      <c r="H38" s="38">
        <f>(D38/B38)*100</f>
        <v>65.194805194805198</v>
      </c>
      <c r="I38" s="38"/>
      <c r="J38">
        <v>90</v>
      </c>
    </row>
    <row r="39" spans="2:10" x14ac:dyDescent="0.25">
      <c r="B39">
        <f t="shared" si="1"/>
        <v>15.399999999999999</v>
      </c>
      <c r="C39" s="57">
        <v>45689</v>
      </c>
      <c r="D39" s="8">
        <f>'Data Collection Sheet'!AT$112</f>
        <v>10.130000000000001</v>
      </c>
      <c r="G39" s="38"/>
      <c r="H39" s="38">
        <f>(D39/B39)*100</f>
        <v>65.779220779220793</v>
      </c>
      <c r="I39" s="38"/>
      <c r="J39">
        <v>90</v>
      </c>
    </row>
    <row r="40" spans="2:10" x14ac:dyDescent="0.25">
      <c r="B40">
        <f t="shared" si="1"/>
        <v>15.399999999999999</v>
      </c>
      <c r="C40" s="57">
        <v>45717</v>
      </c>
      <c r="D40" s="8">
        <f>'Data Collection Sheet'!AU$112</f>
        <v>10.199999999999999</v>
      </c>
      <c r="G40" s="38"/>
      <c r="H40" s="38">
        <f t="shared" ref="H40:H41" si="6">(D40/B40)*100</f>
        <v>66.233766233766232</v>
      </c>
      <c r="I40" s="38"/>
      <c r="J40">
        <v>90</v>
      </c>
    </row>
    <row r="41" spans="2:10" x14ac:dyDescent="0.25">
      <c r="B41">
        <f t="shared" si="1"/>
        <v>15.399999999999999</v>
      </c>
      <c r="C41" s="57">
        <v>45748</v>
      </c>
      <c r="D41" s="8">
        <f>'Data Collection Sheet'!AV$112</f>
        <v>10.34</v>
      </c>
      <c r="G41" s="38"/>
      <c r="H41" s="38">
        <f t="shared" si="6"/>
        <v>67.142857142857153</v>
      </c>
      <c r="I41" s="38"/>
      <c r="J41">
        <v>90</v>
      </c>
    </row>
    <row r="42" spans="2:10" x14ac:dyDescent="0.25">
      <c r="B42">
        <f t="shared" si="1"/>
        <v>15.399999999999999</v>
      </c>
      <c r="C42" s="57">
        <v>45778</v>
      </c>
      <c r="D42" s="8">
        <f>'Data Collection Sheet'!AW$112</f>
        <v>10.47</v>
      </c>
      <c r="G42" s="38"/>
      <c r="H42" s="38">
        <f t="shared" ref="H42" si="7">(D42/B42)*100</f>
        <v>67.987012987013003</v>
      </c>
      <c r="I42" s="38"/>
      <c r="J42">
        <v>90</v>
      </c>
    </row>
    <row r="43" spans="2:10" x14ac:dyDescent="0.25">
      <c r="B43">
        <f t="shared" si="1"/>
        <v>15.399999999999999</v>
      </c>
      <c r="C43" s="57">
        <v>45809</v>
      </c>
      <c r="D43" s="8">
        <f>'Data Collection Sheet'!AX$112</f>
        <v>10.89</v>
      </c>
      <c r="G43" s="38"/>
      <c r="H43" s="38">
        <f t="shared" ref="H43" si="8">(D43/B43)*100</f>
        <v>70.714285714285722</v>
      </c>
      <c r="I43" s="38"/>
      <c r="J43">
        <v>90</v>
      </c>
    </row>
    <row r="44" spans="2:10" x14ac:dyDescent="0.25">
      <c r="B44">
        <f t="shared" si="1"/>
        <v>15.399999999999999</v>
      </c>
      <c r="C44" s="57">
        <v>45839</v>
      </c>
      <c r="D44" s="8">
        <f>'Data Collection Sheet'!AY$112</f>
        <v>10.89</v>
      </c>
      <c r="G44" s="38"/>
      <c r="H44" s="38">
        <f t="shared" ref="H44" si="9">(D44/B44)*100</f>
        <v>70.714285714285722</v>
      </c>
      <c r="I44" s="38"/>
      <c r="J44">
        <v>90</v>
      </c>
    </row>
    <row r="45" spans="2:10" x14ac:dyDescent="0.25">
      <c r="B45">
        <f t="shared" si="1"/>
        <v>15.399999999999999</v>
      </c>
      <c r="C45" s="57">
        <v>45870</v>
      </c>
      <c r="D45" s="8">
        <f>'Data Collection Sheet'!AZ$112</f>
        <v>10.98</v>
      </c>
      <c r="G45" s="38"/>
      <c r="H45" s="38">
        <f t="shared" ref="H45" si="10">(D45/B45)*100</f>
        <v>71.298701298701303</v>
      </c>
      <c r="I45" s="38"/>
      <c r="J45">
        <v>90</v>
      </c>
    </row>
    <row r="46" spans="2:10" x14ac:dyDescent="0.25">
      <c r="B46">
        <f t="shared" si="1"/>
        <v>15.399999999999999</v>
      </c>
      <c r="C46" s="57">
        <v>45901</v>
      </c>
      <c r="D46" s="8">
        <f>'Data Collection Sheet'!BA$112</f>
        <v>11.09</v>
      </c>
      <c r="G46" s="38"/>
      <c r="H46" s="38">
        <f t="shared" ref="H46" si="11">(D46/B46)*100</f>
        <v>72.012987012987011</v>
      </c>
      <c r="I46" s="38"/>
      <c r="J46">
        <v>90</v>
      </c>
    </row>
    <row r="47" spans="2:10" x14ac:dyDescent="0.25">
      <c r="B47">
        <f t="shared" si="1"/>
        <v>15.399999999999999</v>
      </c>
      <c r="C47" s="57">
        <v>45931</v>
      </c>
      <c r="D47" s="8">
        <f>'Data Collection Sheet'!BB$112</f>
        <v>11.09</v>
      </c>
      <c r="G47" s="38"/>
      <c r="H47" s="38">
        <f t="shared" ref="H47" si="12">(D47/B47)*100</f>
        <v>72.012987012987011</v>
      </c>
      <c r="I47" s="38"/>
      <c r="J47">
        <v>90</v>
      </c>
    </row>
    <row r="48" spans="2:10" x14ac:dyDescent="0.25">
      <c r="B48">
        <f t="shared" si="1"/>
        <v>15.399999999999999</v>
      </c>
      <c r="C48" s="57">
        <v>45962</v>
      </c>
      <c r="D48" s="8">
        <f>'Data Collection Sheet'!BC$112</f>
        <v>11.22</v>
      </c>
      <c r="G48" s="38"/>
      <c r="H48" s="38">
        <f t="shared" ref="H48" si="13">(D48/B48)*100</f>
        <v>72.857142857142861</v>
      </c>
      <c r="I48" s="38"/>
      <c r="J48">
        <v>90</v>
      </c>
    </row>
    <row r="49" spans="2:10" x14ac:dyDescent="0.25">
      <c r="B49">
        <f t="shared" si="1"/>
        <v>15.399999999999999</v>
      </c>
      <c r="C49" s="57">
        <v>45992</v>
      </c>
      <c r="D49" s="8">
        <f>'Data Collection Sheet'!BD$112</f>
        <v>11.21</v>
      </c>
      <c r="G49" s="38"/>
      <c r="H49" s="38">
        <f t="shared" ref="H49:H54" si="14">(D49/B49)*100</f>
        <v>72.792207792207805</v>
      </c>
      <c r="I49" s="38"/>
      <c r="J49">
        <v>90</v>
      </c>
    </row>
    <row r="50" spans="2:10" x14ac:dyDescent="0.25">
      <c r="B50">
        <f t="shared" si="1"/>
        <v>15.399999999999999</v>
      </c>
      <c r="C50" s="57">
        <v>46023</v>
      </c>
      <c r="D50" s="8">
        <f>'Data Collection Sheet'!BE$112</f>
        <v>11.24</v>
      </c>
      <c r="G50" s="38"/>
      <c r="H50" s="38">
        <f t="shared" si="14"/>
        <v>72.987012987013003</v>
      </c>
      <c r="I50" s="38"/>
      <c r="J50">
        <v>90</v>
      </c>
    </row>
    <row r="51" spans="2:10" x14ac:dyDescent="0.25">
      <c r="B51">
        <f t="shared" si="1"/>
        <v>15.399999999999999</v>
      </c>
      <c r="C51" s="57">
        <v>46054</v>
      </c>
      <c r="D51" s="8">
        <f>'Data Collection Sheet'!BF$112</f>
        <v>11.22</v>
      </c>
      <c r="G51" s="38"/>
      <c r="H51" s="38">
        <f t="shared" si="14"/>
        <v>72.857142857142861</v>
      </c>
      <c r="I51" s="38"/>
      <c r="J51">
        <v>90</v>
      </c>
    </row>
    <row r="52" spans="2:10" x14ac:dyDescent="0.25">
      <c r="B52">
        <f t="shared" si="1"/>
        <v>15.399999999999999</v>
      </c>
      <c r="C52" s="57">
        <v>46082</v>
      </c>
      <c r="D52" s="8">
        <f>'Data Collection Sheet'!BG$112</f>
        <v>11.21</v>
      </c>
      <c r="G52" s="38"/>
      <c r="H52" s="38">
        <f t="shared" si="14"/>
        <v>72.792207792207805</v>
      </c>
      <c r="I52" s="38"/>
      <c r="J52">
        <v>90</v>
      </c>
    </row>
    <row r="53" spans="2:10" x14ac:dyDescent="0.25">
      <c r="B53">
        <f t="shared" si="1"/>
        <v>15.399999999999999</v>
      </c>
      <c r="C53" s="57">
        <v>46113</v>
      </c>
      <c r="D53" s="8">
        <f>'Data Collection Sheet'!BH$112</f>
        <v>11.21</v>
      </c>
      <c r="G53" s="38"/>
      <c r="H53" s="38">
        <f t="shared" si="14"/>
        <v>72.792207792207805</v>
      </c>
      <c r="I53" s="38"/>
      <c r="J53">
        <v>90</v>
      </c>
    </row>
    <row r="54" spans="2:10" x14ac:dyDescent="0.25">
      <c r="B54">
        <f t="shared" si="1"/>
        <v>15.399999999999999</v>
      </c>
      <c r="C54" s="57">
        <v>46143</v>
      </c>
      <c r="D54" s="8">
        <f>'Data Collection Sheet'!BI$112</f>
        <v>11.21</v>
      </c>
      <c r="G54" s="38"/>
      <c r="H54" s="38">
        <f t="shared" si="14"/>
        <v>72.792207792207805</v>
      </c>
      <c r="I54" s="38"/>
      <c r="J54">
        <v>90</v>
      </c>
    </row>
    <row r="55" spans="2:10" x14ac:dyDescent="0.25">
      <c r="B55">
        <f t="shared" si="1"/>
        <v>15.399999999999999</v>
      </c>
      <c r="C55" s="57">
        <v>46174</v>
      </c>
      <c r="D55" s="8">
        <f>'Data Collection Sheet'!BJ$112</f>
        <v>11.21</v>
      </c>
      <c r="G55" s="38"/>
      <c r="H55" s="38">
        <f>(D55/B55)*100</f>
        <v>72.792207792207805</v>
      </c>
      <c r="I55" s="38"/>
      <c r="J55">
        <v>90</v>
      </c>
    </row>
    <row r="56" spans="2:10" x14ac:dyDescent="0.25">
      <c r="B56">
        <f t="shared" si="1"/>
        <v>15.399999999999999</v>
      </c>
      <c r="C56" s="57">
        <v>46204</v>
      </c>
      <c r="D56" s="8">
        <f>'Data Collection Sheet'!BK$112</f>
        <v>11.2</v>
      </c>
      <c r="G56" s="38"/>
      <c r="H56" s="38">
        <f>(D56/B56)*100</f>
        <v>72.727272727272734</v>
      </c>
      <c r="I56" s="38"/>
      <c r="J56">
        <v>90</v>
      </c>
    </row>
    <row r="57" spans="2:10" x14ac:dyDescent="0.25">
      <c r="B57">
        <f t="shared" si="1"/>
        <v>15.399999999999999</v>
      </c>
      <c r="C57" s="57">
        <v>46235</v>
      </c>
      <c r="D57" s="8">
        <f>'Data Collection Sheet'!BL$112</f>
        <v>11.18</v>
      </c>
      <c r="F57">
        <v>8.08</v>
      </c>
      <c r="G57" s="38">
        <f>D57</f>
        <v>11.18</v>
      </c>
      <c r="H57" s="38">
        <f>(D57/B57)*100</f>
        <v>72.597402597402606</v>
      </c>
      <c r="I57" s="38">
        <f t="shared" ref="I57" si="15">(G57/B57)*100</f>
        <v>72.597402597402606</v>
      </c>
      <c r="J57">
        <v>90</v>
      </c>
    </row>
    <row r="58" spans="2:10" x14ac:dyDescent="0.25">
      <c r="B58">
        <f t="shared" si="1"/>
        <v>15.399999999999999</v>
      </c>
      <c r="C58" s="57">
        <v>46266</v>
      </c>
      <c r="D58" s="8"/>
      <c r="F58">
        <v>1.08</v>
      </c>
      <c r="G58" s="38">
        <f t="shared" ref="G58:G89" si="16">G57*(1+(F58^(1/12)-1))+E58</f>
        <v>11.251932456629838</v>
      </c>
      <c r="H58" s="38"/>
      <c r="I58" s="38">
        <f t="shared" ref="I58:I88" si="17">(G58/B58)*100</f>
        <v>73.064496471622334</v>
      </c>
      <c r="J58">
        <v>90</v>
      </c>
    </row>
    <row r="59" spans="2:10" x14ac:dyDescent="0.25">
      <c r="B59">
        <f t="shared" si="1"/>
        <v>15.399999999999999</v>
      </c>
      <c r="C59" s="57">
        <v>46296</v>
      </c>
      <c r="D59" s="8"/>
      <c r="F59">
        <v>1.08</v>
      </c>
      <c r="G59" s="38">
        <f t="shared" si="16"/>
        <v>11.32432772885152</v>
      </c>
      <c r="H59" s="38"/>
      <c r="I59" s="38">
        <f t="shared" si="17"/>
        <v>73.534595641892992</v>
      </c>
      <c r="J59">
        <v>90</v>
      </c>
    </row>
    <row r="60" spans="2:10" x14ac:dyDescent="0.25">
      <c r="B60">
        <f t="shared" si="1"/>
        <v>15.399999999999999</v>
      </c>
      <c r="C60" s="57">
        <v>46327</v>
      </c>
      <c r="D60" s="8"/>
      <c r="E60" s="38"/>
      <c r="F60">
        <v>1.08</v>
      </c>
      <c r="G60" s="38">
        <f t="shared" si="16"/>
        <v>11.397188794434497</v>
      </c>
      <c r="H60" s="38"/>
      <c r="I60" s="38">
        <f t="shared" si="17"/>
        <v>74.007719444379859</v>
      </c>
      <c r="J60">
        <v>90</v>
      </c>
    </row>
    <row r="61" spans="2:10" x14ac:dyDescent="0.25">
      <c r="B61">
        <f t="shared" si="1"/>
        <v>15.399999999999999</v>
      </c>
      <c r="C61" s="57">
        <v>46357</v>
      </c>
      <c r="D61" s="8"/>
      <c r="E61" s="38"/>
      <c r="F61">
        <v>1.08</v>
      </c>
      <c r="G61" s="38">
        <f t="shared" si="16"/>
        <v>11.470518650307282</v>
      </c>
      <c r="H61" s="38"/>
      <c r="I61" s="38">
        <f t="shared" si="17"/>
        <v>74.483887339657684</v>
      </c>
      <c r="J61">
        <v>90</v>
      </c>
    </row>
    <row r="62" spans="2:10" x14ac:dyDescent="0.25">
      <c r="B62">
        <f t="shared" si="1"/>
        <v>15.399999999999999</v>
      </c>
      <c r="C62" s="57">
        <v>46388</v>
      </c>
      <c r="D62" s="8"/>
      <c r="E62" s="38"/>
      <c r="F62">
        <v>1.08</v>
      </c>
      <c r="G62" s="38">
        <f t="shared" si="16"/>
        <v>11.544320312680714</v>
      </c>
      <c r="H62" s="38"/>
      <c r="I62" s="38">
        <f t="shared" si="17"/>
        <v>74.963118913511138</v>
      </c>
      <c r="J62">
        <v>90</v>
      </c>
    </row>
    <row r="63" spans="2:10" x14ac:dyDescent="0.25">
      <c r="B63">
        <f t="shared" si="1"/>
        <v>15.399999999999999</v>
      </c>
      <c r="C63" s="57">
        <v>46419</v>
      </c>
      <c r="D63" s="8"/>
      <c r="F63">
        <v>1.08</v>
      </c>
      <c r="G63" s="38">
        <f t="shared" si="16"/>
        <v>11.618596817172026</v>
      </c>
      <c r="H63" s="38"/>
      <c r="I63" s="38">
        <f t="shared" si="17"/>
        <v>75.445433877740442</v>
      </c>
      <c r="J63">
        <v>90</v>
      </c>
    </row>
    <row r="64" spans="2:10" x14ac:dyDescent="0.25">
      <c r="B64">
        <f t="shared" si="1"/>
        <v>15.399999999999999</v>
      </c>
      <c r="C64" s="57">
        <v>46447</v>
      </c>
      <c r="D64" s="8"/>
      <c r="F64">
        <v>1.08</v>
      </c>
      <c r="G64" s="38">
        <f t="shared" si="16"/>
        <v>11.693351218929701</v>
      </c>
      <c r="H64" s="38"/>
      <c r="I64" s="38">
        <f t="shared" si="17"/>
        <v>75.930852070972094</v>
      </c>
      <c r="J64">
        <v>90</v>
      </c>
    </row>
    <row r="65" spans="2:10" x14ac:dyDescent="0.25">
      <c r="B65">
        <f t="shared" si="1"/>
        <v>15.399999999999999</v>
      </c>
      <c r="C65" s="57">
        <v>46478</v>
      </c>
      <c r="D65" s="8"/>
      <c r="F65">
        <v>1.08</v>
      </c>
      <c r="G65" s="38">
        <f t="shared" si="16"/>
        <v>11.76858659275914</v>
      </c>
      <c r="H65" s="38"/>
      <c r="I65" s="38">
        <f t="shared" si="17"/>
        <v>76.419393459474946</v>
      </c>
      <c r="J65">
        <v>90</v>
      </c>
    </row>
    <row r="66" spans="2:10" x14ac:dyDescent="0.25">
      <c r="B66">
        <f t="shared" si="1"/>
        <v>15.399999999999999</v>
      </c>
      <c r="C66" s="57">
        <v>46508</v>
      </c>
      <c r="D66" s="8"/>
      <c r="F66">
        <v>1.08</v>
      </c>
      <c r="G66" s="38">
        <f t="shared" si="16"/>
        <v>11.844306033249135</v>
      </c>
      <c r="H66" s="38"/>
      <c r="I66" s="38">
        <f t="shared" si="17"/>
        <v>76.911078137981406</v>
      </c>
      <c r="J66">
        <v>90</v>
      </c>
    </row>
    <row r="67" spans="2:10" x14ac:dyDescent="0.25">
      <c r="B67">
        <f t="shared" ref="B67:B109" si="18">25.7-10.3</f>
        <v>15.399999999999999</v>
      </c>
      <c r="C67" s="57">
        <v>46539</v>
      </c>
      <c r="D67" s="8"/>
      <c r="F67">
        <v>1.08</v>
      </c>
      <c r="G67" s="38">
        <f t="shared" si="16"/>
        <v>11.920512654899154</v>
      </c>
      <c r="H67" s="38"/>
      <c r="I67" s="38">
        <f t="shared" si="17"/>
        <v>77.405926330513992</v>
      </c>
      <c r="J67">
        <v>90</v>
      </c>
    </row>
    <row r="68" spans="2:10" x14ac:dyDescent="0.25">
      <c r="B68">
        <f t="shared" si="18"/>
        <v>15.399999999999999</v>
      </c>
      <c r="C68" s="57">
        <v>46569</v>
      </c>
      <c r="D68" s="8"/>
      <c r="F68">
        <v>1.08</v>
      </c>
      <c r="G68" s="38">
        <f t="shared" si="16"/>
        <v>11.997209592247453</v>
      </c>
      <c r="H68" s="38"/>
      <c r="I68" s="38">
        <f t="shared" si="17"/>
        <v>77.90395839121723</v>
      </c>
      <c r="J68">
        <v>90</v>
      </c>
    </row>
    <row r="69" spans="2:10" x14ac:dyDescent="0.25">
      <c r="B69">
        <f t="shared" si="18"/>
        <v>15.399999999999999</v>
      </c>
      <c r="C69" s="57">
        <v>46600</v>
      </c>
      <c r="D69" s="8"/>
      <c r="F69">
        <v>1.08</v>
      </c>
      <c r="G69" s="38">
        <f t="shared" si="16"/>
        <v>12.074399999999995</v>
      </c>
      <c r="H69" s="38"/>
      <c r="I69" s="38">
        <f t="shared" si="17"/>
        <v>78.405194805194782</v>
      </c>
      <c r="J69">
        <v>90</v>
      </c>
    </row>
    <row r="70" spans="2:10" x14ac:dyDescent="0.25">
      <c r="B70">
        <f t="shared" si="18"/>
        <v>15.399999999999999</v>
      </c>
      <c r="C70" s="57">
        <v>46631</v>
      </c>
      <c r="D70" s="8"/>
      <c r="F70">
        <v>1.08</v>
      </c>
      <c r="G70" s="38">
        <f t="shared" si="16"/>
        <v>12.152087053160221</v>
      </c>
      <c r="H70" s="38"/>
      <c r="I70" s="38">
        <f t="shared" si="17"/>
        <v>78.909656189352091</v>
      </c>
      <c r="J70">
        <v>90</v>
      </c>
    </row>
    <row r="71" spans="2:10" x14ac:dyDescent="0.25">
      <c r="B71">
        <f t="shared" si="18"/>
        <v>15.399999999999999</v>
      </c>
      <c r="C71" s="57">
        <v>46661</v>
      </c>
      <c r="D71" s="8"/>
      <c r="F71">
        <v>1.08</v>
      </c>
      <c r="G71" s="38">
        <f t="shared" si="16"/>
        <v>12.230273947159636</v>
      </c>
      <c r="H71" s="38"/>
      <c r="I71" s="38">
        <f t="shared" si="17"/>
        <v>79.417363293244406</v>
      </c>
      <c r="J71">
        <v>90</v>
      </c>
    </row>
    <row r="72" spans="2:10" x14ac:dyDescent="0.25">
      <c r="B72">
        <f t="shared" si="18"/>
        <v>15.399999999999999</v>
      </c>
      <c r="C72" s="57">
        <v>46692</v>
      </c>
      <c r="D72" s="8"/>
      <c r="F72">
        <v>1.08</v>
      </c>
      <c r="G72" s="38">
        <f t="shared" si="16"/>
        <v>12.308963897989251</v>
      </c>
      <c r="H72" s="38"/>
      <c r="I72" s="38">
        <f t="shared" si="17"/>
        <v>79.92833699993021</v>
      </c>
      <c r="J72">
        <v>90</v>
      </c>
    </row>
    <row r="73" spans="2:10" x14ac:dyDescent="0.25">
      <c r="B73">
        <f t="shared" si="18"/>
        <v>15.399999999999999</v>
      </c>
      <c r="C73" s="57">
        <v>46722</v>
      </c>
      <c r="D73" s="8"/>
      <c r="F73">
        <v>1.08</v>
      </c>
      <c r="G73" s="38">
        <f t="shared" si="16"/>
        <v>12.388160142331859</v>
      </c>
      <c r="H73" s="38"/>
      <c r="I73" s="38">
        <f t="shared" si="17"/>
        <v>80.442598326830264</v>
      </c>
      <c r="J73">
        <v>90</v>
      </c>
    </row>
    <row r="74" spans="2:10" x14ac:dyDescent="0.25">
      <c r="B74">
        <f t="shared" si="18"/>
        <v>15.399999999999999</v>
      </c>
      <c r="C74" s="57">
        <v>46753</v>
      </c>
      <c r="D74" s="8"/>
      <c r="F74">
        <v>1.08</v>
      </c>
      <c r="G74" s="38">
        <f t="shared" si="16"/>
        <v>12.467865937695167</v>
      </c>
      <c r="H74" s="38"/>
      <c r="I74" s="38">
        <f t="shared" si="17"/>
        <v>80.960168426592006</v>
      </c>
      <c r="J74">
        <v>90</v>
      </c>
    </row>
    <row r="75" spans="2:10" x14ac:dyDescent="0.25">
      <c r="B75">
        <f t="shared" si="18"/>
        <v>15.399999999999999</v>
      </c>
      <c r="C75" s="57">
        <v>46784</v>
      </c>
      <c r="D75" s="8"/>
      <c r="F75">
        <v>1.08</v>
      </c>
      <c r="G75" s="38">
        <f t="shared" si="16"/>
        <v>12.548084562545784</v>
      </c>
      <c r="H75" s="38"/>
      <c r="I75" s="38">
        <f t="shared" si="17"/>
        <v>81.481068587959641</v>
      </c>
      <c r="J75">
        <v>90</v>
      </c>
    </row>
    <row r="76" spans="2:10" x14ac:dyDescent="0.25">
      <c r="B76">
        <f t="shared" si="18"/>
        <v>15.399999999999999</v>
      </c>
      <c r="C76" s="57">
        <v>46813</v>
      </c>
      <c r="D76" s="8"/>
      <c r="F76">
        <v>1.08</v>
      </c>
      <c r="G76" s="38">
        <f t="shared" si="16"/>
        <v>12.628819316444073</v>
      </c>
      <c r="H76" s="38"/>
      <c r="I76" s="38">
        <f t="shared" si="17"/>
        <v>82.005320236649823</v>
      </c>
      <c r="J76">
        <v>90</v>
      </c>
    </row>
    <row r="77" spans="2:10" x14ac:dyDescent="0.25">
      <c r="B77">
        <f t="shared" si="18"/>
        <v>15.399999999999999</v>
      </c>
      <c r="C77" s="57">
        <v>46844</v>
      </c>
      <c r="D77" s="8"/>
      <c r="F77">
        <v>1.08</v>
      </c>
      <c r="G77" s="38">
        <f t="shared" si="16"/>
        <v>12.710073520179867</v>
      </c>
      <c r="H77" s="38"/>
      <c r="I77" s="38">
        <f t="shared" si="17"/>
        <v>82.532944936232909</v>
      </c>
      <c r="J77">
        <v>90</v>
      </c>
    </row>
    <row r="78" spans="2:10" x14ac:dyDescent="0.25">
      <c r="B78">
        <f t="shared" si="18"/>
        <v>15.399999999999999</v>
      </c>
      <c r="C78" s="57">
        <v>46874</v>
      </c>
      <c r="D78" s="8"/>
      <c r="F78">
        <v>1.08</v>
      </c>
      <c r="G78" s="38">
        <f t="shared" si="16"/>
        <v>12.791850515909061</v>
      </c>
      <c r="H78" s="38"/>
      <c r="I78" s="38">
        <f t="shared" si="17"/>
        <v>83.063964389019887</v>
      </c>
      <c r="J78">
        <v>90</v>
      </c>
    </row>
    <row r="79" spans="2:10" x14ac:dyDescent="0.25">
      <c r="B79">
        <f t="shared" si="18"/>
        <v>15.399999999999999</v>
      </c>
      <c r="C79" s="57">
        <v>46905</v>
      </c>
      <c r="D79" s="8"/>
      <c r="F79">
        <v>1.08</v>
      </c>
      <c r="G79" s="38">
        <f t="shared" si="16"/>
        <v>12.874153667291083</v>
      </c>
      <c r="H79" s="38"/>
      <c r="I79" s="38">
        <f t="shared" si="17"/>
        <v>83.598400436955089</v>
      </c>
      <c r="J79">
        <v>90</v>
      </c>
    </row>
    <row r="80" spans="2:10" x14ac:dyDescent="0.25">
      <c r="B80">
        <f t="shared" si="18"/>
        <v>15.399999999999999</v>
      </c>
      <c r="C80" s="57">
        <v>46935</v>
      </c>
      <c r="D80" s="8"/>
      <c r="F80">
        <v>1.08</v>
      </c>
      <c r="G80" s="38">
        <f t="shared" si="16"/>
        <v>12.956986359627244</v>
      </c>
      <c r="H80" s="38"/>
      <c r="I80" s="38">
        <f t="shared" si="17"/>
        <v>84.136275062514571</v>
      </c>
      <c r="J80">
        <v>90</v>
      </c>
    </row>
    <row r="81" spans="2:10" x14ac:dyDescent="0.25">
      <c r="B81">
        <f t="shared" si="18"/>
        <v>15.399999999999999</v>
      </c>
      <c r="C81" s="57">
        <v>46966</v>
      </c>
      <c r="D81" s="8"/>
      <c r="F81">
        <v>1.08</v>
      </c>
      <c r="G81" s="38">
        <f t="shared" si="16"/>
        <v>13.04035199999999</v>
      </c>
      <c r="H81" s="38"/>
      <c r="I81" s="38">
        <f t="shared" si="17"/>
        <v>84.677610389610336</v>
      </c>
      <c r="J81">
        <v>90</v>
      </c>
    </row>
    <row r="82" spans="2:10" x14ac:dyDescent="0.25">
      <c r="B82">
        <f t="shared" si="18"/>
        <v>15.399999999999999</v>
      </c>
      <c r="C82" s="57">
        <v>46997</v>
      </c>
      <c r="D82" s="8"/>
      <c r="F82">
        <v>1.08</v>
      </c>
      <c r="G82" s="38">
        <f t="shared" si="16"/>
        <v>13.124254017413033</v>
      </c>
      <c r="H82" s="38"/>
      <c r="I82" s="38">
        <f t="shared" si="17"/>
        <v>85.22242868450023</v>
      </c>
      <c r="J82">
        <v>90</v>
      </c>
    </row>
    <row r="83" spans="2:10" x14ac:dyDescent="0.25">
      <c r="B83">
        <f t="shared" si="18"/>
        <v>15.399999999999999</v>
      </c>
      <c r="C83" s="57">
        <v>47027</v>
      </c>
      <c r="D83" s="8"/>
      <c r="F83">
        <v>1.08</v>
      </c>
      <c r="G83" s="38">
        <f t="shared" si="16"/>
        <v>13.208695862932402</v>
      </c>
      <c r="H83" s="38"/>
      <c r="I83" s="38">
        <f t="shared" si="17"/>
        <v>85.770752356703923</v>
      </c>
      <c r="J83">
        <v>90</v>
      </c>
    </row>
    <row r="84" spans="2:10" x14ac:dyDescent="0.25">
      <c r="B84">
        <f t="shared" si="18"/>
        <v>15.399999999999999</v>
      </c>
      <c r="C84" s="57">
        <v>47058</v>
      </c>
      <c r="D84" s="8"/>
      <c r="F84">
        <v>1.08</v>
      </c>
      <c r="G84" s="38">
        <f t="shared" si="16"/>
        <v>13.293681009828386</v>
      </c>
      <c r="H84" s="38"/>
      <c r="I84" s="74">
        <f t="shared" si="17"/>
        <v>86.322603959924592</v>
      </c>
      <c r="J84">
        <v>90</v>
      </c>
    </row>
    <row r="85" spans="2:10" x14ac:dyDescent="0.25">
      <c r="B85">
        <f t="shared" si="18"/>
        <v>15.399999999999999</v>
      </c>
      <c r="C85" s="57">
        <v>47088</v>
      </c>
      <c r="D85" s="8"/>
      <c r="F85">
        <v>1.08</v>
      </c>
      <c r="G85" s="38">
        <f t="shared" si="16"/>
        <v>13.379212953718403</v>
      </c>
      <c r="H85" s="38"/>
      <c r="I85" s="74">
        <f t="shared" si="17"/>
        <v>86.878006192976656</v>
      </c>
      <c r="J85">
        <v>90</v>
      </c>
    </row>
    <row r="86" spans="2:10" x14ac:dyDescent="0.25">
      <c r="B86">
        <f t="shared" si="18"/>
        <v>15.399999999999999</v>
      </c>
      <c r="C86" s="57">
        <v>47119</v>
      </c>
      <c r="D86" s="8"/>
      <c r="F86">
        <v>1.08</v>
      </c>
      <c r="G86" s="38">
        <f t="shared" si="16"/>
        <v>13.465295212710775</v>
      </c>
      <c r="H86" s="38"/>
      <c r="I86" s="74">
        <f t="shared" si="17"/>
        <v>87.436981900719317</v>
      </c>
      <c r="J86">
        <v>90</v>
      </c>
    </row>
    <row r="87" spans="2:10" x14ac:dyDescent="0.25">
      <c r="B87">
        <f t="shared" si="18"/>
        <v>15.399999999999999</v>
      </c>
      <c r="C87" s="57">
        <v>47150</v>
      </c>
      <c r="D87" s="8"/>
      <c r="F87">
        <v>1.08</v>
      </c>
      <c r="G87" s="38">
        <f t="shared" si="16"/>
        <v>13.551931327549442</v>
      </c>
      <c r="H87" s="38"/>
      <c r="I87" s="74">
        <f t="shared" si="17"/>
        <v>87.999554074996382</v>
      </c>
      <c r="J87">
        <v>90</v>
      </c>
    </row>
    <row r="88" spans="2:10" x14ac:dyDescent="0.25">
      <c r="B88">
        <f t="shared" si="18"/>
        <v>15.399999999999999</v>
      </c>
      <c r="C88" s="57">
        <v>47178</v>
      </c>
      <c r="D88" s="8"/>
      <c r="F88">
        <v>1.08</v>
      </c>
      <c r="G88" s="38">
        <f t="shared" si="16"/>
        <v>13.639124861759594</v>
      </c>
      <c r="H88" s="38"/>
      <c r="I88" s="74">
        <f t="shared" si="17"/>
        <v>88.565745855581795</v>
      </c>
      <c r="J88">
        <v>90</v>
      </c>
    </row>
    <row r="89" spans="2:10" x14ac:dyDescent="0.25">
      <c r="B89">
        <f t="shared" si="18"/>
        <v>15.399999999999999</v>
      </c>
      <c r="C89" s="57">
        <v>47209</v>
      </c>
      <c r="D89" s="8"/>
      <c r="F89">
        <v>1.08</v>
      </c>
      <c r="G89" s="38">
        <f t="shared" si="16"/>
        <v>13.726879401794251</v>
      </c>
      <c r="H89" s="38"/>
      <c r="I89" s="74">
        <f t="shared" ref="I89:I109" si="19">(G89/B89)*100</f>
        <v>89.135580531131509</v>
      </c>
      <c r="J89">
        <v>90</v>
      </c>
    </row>
    <row r="90" spans="2:10" x14ac:dyDescent="0.25">
      <c r="B90">
        <f t="shared" si="18"/>
        <v>15.399999999999999</v>
      </c>
      <c r="C90" s="57">
        <v>47239</v>
      </c>
      <c r="D90" s="8"/>
      <c r="F90">
        <v>1.08</v>
      </c>
      <c r="G90" s="38">
        <f t="shared" ref="G90:G109" si="20">G89*(1+(F90^(1/12)-1))+E90</f>
        <v>13.815198557181782</v>
      </c>
      <c r="H90" s="38"/>
      <c r="I90" s="74">
        <f t="shared" si="19"/>
        <v>89.709081540141455</v>
      </c>
      <c r="J90">
        <v>90</v>
      </c>
    </row>
    <row r="91" spans="2:10" x14ac:dyDescent="0.25">
      <c r="B91">
        <f t="shared" si="18"/>
        <v>15.399999999999999</v>
      </c>
      <c r="C91" s="57">
        <v>47270</v>
      </c>
      <c r="D91" s="8"/>
      <c r="F91">
        <v>1.08</v>
      </c>
      <c r="G91" s="38">
        <f t="shared" si="20"/>
        <v>13.904085960674365</v>
      </c>
      <c r="H91" s="38"/>
      <c r="I91" s="74">
        <f t="shared" si="19"/>
        <v>90.28627247191146</v>
      </c>
      <c r="J91">
        <v>90</v>
      </c>
    </row>
    <row r="92" spans="2:10" x14ac:dyDescent="0.25">
      <c r="B92">
        <f t="shared" si="18"/>
        <v>15.399999999999999</v>
      </c>
      <c r="C92" s="57">
        <v>47300</v>
      </c>
      <c r="D92" s="8"/>
      <c r="F92">
        <v>1.08</v>
      </c>
      <c r="G92" s="38">
        <f t="shared" si="20"/>
        <v>13.993545268397421</v>
      </c>
      <c r="H92" s="38"/>
      <c r="I92" s="74">
        <f t="shared" si="19"/>
        <v>90.867177067515726</v>
      </c>
      <c r="J92">
        <v>90</v>
      </c>
    </row>
    <row r="93" spans="2:10" x14ac:dyDescent="0.25">
      <c r="B93">
        <f t="shared" si="18"/>
        <v>15.399999999999999</v>
      </c>
      <c r="C93" s="57">
        <v>47331</v>
      </c>
      <c r="D93" s="8"/>
      <c r="F93">
        <v>1.08</v>
      </c>
      <c r="G93" s="38">
        <f t="shared" si="20"/>
        <v>14.083580159999986</v>
      </c>
      <c r="I93" s="74">
        <f t="shared" si="19"/>
        <v>91.451819220779143</v>
      </c>
      <c r="J93">
        <v>90</v>
      </c>
    </row>
    <row r="94" spans="2:10" x14ac:dyDescent="0.25">
      <c r="B94">
        <f t="shared" si="18"/>
        <v>15.399999999999999</v>
      </c>
      <c r="C94" s="57">
        <v>47362</v>
      </c>
      <c r="D94" s="8"/>
      <c r="F94">
        <v>1.08</v>
      </c>
      <c r="G94" s="38">
        <f t="shared" si="20"/>
        <v>14.174194338806073</v>
      </c>
      <c r="I94" s="74">
        <f t="shared" si="19"/>
        <v>92.040222979260221</v>
      </c>
      <c r="J94">
        <v>90</v>
      </c>
    </row>
    <row r="95" spans="2:10" x14ac:dyDescent="0.25">
      <c r="B95">
        <f t="shared" si="18"/>
        <v>15.399999999999999</v>
      </c>
      <c r="C95" s="57">
        <v>47392</v>
      </c>
      <c r="D95" s="8"/>
      <c r="F95">
        <v>1.08</v>
      </c>
      <c r="G95" s="38">
        <f t="shared" si="20"/>
        <v>14.265391531966991</v>
      </c>
      <c r="I95" s="74">
        <f t="shared" si="19"/>
        <v>92.6324125452402</v>
      </c>
      <c r="J95">
        <v>90</v>
      </c>
    </row>
    <row r="96" spans="2:10" x14ac:dyDescent="0.25">
      <c r="B96">
        <f t="shared" si="18"/>
        <v>15.399999999999999</v>
      </c>
      <c r="C96" s="57">
        <v>47423</v>
      </c>
      <c r="D96" s="8"/>
      <c r="F96">
        <v>1.08</v>
      </c>
      <c r="G96" s="38">
        <f t="shared" si="20"/>
        <v>14.357175490614654</v>
      </c>
      <c r="I96" s="74">
        <f t="shared" si="19"/>
        <v>93.228412276718544</v>
      </c>
      <c r="J96">
        <v>90</v>
      </c>
    </row>
    <row r="97" spans="2:10" x14ac:dyDescent="0.25">
      <c r="B97">
        <f t="shared" si="18"/>
        <v>15.399999999999999</v>
      </c>
      <c r="C97" s="57">
        <v>47453</v>
      </c>
      <c r="D97" s="8"/>
      <c r="F97">
        <v>1.08</v>
      </c>
      <c r="G97" s="38">
        <f t="shared" si="20"/>
        <v>14.449549990015873</v>
      </c>
      <c r="I97" s="74">
        <f t="shared" si="19"/>
        <v>93.828246688414779</v>
      </c>
      <c r="J97">
        <v>90</v>
      </c>
    </row>
    <row r="98" spans="2:10" x14ac:dyDescent="0.25">
      <c r="B98">
        <f t="shared" si="18"/>
        <v>15.399999999999999</v>
      </c>
      <c r="C98" s="57">
        <v>47484</v>
      </c>
      <c r="D98" s="8"/>
      <c r="F98">
        <v>1.08</v>
      </c>
      <c r="G98" s="38">
        <f t="shared" si="20"/>
        <v>14.542518829727635</v>
      </c>
      <c r="I98" s="74">
        <f t="shared" si="19"/>
        <v>94.431940452776857</v>
      </c>
      <c r="J98">
        <v>90</v>
      </c>
    </row>
    <row r="99" spans="2:10" x14ac:dyDescent="0.25">
      <c r="B99">
        <f t="shared" si="18"/>
        <v>15.399999999999999</v>
      </c>
      <c r="C99" s="57">
        <v>47515</v>
      </c>
      <c r="D99" s="8"/>
      <c r="F99">
        <v>1.08</v>
      </c>
      <c r="G99" s="38">
        <f t="shared" si="20"/>
        <v>14.636085833753395</v>
      </c>
      <c r="I99" s="74">
        <f t="shared" si="19"/>
        <v>95.039518400996087</v>
      </c>
      <c r="J99">
        <v>90</v>
      </c>
    </row>
    <row r="100" spans="2:10" x14ac:dyDescent="0.25">
      <c r="B100">
        <f t="shared" si="18"/>
        <v>15.399999999999999</v>
      </c>
      <c r="C100" s="57">
        <v>47543</v>
      </c>
      <c r="D100" s="8"/>
      <c r="F100">
        <v>1.08</v>
      </c>
      <c r="G100" s="38">
        <f t="shared" si="20"/>
        <v>14.730254850700359</v>
      </c>
      <c r="I100" s="74">
        <f t="shared" si="19"/>
        <v>95.651005524028307</v>
      </c>
      <c r="J100">
        <v>90</v>
      </c>
    </row>
    <row r="101" spans="2:10" x14ac:dyDescent="0.25">
      <c r="B101">
        <f t="shared" si="18"/>
        <v>15.399999999999999</v>
      </c>
      <c r="C101" s="57">
        <v>47574</v>
      </c>
      <c r="D101" s="8"/>
      <c r="F101">
        <v>1.08</v>
      </c>
      <c r="G101" s="38">
        <f t="shared" si="20"/>
        <v>14.825029753937789</v>
      </c>
      <c r="I101" s="74">
        <f t="shared" si="19"/>
        <v>96.266426973622018</v>
      </c>
      <c r="J101">
        <v>90</v>
      </c>
    </row>
    <row r="102" spans="2:10" x14ac:dyDescent="0.25">
      <c r="B102">
        <f t="shared" si="18"/>
        <v>15.399999999999999</v>
      </c>
      <c r="C102" s="57">
        <v>47604</v>
      </c>
      <c r="D102" s="8"/>
      <c r="F102">
        <v>1.08</v>
      </c>
      <c r="G102" s="38">
        <f t="shared" si="20"/>
        <v>14.920414441756321</v>
      </c>
      <c r="I102" s="74">
        <f t="shared" si="19"/>
        <v>96.885808063352741</v>
      </c>
      <c r="J102">
        <v>90</v>
      </c>
    </row>
    <row r="103" spans="2:10" x14ac:dyDescent="0.25">
      <c r="B103">
        <f t="shared" si="18"/>
        <v>15.399999999999999</v>
      </c>
      <c r="C103" s="57">
        <v>47635</v>
      </c>
      <c r="D103" s="8"/>
      <c r="F103">
        <v>1.08</v>
      </c>
      <c r="G103" s="38">
        <f t="shared" si="20"/>
        <v>15.016412837528312</v>
      </c>
      <c r="I103" s="74">
        <f t="shared" si="19"/>
        <v>97.509174269664385</v>
      </c>
      <c r="J103">
        <v>90</v>
      </c>
    </row>
    <row r="104" spans="2:10" x14ac:dyDescent="0.25">
      <c r="B104">
        <f t="shared" si="18"/>
        <v>15.399999999999999</v>
      </c>
      <c r="C104" s="57">
        <v>47665</v>
      </c>
      <c r="D104" s="8"/>
      <c r="F104">
        <v>1.08</v>
      </c>
      <c r="G104" s="38">
        <f t="shared" si="20"/>
        <v>15.113028889869211</v>
      </c>
      <c r="I104" s="74">
        <f t="shared" si="19"/>
        <v>98.136551232916972</v>
      </c>
      <c r="J104">
        <v>90</v>
      </c>
    </row>
    <row r="105" spans="2:10" x14ac:dyDescent="0.25">
      <c r="B105">
        <f t="shared" si="18"/>
        <v>15.399999999999999</v>
      </c>
      <c r="C105" s="57">
        <v>47696</v>
      </c>
      <c r="D105" s="8"/>
      <c r="F105">
        <v>1.08</v>
      </c>
      <c r="G105" s="38">
        <f t="shared" si="20"/>
        <v>15.210266572799981</v>
      </c>
      <c r="I105" s="74">
        <f t="shared" si="19"/>
        <v>98.767964758441437</v>
      </c>
      <c r="J105">
        <v>90</v>
      </c>
    </row>
    <row r="106" spans="2:10" x14ac:dyDescent="0.25">
      <c r="B106">
        <f t="shared" si="18"/>
        <v>15.399999999999999</v>
      </c>
      <c r="C106" s="57">
        <v>47727</v>
      </c>
      <c r="D106" s="8"/>
      <c r="F106">
        <v>1.08</v>
      </c>
      <c r="G106" s="38">
        <f t="shared" si="20"/>
        <v>15.308129885910555</v>
      </c>
      <c r="I106" s="74">
        <f t="shared" si="19"/>
        <v>99.403440817601023</v>
      </c>
      <c r="J106">
        <v>90</v>
      </c>
    </row>
    <row r="107" spans="2:10" x14ac:dyDescent="0.25">
      <c r="B107">
        <f t="shared" si="18"/>
        <v>15.399999999999999</v>
      </c>
      <c r="C107" s="57">
        <v>47757</v>
      </c>
      <c r="D107" s="8"/>
      <c r="F107">
        <v>1.08</v>
      </c>
      <c r="G107" s="38">
        <f t="shared" si="20"/>
        <v>15.406622854524347</v>
      </c>
      <c r="I107" s="74">
        <f t="shared" si="19"/>
        <v>100.04300554885941</v>
      </c>
      <c r="J107">
        <v>90</v>
      </c>
    </row>
    <row r="108" spans="2:10" x14ac:dyDescent="0.25">
      <c r="B108">
        <f t="shared" si="18"/>
        <v>15.399999999999999</v>
      </c>
      <c r="C108" s="57">
        <v>47788</v>
      </c>
      <c r="D108" s="8"/>
      <c r="F108">
        <v>1.08</v>
      </c>
      <c r="G108" s="38">
        <f t="shared" si="20"/>
        <v>15.505749529863824</v>
      </c>
      <c r="I108" s="74">
        <f t="shared" si="19"/>
        <v>100.686685258856</v>
      </c>
      <c r="J108">
        <v>90</v>
      </c>
    </row>
    <row r="109" spans="2:10" x14ac:dyDescent="0.25">
      <c r="B109">
        <f t="shared" si="18"/>
        <v>15.399999999999999</v>
      </c>
      <c r="C109" s="57">
        <v>47818</v>
      </c>
      <c r="D109" s="8"/>
      <c r="F109">
        <v>1.08</v>
      </c>
      <c r="G109" s="38">
        <f t="shared" si="20"/>
        <v>15.605513989217139</v>
      </c>
      <c r="I109" s="74">
        <f t="shared" si="19"/>
        <v>101.33450642348791</v>
      </c>
      <c r="J109">
        <v>90</v>
      </c>
    </row>
    <row r="110" spans="2:10" x14ac:dyDescent="0.25">
      <c r="C110" s="57"/>
      <c r="G110" s="38"/>
      <c r="I110" s="38"/>
    </row>
    <row r="111" spans="2:10" x14ac:dyDescent="0.25">
      <c r="C111" s="57"/>
      <c r="G111" s="38"/>
      <c r="I111" s="38"/>
    </row>
    <row r="112" spans="2:10" x14ac:dyDescent="0.25">
      <c r="C112" s="57"/>
      <c r="G112" s="38"/>
      <c r="I112" s="38"/>
    </row>
    <row r="113" spans="3:9" x14ac:dyDescent="0.25">
      <c r="C113" s="57"/>
      <c r="G113" s="38"/>
      <c r="I113" s="38"/>
    </row>
    <row r="114" spans="3:9" x14ac:dyDescent="0.25">
      <c r="C114" s="57"/>
      <c r="G114" s="38"/>
      <c r="I114" s="38"/>
    </row>
    <row r="115" spans="3:9" x14ac:dyDescent="0.25">
      <c r="C115" s="57"/>
      <c r="G115" s="38"/>
      <c r="I115" s="38"/>
    </row>
    <row r="116" spans="3:9" x14ac:dyDescent="0.25">
      <c r="C116" s="57"/>
      <c r="G116" s="38"/>
      <c r="I116" s="38"/>
    </row>
    <row r="117" spans="3:9" x14ac:dyDescent="0.25">
      <c r="C117" s="57"/>
      <c r="G117" s="38"/>
      <c r="I117" s="38"/>
    </row>
  </sheetData>
  <conditionalFormatting sqref="I2:I109">
    <cfRule type="cellIs" dxfId="21" priority="1" operator="greaterThan">
      <formula>$J$2</formula>
    </cfRule>
  </conditionalFormatting>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3B2D5-A961-489F-80F8-80C42760F86C}">
  <dimension ref="A1:J117"/>
  <sheetViews>
    <sheetView topLeftCell="A31" zoomScale="85" zoomScaleNormal="85" workbookViewId="0">
      <selection activeCell="I56" sqref="I56"/>
    </sheetView>
  </sheetViews>
  <sheetFormatPr defaultRowHeight="15" x14ac:dyDescent="0.25"/>
  <cols>
    <col min="1" max="1" width="38.7109375" bestFit="1" customWidth="1"/>
    <col min="2" max="2" width="13.7109375" bestFit="1" customWidth="1"/>
    <col min="5" max="5" width="11.140625" bestFit="1" customWidth="1"/>
    <col min="6" max="6" width="10.5703125" bestFit="1" customWidth="1"/>
    <col min="7" max="7" width="15.7109375" bestFit="1" customWidth="1"/>
    <col min="8" max="8" width="10.140625" bestFit="1" customWidth="1"/>
    <col min="9" max="9" width="13.140625" bestFit="1" customWidth="1"/>
    <col min="12" max="12" width="17.7109375" bestFit="1" customWidth="1"/>
    <col min="13" max="13" width="31.7109375" bestFit="1" customWidth="1"/>
    <col min="14" max="14" width="45.7109375" bestFit="1" customWidth="1"/>
  </cols>
  <sheetData>
    <row r="1" spans="1:10" x14ac:dyDescent="0.25">
      <c r="A1" s="61" t="s">
        <v>211</v>
      </c>
      <c r="B1" s="61" t="s">
        <v>119</v>
      </c>
      <c r="C1" s="61" t="s">
        <v>2</v>
      </c>
      <c r="D1" s="61" t="s">
        <v>120</v>
      </c>
      <c r="E1" s="61" t="s">
        <v>121</v>
      </c>
      <c r="F1" s="61" t="s">
        <v>122</v>
      </c>
      <c r="G1" s="61" t="s">
        <v>123</v>
      </c>
      <c r="H1" s="61" t="s">
        <v>124</v>
      </c>
      <c r="I1" s="61" t="s">
        <v>125</v>
      </c>
      <c r="J1" s="61" t="s">
        <v>126</v>
      </c>
    </row>
    <row r="2" spans="1:10" x14ac:dyDescent="0.25">
      <c r="A2" t="s">
        <v>216</v>
      </c>
      <c r="B2">
        <v>10.7</v>
      </c>
      <c r="C2" s="57">
        <v>44562</v>
      </c>
      <c r="D2" s="8">
        <f>'Data Collection Sheet'!I$113</f>
        <v>6.3</v>
      </c>
      <c r="E2" s="38"/>
      <c r="F2" s="38"/>
      <c r="G2" s="38"/>
      <c r="H2" s="38">
        <f t="shared" ref="H2:H22" si="0">(D2/B2)*100</f>
        <v>58.878504672897201</v>
      </c>
      <c r="I2" s="38"/>
      <c r="J2">
        <v>90</v>
      </c>
    </row>
    <row r="3" spans="1:10" x14ac:dyDescent="0.25">
      <c r="B3">
        <v>10.7</v>
      </c>
      <c r="C3" s="57">
        <v>44593</v>
      </c>
      <c r="D3" s="8">
        <f>'Data Collection Sheet'!J$113</f>
        <v>6.3</v>
      </c>
      <c r="E3" s="38"/>
      <c r="F3" s="38"/>
      <c r="G3" s="38"/>
      <c r="H3" s="38">
        <f t="shared" si="0"/>
        <v>58.878504672897201</v>
      </c>
      <c r="I3" s="38"/>
      <c r="J3">
        <v>90</v>
      </c>
    </row>
    <row r="4" spans="1:10" x14ac:dyDescent="0.25">
      <c r="B4">
        <v>10.7</v>
      </c>
      <c r="C4" s="57">
        <v>44621</v>
      </c>
      <c r="D4" s="8">
        <f>'Data Collection Sheet'!K$113</f>
        <v>6.3</v>
      </c>
      <c r="E4" s="38"/>
      <c r="F4" s="38"/>
      <c r="G4" s="38"/>
      <c r="H4" s="38">
        <f t="shared" si="0"/>
        <v>58.878504672897201</v>
      </c>
      <c r="I4" s="38"/>
      <c r="J4">
        <v>90</v>
      </c>
    </row>
    <row r="5" spans="1:10" x14ac:dyDescent="0.25">
      <c r="B5">
        <v>10.7</v>
      </c>
      <c r="C5" s="57">
        <v>44652</v>
      </c>
      <c r="D5" s="8">
        <f>'Data Collection Sheet'!L$113</f>
        <v>6.74</v>
      </c>
      <c r="G5" s="38"/>
      <c r="H5" s="38">
        <f t="shared" si="0"/>
        <v>62.990654205607491</v>
      </c>
      <c r="I5" s="38"/>
      <c r="J5">
        <v>90</v>
      </c>
    </row>
    <row r="6" spans="1:10" x14ac:dyDescent="0.25">
      <c r="B6">
        <v>10.7</v>
      </c>
      <c r="C6" s="57">
        <v>44682</v>
      </c>
      <c r="D6" s="8">
        <f>'Data Collection Sheet'!M$113</f>
        <v>6.9</v>
      </c>
      <c r="G6" s="38"/>
      <c r="H6" s="38">
        <f t="shared" si="0"/>
        <v>64.485981308411226</v>
      </c>
      <c r="I6" s="38"/>
      <c r="J6">
        <v>90</v>
      </c>
    </row>
    <row r="7" spans="1:10" x14ac:dyDescent="0.25">
      <c r="B7">
        <v>10.7</v>
      </c>
      <c r="C7" s="57">
        <v>44713</v>
      </c>
      <c r="D7" s="8">
        <f>'Data Collection Sheet'!N$113</f>
        <v>6.9</v>
      </c>
      <c r="G7" s="38"/>
      <c r="H7" s="38">
        <f t="shared" si="0"/>
        <v>64.485981308411226</v>
      </c>
      <c r="I7" s="38"/>
      <c r="J7">
        <v>90</v>
      </c>
    </row>
    <row r="8" spans="1:10" x14ac:dyDescent="0.25">
      <c r="B8">
        <v>10.7</v>
      </c>
      <c r="C8" s="57">
        <v>44743</v>
      </c>
      <c r="D8" s="8">
        <f>'Data Collection Sheet'!O$113</f>
        <v>6.8</v>
      </c>
      <c r="G8" s="38"/>
      <c r="H8" s="38">
        <f t="shared" si="0"/>
        <v>63.551401869158887</v>
      </c>
      <c r="I8" s="38"/>
      <c r="J8">
        <v>90</v>
      </c>
    </row>
    <row r="9" spans="1:10" x14ac:dyDescent="0.25">
      <c r="B9">
        <v>10.7</v>
      </c>
      <c r="C9" s="57">
        <v>44774</v>
      </c>
      <c r="D9" s="8">
        <f>'Data Collection Sheet'!P$113</f>
        <v>7.1</v>
      </c>
      <c r="G9" s="38"/>
      <c r="H9" s="38">
        <f t="shared" si="0"/>
        <v>66.355140186915889</v>
      </c>
      <c r="I9" s="38"/>
      <c r="J9">
        <v>90</v>
      </c>
    </row>
    <row r="10" spans="1:10" x14ac:dyDescent="0.25">
      <c r="B10">
        <v>10.7</v>
      </c>
      <c r="C10" s="57">
        <v>44805</v>
      </c>
      <c r="D10" s="8">
        <f>'Data Collection Sheet'!Q$113</f>
        <v>7.3</v>
      </c>
      <c r="G10" s="38"/>
      <c r="H10" s="38">
        <f t="shared" si="0"/>
        <v>68.224299065420567</v>
      </c>
      <c r="I10" s="38"/>
      <c r="J10">
        <v>90</v>
      </c>
    </row>
    <row r="11" spans="1:10" x14ac:dyDescent="0.25">
      <c r="B11">
        <v>10.7</v>
      </c>
      <c r="C11" s="57">
        <v>44835</v>
      </c>
      <c r="D11" s="8">
        <f>'Data Collection Sheet'!R$113</f>
        <v>7.3</v>
      </c>
      <c r="G11" s="38"/>
      <c r="H11" s="38">
        <f t="shared" si="0"/>
        <v>68.224299065420567</v>
      </c>
      <c r="I11" s="38"/>
      <c r="J11">
        <v>90</v>
      </c>
    </row>
    <row r="12" spans="1:10" x14ac:dyDescent="0.25">
      <c r="B12">
        <v>10.7</v>
      </c>
      <c r="C12" s="57">
        <v>44866</v>
      </c>
      <c r="D12" s="8">
        <f>'Data Collection Sheet'!S$113</f>
        <v>7.6</v>
      </c>
      <c r="G12" s="38"/>
      <c r="H12" s="38">
        <f t="shared" si="0"/>
        <v>71.028037383177562</v>
      </c>
      <c r="I12" s="38"/>
      <c r="J12">
        <v>90</v>
      </c>
    </row>
    <row r="13" spans="1:10" x14ac:dyDescent="0.25">
      <c r="B13">
        <v>10.7</v>
      </c>
      <c r="C13" s="57">
        <v>44896</v>
      </c>
      <c r="D13" s="8">
        <f>'Data Collection Sheet'!T$113</f>
        <v>7.7</v>
      </c>
      <c r="G13" s="38"/>
      <c r="H13" s="38">
        <f t="shared" si="0"/>
        <v>71.962616822429908</v>
      </c>
      <c r="I13" s="38"/>
      <c r="J13">
        <v>90</v>
      </c>
    </row>
    <row r="14" spans="1:10" x14ac:dyDescent="0.25">
      <c r="B14">
        <v>10.7</v>
      </c>
      <c r="C14" s="57">
        <v>44927</v>
      </c>
      <c r="D14" s="8">
        <f>'Data Collection Sheet'!U$113</f>
        <v>7.78</v>
      </c>
      <c r="G14" s="38"/>
      <c r="H14" s="38">
        <f t="shared" si="0"/>
        <v>72.710280373831779</v>
      </c>
      <c r="I14" s="38"/>
      <c r="J14">
        <v>90</v>
      </c>
    </row>
    <row r="15" spans="1:10" x14ac:dyDescent="0.25">
      <c r="B15">
        <v>10.7</v>
      </c>
      <c r="C15" s="57">
        <v>44958</v>
      </c>
      <c r="D15" s="8">
        <f>'Data Collection Sheet'!V$113</f>
        <v>7.81</v>
      </c>
      <c r="G15" s="38"/>
      <c r="H15" s="38">
        <f t="shared" si="0"/>
        <v>72.99065420560747</v>
      </c>
      <c r="I15" s="38"/>
      <c r="J15">
        <v>90</v>
      </c>
    </row>
    <row r="16" spans="1:10" x14ac:dyDescent="0.25">
      <c r="B16">
        <v>10.7</v>
      </c>
      <c r="C16" s="57">
        <v>44986</v>
      </c>
      <c r="D16" s="8">
        <f>'Data Collection Sheet'!W$113</f>
        <v>7.84</v>
      </c>
      <c r="G16" s="38"/>
      <c r="H16" s="38">
        <f t="shared" si="0"/>
        <v>73.271028037383175</v>
      </c>
      <c r="I16" s="38"/>
      <c r="J16">
        <v>90</v>
      </c>
    </row>
    <row r="17" spans="2:10" x14ac:dyDescent="0.25">
      <c r="B17">
        <v>10.7</v>
      </c>
      <c r="C17" s="57">
        <v>45017</v>
      </c>
      <c r="D17" s="8">
        <f>'Data Collection Sheet'!X$113</f>
        <v>7.91</v>
      </c>
      <c r="G17" s="38"/>
      <c r="H17" s="38">
        <f t="shared" si="0"/>
        <v>73.925233644859816</v>
      </c>
      <c r="I17" s="38"/>
      <c r="J17">
        <v>90</v>
      </c>
    </row>
    <row r="18" spans="2:10" x14ac:dyDescent="0.25">
      <c r="B18">
        <v>10.7</v>
      </c>
      <c r="C18" s="57">
        <v>45047</v>
      </c>
      <c r="D18" s="8">
        <f>'Data Collection Sheet'!Y$113</f>
        <v>7.99</v>
      </c>
      <c r="G18" s="38"/>
      <c r="H18" s="38">
        <f t="shared" si="0"/>
        <v>74.672897196261687</v>
      </c>
      <c r="I18" s="38"/>
      <c r="J18">
        <v>90</v>
      </c>
    </row>
    <row r="19" spans="2:10" x14ac:dyDescent="0.25">
      <c r="B19">
        <v>10.7</v>
      </c>
      <c r="C19" s="57">
        <v>45078</v>
      </c>
      <c r="D19" s="8">
        <f>'Data Collection Sheet'!Z$113</f>
        <v>8.08</v>
      </c>
      <c r="G19" s="38"/>
      <c r="H19" s="38">
        <f t="shared" si="0"/>
        <v>75.514018691588788</v>
      </c>
      <c r="I19" s="38"/>
      <c r="J19">
        <v>90</v>
      </c>
    </row>
    <row r="20" spans="2:10" x14ac:dyDescent="0.25">
      <c r="B20">
        <v>10.7</v>
      </c>
      <c r="C20" s="57">
        <v>45108</v>
      </c>
      <c r="D20" s="8">
        <f>'Data Collection Sheet'!AA$113</f>
        <v>8.14</v>
      </c>
      <c r="G20" s="38"/>
      <c r="H20" s="38">
        <f t="shared" si="0"/>
        <v>76.074766355140198</v>
      </c>
      <c r="I20" s="38"/>
      <c r="J20">
        <v>90</v>
      </c>
    </row>
    <row r="21" spans="2:10" x14ac:dyDescent="0.25">
      <c r="B21">
        <v>10.7</v>
      </c>
      <c r="C21" s="57">
        <v>45139</v>
      </c>
      <c r="D21" s="8">
        <f>'Data Collection Sheet'!AB$113</f>
        <v>8.2200000000000006</v>
      </c>
      <c r="G21" s="38"/>
      <c r="H21" s="38">
        <f t="shared" si="0"/>
        <v>76.822429906542069</v>
      </c>
      <c r="I21" s="38"/>
      <c r="J21">
        <v>90</v>
      </c>
    </row>
    <row r="22" spans="2:10" x14ac:dyDescent="0.25">
      <c r="B22">
        <v>10.7</v>
      </c>
      <c r="C22" s="57">
        <v>45170</v>
      </c>
      <c r="D22" s="8">
        <f>'Data Collection Sheet'!AC$113</f>
        <v>8.27</v>
      </c>
      <c r="G22" s="38"/>
      <c r="H22" s="38">
        <f t="shared" si="0"/>
        <v>77.289719626168235</v>
      </c>
      <c r="I22" s="38"/>
      <c r="J22">
        <v>90</v>
      </c>
    </row>
    <row r="23" spans="2:10" x14ac:dyDescent="0.25">
      <c r="B23">
        <v>10.7</v>
      </c>
      <c r="C23" s="57">
        <v>45200</v>
      </c>
      <c r="D23" s="8">
        <f>'Data Collection Sheet'!AD$113</f>
        <v>8.34</v>
      </c>
      <c r="G23" s="38"/>
      <c r="H23" s="38">
        <f t="shared" ref="H23:H28" si="1">(D23/B23)*100</f>
        <v>77.943925233644862</v>
      </c>
      <c r="I23" s="38"/>
      <c r="J23">
        <v>90</v>
      </c>
    </row>
    <row r="24" spans="2:10" x14ac:dyDescent="0.25">
      <c r="B24">
        <v>10.7</v>
      </c>
      <c r="C24" s="57">
        <v>45231</v>
      </c>
      <c r="D24" s="8">
        <f>'Data Collection Sheet'!AE$113</f>
        <v>8.4</v>
      </c>
      <c r="G24" s="38"/>
      <c r="H24" s="38">
        <f t="shared" si="1"/>
        <v>78.504672897196272</v>
      </c>
      <c r="I24" s="38"/>
      <c r="J24">
        <v>90</v>
      </c>
    </row>
    <row r="25" spans="2:10" x14ac:dyDescent="0.25">
      <c r="B25">
        <v>10.7</v>
      </c>
      <c r="C25" s="57">
        <v>45261</v>
      </c>
      <c r="D25" s="8">
        <f>'Data Collection Sheet'!AF$113</f>
        <v>8.73</v>
      </c>
      <c r="G25" s="38"/>
      <c r="H25" s="38">
        <f t="shared" si="1"/>
        <v>81.588785046728987</v>
      </c>
      <c r="I25" s="38"/>
      <c r="J25">
        <v>90</v>
      </c>
    </row>
    <row r="26" spans="2:10" x14ac:dyDescent="0.25">
      <c r="B26">
        <v>10.7</v>
      </c>
      <c r="C26" s="57">
        <v>45292</v>
      </c>
      <c r="D26" s="8">
        <f>'Data Collection Sheet'!AG$113</f>
        <v>8.75</v>
      </c>
      <c r="G26" s="38"/>
      <c r="H26" s="38">
        <f t="shared" si="1"/>
        <v>81.775700934579447</v>
      </c>
      <c r="I26" s="38"/>
      <c r="J26">
        <v>90</v>
      </c>
    </row>
    <row r="27" spans="2:10" x14ac:dyDescent="0.25">
      <c r="B27">
        <v>10.7</v>
      </c>
      <c r="C27" s="57">
        <v>45323</v>
      </c>
      <c r="D27" s="8">
        <f>'Data Collection Sheet'!AH$113</f>
        <v>8.56</v>
      </c>
      <c r="G27" s="38"/>
      <c r="H27" s="38">
        <f t="shared" si="1"/>
        <v>80</v>
      </c>
      <c r="I27" s="38"/>
      <c r="J27">
        <v>90</v>
      </c>
    </row>
    <row r="28" spans="2:10" x14ac:dyDescent="0.25">
      <c r="B28">
        <v>10.7</v>
      </c>
      <c r="C28" s="57">
        <v>45352</v>
      </c>
      <c r="D28" s="8">
        <f>'Data Collection Sheet'!AI$113</f>
        <v>8.56</v>
      </c>
      <c r="G28" s="38"/>
      <c r="H28" s="38">
        <f t="shared" si="1"/>
        <v>80</v>
      </c>
      <c r="I28" s="38"/>
      <c r="J28">
        <v>90</v>
      </c>
    </row>
    <row r="29" spans="2:10" x14ac:dyDescent="0.25">
      <c r="B29">
        <v>10.7</v>
      </c>
      <c r="C29" s="57">
        <v>45383</v>
      </c>
      <c r="D29" s="8">
        <f>'Data Collection Sheet'!AJ$113</f>
        <v>8.6300000000000008</v>
      </c>
      <c r="G29" s="38"/>
      <c r="H29" s="38">
        <f t="shared" ref="H29" si="2">(D29/B29)*100</f>
        <v>80.654205607476655</v>
      </c>
      <c r="I29" s="38"/>
      <c r="J29">
        <v>90</v>
      </c>
    </row>
    <row r="30" spans="2:10" x14ac:dyDescent="0.25">
      <c r="B30">
        <v>10.7</v>
      </c>
      <c r="C30" s="57">
        <v>45413</v>
      </c>
      <c r="D30" s="8">
        <f>'Data Collection Sheet'!AK$113</f>
        <v>8.67</v>
      </c>
      <c r="G30" s="38"/>
      <c r="H30" s="38">
        <f t="shared" ref="H30" si="3">(D30/B30)*100</f>
        <v>81.028037383177576</v>
      </c>
      <c r="I30" s="38"/>
      <c r="J30">
        <v>90</v>
      </c>
    </row>
    <row r="31" spans="2:10" x14ac:dyDescent="0.25">
      <c r="B31">
        <v>10.7</v>
      </c>
      <c r="C31" s="57">
        <v>45444</v>
      </c>
      <c r="D31" s="8">
        <f>'Data Collection Sheet'!AL$113</f>
        <v>8.74</v>
      </c>
      <c r="G31" s="38"/>
      <c r="H31" s="38">
        <f t="shared" ref="H31:H36" si="4">(D31/B31)*100</f>
        <v>81.682242990654203</v>
      </c>
      <c r="I31" s="38"/>
      <c r="J31">
        <v>90</v>
      </c>
    </row>
    <row r="32" spans="2:10" x14ac:dyDescent="0.25">
      <c r="B32">
        <v>10.7</v>
      </c>
      <c r="C32" s="57">
        <v>45474</v>
      </c>
      <c r="D32" s="8">
        <f>'Data Collection Sheet'!AM$113</f>
        <v>8.7899999999999991</v>
      </c>
      <c r="G32" s="38"/>
      <c r="H32" s="38">
        <f t="shared" si="4"/>
        <v>82.149532710280369</v>
      </c>
      <c r="I32" s="38"/>
      <c r="J32">
        <v>90</v>
      </c>
    </row>
    <row r="33" spans="2:10" x14ac:dyDescent="0.25">
      <c r="B33">
        <v>10.7</v>
      </c>
      <c r="C33" s="57">
        <v>45505</v>
      </c>
      <c r="D33" s="8">
        <f>'Data Collection Sheet'!AN$113</f>
        <v>8.8800000000000008</v>
      </c>
      <c r="G33" s="38"/>
      <c r="H33" s="38">
        <f t="shared" si="4"/>
        <v>82.990654205607498</v>
      </c>
      <c r="I33" s="38"/>
      <c r="J33">
        <v>90</v>
      </c>
    </row>
    <row r="34" spans="2:10" x14ac:dyDescent="0.25">
      <c r="B34">
        <v>10.7</v>
      </c>
      <c r="C34" s="57">
        <v>45536</v>
      </c>
      <c r="D34" s="8">
        <f>'Data Collection Sheet'!AO$113</f>
        <v>8.94</v>
      </c>
      <c r="G34" s="38"/>
      <c r="H34" s="38">
        <f t="shared" si="4"/>
        <v>83.55140186915888</v>
      </c>
      <c r="I34" s="38"/>
      <c r="J34">
        <v>90</v>
      </c>
    </row>
    <row r="35" spans="2:10" x14ac:dyDescent="0.25">
      <c r="B35">
        <v>10.7</v>
      </c>
      <c r="C35" s="57">
        <v>45566</v>
      </c>
      <c r="D35" s="8">
        <f>'Data Collection Sheet'!AP$113</f>
        <v>8.99</v>
      </c>
      <c r="G35" s="38"/>
      <c r="H35" s="38">
        <f t="shared" si="4"/>
        <v>84.01869158878506</v>
      </c>
      <c r="I35" s="38"/>
      <c r="J35">
        <v>90</v>
      </c>
    </row>
    <row r="36" spans="2:10" x14ac:dyDescent="0.25">
      <c r="B36">
        <v>10.7</v>
      </c>
      <c r="C36" s="57">
        <v>45597</v>
      </c>
      <c r="D36" s="8">
        <f>'Data Collection Sheet'!AQ$113</f>
        <v>9.0299999999999994</v>
      </c>
      <c r="G36" s="38"/>
      <c r="H36" s="38">
        <f t="shared" si="4"/>
        <v>84.392523364485982</v>
      </c>
      <c r="I36" s="38"/>
      <c r="J36">
        <v>90</v>
      </c>
    </row>
    <row r="37" spans="2:10" x14ac:dyDescent="0.25">
      <c r="B37">
        <v>10.7</v>
      </c>
      <c r="C37" s="57">
        <v>45627</v>
      </c>
      <c r="D37" s="8">
        <f>'Data Collection Sheet'!AR$113</f>
        <v>9.1</v>
      </c>
      <c r="G37" s="38"/>
      <c r="H37" s="38">
        <f>(D37/B37)*100</f>
        <v>85.046728971962608</v>
      </c>
      <c r="I37" s="38"/>
      <c r="J37">
        <v>90</v>
      </c>
    </row>
    <row r="38" spans="2:10" x14ac:dyDescent="0.25">
      <c r="B38">
        <v>10.7</v>
      </c>
      <c r="C38" s="57">
        <v>45658</v>
      </c>
      <c r="D38" s="8">
        <f>'Data Collection Sheet'!AS$113</f>
        <v>9.15</v>
      </c>
      <c r="G38" s="38"/>
      <c r="H38" s="38">
        <f>(D38/B38)*100</f>
        <v>85.514018691588788</v>
      </c>
      <c r="I38" s="38"/>
      <c r="J38">
        <v>90</v>
      </c>
    </row>
    <row r="39" spans="2:10" x14ac:dyDescent="0.25">
      <c r="B39">
        <v>10.7</v>
      </c>
      <c r="C39" s="57">
        <v>45689</v>
      </c>
      <c r="D39" s="8">
        <f>'Data Collection Sheet'!AT$113</f>
        <v>9.1999999999999993</v>
      </c>
      <c r="G39" s="38"/>
      <c r="H39" s="38">
        <f>(D39/B39)*100</f>
        <v>85.981308411214954</v>
      </c>
      <c r="I39" s="38"/>
      <c r="J39">
        <v>90</v>
      </c>
    </row>
    <row r="40" spans="2:10" x14ac:dyDescent="0.25">
      <c r="B40">
        <v>10.7</v>
      </c>
      <c r="C40" s="57">
        <v>45717</v>
      </c>
      <c r="D40" s="8">
        <f>'Data Collection Sheet'!AU$113</f>
        <v>9.1999999999999993</v>
      </c>
      <c r="G40" s="38"/>
      <c r="H40" s="38">
        <f t="shared" ref="H40:H41" si="5">(D40/B40)*100</f>
        <v>85.981308411214954</v>
      </c>
      <c r="I40" s="38"/>
      <c r="J40">
        <v>90</v>
      </c>
    </row>
    <row r="41" spans="2:10" x14ac:dyDescent="0.25">
      <c r="B41">
        <v>11.1</v>
      </c>
      <c r="C41" s="57">
        <v>45748</v>
      </c>
      <c r="D41" s="8">
        <f>'Data Collection Sheet'!AV$113</f>
        <v>9.3000000000000007</v>
      </c>
      <c r="G41" s="38"/>
      <c r="H41" s="38">
        <f t="shared" si="5"/>
        <v>83.78378378378379</v>
      </c>
      <c r="I41" s="38"/>
      <c r="J41">
        <v>90</v>
      </c>
    </row>
    <row r="42" spans="2:10" x14ac:dyDescent="0.25">
      <c r="B42">
        <v>11.1</v>
      </c>
      <c r="C42" s="57">
        <v>45778</v>
      </c>
      <c r="D42" s="8">
        <f>'Data Collection Sheet'!AW$113</f>
        <v>9.34</v>
      </c>
      <c r="G42" s="38"/>
      <c r="H42" s="38">
        <f t="shared" ref="H42" si="6">(D42/B42)*100</f>
        <v>84.14414414414415</v>
      </c>
      <c r="I42" s="38"/>
      <c r="J42">
        <v>90</v>
      </c>
    </row>
    <row r="43" spans="2:10" x14ac:dyDescent="0.25">
      <c r="B43">
        <v>11.1</v>
      </c>
      <c r="C43" s="57">
        <v>45809</v>
      </c>
      <c r="D43" s="8">
        <f>'Data Collection Sheet'!AX$113</f>
        <v>9.3800000000000008</v>
      </c>
      <c r="G43" s="38"/>
      <c r="H43" s="38">
        <f t="shared" ref="H43" si="7">(D43/B43)*100</f>
        <v>84.504504504504524</v>
      </c>
      <c r="I43" s="38"/>
      <c r="J43">
        <v>90</v>
      </c>
    </row>
    <row r="44" spans="2:10" x14ac:dyDescent="0.25">
      <c r="B44">
        <v>11.1</v>
      </c>
      <c r="C44" s="57">
        <v>45839</v>
      </c>
      <c r="D44" s="8">
        <f>'Data Collection Sheet'!AY$113</f>
        <v>9.43</v>
      </c>
      <c r="G44" s="38"/>
      <c r="H44" s="38">
        <f t="shared" ref="H44" si="8">(D44/B44)*100</f>
        <v>84.954954954954957</v>
      </c>
      <c r="I44" s="38"/>
      <c r="J44">
        <v>90</v>
      </c>
    </row>
    <row r="45" spans="2:10" x14ac:dyDescent="0.25">
      <c r="B45">
        <v>11.1</v>
      </c>
      <c r="C45" s="57">
        <v>45870</v>
      </c>
      <c r="D45" s="8">
        <f>'Data Collection Sheet'!AZ$113</f>
        <v>9.4700000000000006</v>
      </c>
      <c r="G45" s="38"/>
      <c r="H45" s="38">
        <f t="shared" ref="H45" si="9">(D45/B45)*100</f>
        <v>85.315315315315317</v>
      </c>
      <c r="I45" s="38"/>
      <c r="J45">
        <v>90</v>
      </c>
    </row>
    <row r="46" spans="2:10" x14ac:dyDescent="0.25">
      <c r="B46">
        <v>11.1</v>
      </c>
      <c r="C46" s="57">
        <v>45901</v>
      </c>
      <c r="D46" s="8">
        <f>'Data Collection Sheet'!BA$113</f>
        <v>9.5399999999999991</v>
      </c>
      <c r="G46" s="38"/>
      <c r="H46" s="38">
        <f t="shared" ref="H46" si="10">(D46/B46)*100</f>
        <v>85.945945945945951</v>
      </c>
      <c r="I46" s="38"/>
      <c r="J46">
        <v>90</v>
      </c>
    </row>
    <row r="47" spans="2:10" x14ac:dyDescent="0.25">
      <c r="B47">
        <v>11.6</v>
      </c>
      <c r="C47" s="57">
        <v>45931</v>
      </c>
      <c r="D47" s="8">
        <f>'Data Collection Sheet'!BB$113</f>
        <v>9.57</v>
      </c>
      <c r="G47" s="38"/>
      <c r="H47" s="38">
        <f t="shared" ref="H47" si="11">(D47/B47)*100</f>
        <v>82.5</v>
      </c>
      <c r="I47" s="38"/>
      <c r="J47">
        <v>90</v>
      </c>
    </row>
    <row r="48" spans="2:10" x14ac:dyDescent="0.25">
      <c r="B48">
        <v>11.6</v>
      </c>
      <c r="C48" s="57">
        <v>45962</v>
      </c>
      <c r="D48" s="8">
        <f>'Data Collection Sheet'!BC$113</f>
        <v>9.6300000000000008</v>
      </c>
      <c r="G48" s="38"/>
      <c r="H48" s="38">
        <f t="shared" ref="H48" si="12">(D48/B48)*100</f>
        <v>83.017241379310363</v>
      </c>
      <c r="I48" s="38"/>
      <c r="J48">
        <v>90</v>
      </c>
    </row>
    <row r="49" spans="2:10" x14ac:dyDescent="0.25">
      <c r="B49">
        <v>11.6</v>
      </c>
      <c r="C49" s="57">
        <v>45992</v>
      </c>
      <c r="D49" s="8">
        <f>'Data Collection Sheet'!BD$113</f>
        <v>9.61</v>
      </c>
      <c r="G49" s="38"/>
      <c r="H49" s="38">
        <f t="shared" ref="H49:H54" si="13">(D49/B49)*100</f>
        <v>82.84482758620689</v>
      </c>
      <c r="I49" s="38"/>
      <c r="J49">
        <v>90</v>
      </c>
    </row>
    <row r="50" spans="2:10" x14ac:dyDescent="0.25">
      <c r="B50">
        <v>11.6</v>
      </c>
      <c r="C50" s="57">
        <v>46023</v>
      </c>
      <c r="D50" s="8">
        <f>'Data Collection Sheet'!BE$113</f>
        <v>9.6300000000000008</v>
      </c>
      <c r="G50" s="38"/>
      <c r="H50" s="38">
        <f t="shared" si="13"/>
        <v>83.017241379310363</v>
      </c>
      <c r="I50" s="38"/>
      <c r="J50">
        <v>90</v>
      </c>
    </row>
    <row r="51" spans="2:10" x14ac:dyDescent="0.25">
      <c r="B51">
        <v>11.6</v>
      </c>
      <c r="C51" s="57">
        <v>46054</v>
      </c>
      <c r="D51" s="8">
        <f>'Data Collection Sheet'!BF$113</f>
        <v>9.73</v>
      </c>
      <c r="G51" s="38"/>
      <c r="H51" s="38">
        <f t="shared" si="13"/>
        <v>83.879310344827601</v>
      </c>
      <c r="I51" s="38"/>
      <c r="J51">
        <v>90</v>
      </c>
    </row>
    <row r="52" spans="2:10" x14ac:dyDescent="0.25">
      <c r="B52">
        <v>11.6</v>
      </c>
      <c r="C52" s="57">
        <v>46082</v>
      </c>
      <c r="D52" s="8">
        <f>'Data Collection Sheet'!BG$113</f>
        <v>9.7200000000000006</v>
      </c>
      <c r="G52" s="38"/>
      <c r="H52" s="38">
        <f t="shared" si="13"/>
        <v>83.793103448275872</v>
      </c>
      <c r="I52" s="38"/>
      <c r="J52">
        <v>90</v>
      </c>
    </row>
    <row r="53" spans="2:10" x14ac:dyDescent="0.25">
      <c r="B53">
        <v>11.6</v>
      </c>
      <c r="C53" s="57">
        <v>46113</v>
      </c>
      <c r="D53" s="8">
        <f>'Data Collection Sheet'!BH$113</f>
        <v>9.7200000000000006</v>
      </c>
      <c r="G53" s="38"/>
      <c r="H53" s="38">
        <f t="shared" si="13"/>
        <v>83.793103448275872</v>
      </c>
      <c r="I53" s="38"/>
      <c r="J53">
        <v>90</v>
      </c>
    </row>
    <row r="54" spans="2:10" x14ac:dyDescent="0.25">
      <c r="B54">
        <v>11.6</v>
      </c>
      <c r="C54" s="57">
        <v>46143</v>
      </c>
      <c r="D54" s="8">
        <f>'Data Collection Sheet'!BI$113</f>
        <v>9.76</v>
      </c>
      <c r="G54" s="38"/>
      <c r="H54" s="38">
        <f t="shared" si="13"/>
        <v>84.137931034482762</v>
      </c>
      <c r="I54" s="38"/>
      <c r="J54">
        <v>90</v>
      </c>
    </row>
    <row r="55" spans="2:10" x14ac:dyDescent="0.25">
      <c r="B55">
        <v>11.6</v>
      </c>
      <c r="C55" s="57">
        <v>46174</v>
      </c>
      <c r="D55" s="8">
        <f>'Data Collection Sheet'!BJ$113</f>
        <v>9.7899999999999991</v>
      </c>
      <c r="G55" s="38"/>
      <c r="H55" s="38">
        <f>(D55/B55)*100</f>
        <v>84.396551724137922</v>
      </c>
      <c r="I55" s="38"/>
      <c r="J55">
        <v>90</v>
      </c>
    </row>
    <row r="56" spans="2:10" x14ac:dyDescent="0.25">
      <c r="B56">
        <v>11.6</v>
      </c>
      <c r="C56" s="57">
        <v>46204</v>
      </c>
      <c r="D56" s="8">
        <f>'Data Collection Sheet'!BK$113</f>
        <v>9.8800000000000008</v>
      </c>
      <c r="G56" s="38"/>
      <c r="H56" s="38">
        <f>(D56/B56)*100</f>
        <v>85.172413793103459</v>
      </c>
      <c r="I56" s="38"/>
      <c r="J56">
        <v>90</v>
      </c>
    </row>
    <row r="57" spans="2:10" x14ac:dyDescent="0.25">
      <c r="B57">
        <v>11.6</v>
      </c>
      <c r="C57" s="57">
        <v>46235</v>
      </c>
      <c r="D57" s="8">
        <f>'Data Collection Sheet'!BL$113</f>
        <v>9.98</v>
      </c>
      <c r="F57">
        <v>8.08</v>
      </c>
      <c r="G57" s="38">
        <f>D57</f>
        <v>9.98</v>
      </c>
      <c r="H57" s="38">
        <f>(D57/B57)*100</f>
        <v>86.034482758620697</v>
      </c>
      <c r="I57" s="38">
        <f t="shared" ref="I57" si="14">(G57/B57)*100</f>
        <v>86.034482758620697</v>
      </c>
      <c r="J57">
        <v>90</v>
      </c>
    </row>
    <row r="58" spans="2:10" x14ac:dyDescent="0.25">
      <c r="B58">
        <v>11.6</v>
      </c>
      <c r="C58" s="57">
        <v>46266</v>
      </c>
      <c r="F58">
        <v>1.08</v>
      </c>
      <c r="G58" s="38">
        <f t="shared" ref="G58:G89" si="15">G57*(1+(F58^(1/12)-1))+E58</f>
        <v>10.044211620497835</v>
      </c>
      <c r="H58" s="38"/>
      <c r="I58" s="38">
        <f t="shared" ref="I58:I88" si="16">(G58/B58)*100</f>
        <v>86.588031211188238</v>
      </c>
      <c r="J58">
        <v>90</v>
      </c>
    </row>
    <row r="59" spans="2:10" x14ac:dyDescent="0.25">
      <c r="B59">
        <v>11.6</v>
      </c>
      <c r="C59" s="57">
        <v>46296</v>
      </c>
      <c r="F59">
        <v>1.08</v>
      </c>
      <c r="G59" s="38">
        <f t="shared" si="15"/>
        <v>10.108836380495365</v>
      </c>
      <c r="H59" s="38"/>
      <c r="I59" s="38">
        <f t="shared" si="16"/>
        <v>87.145141211166944</v>
      </c>
      <c r="J59">
        <v>90</v>
      </c>
    </row>
    <row r="60" spans="2:10" x14ac:dyDescent="0.25">
      <c r="B60">
        <v>11.6</v>
      </c>
      <c r="C60" s="57">
        <v>46327</v>
      </c>
      <c r="E60" s="38"/>
      <c r="F60">
        <v>1.08</v>
      </c>
      <c r="G60" s="38">
        <f t="shared" si="15"/>
        <v>10.17387693814457</v>
      </c>
      <c r="H60" s="38"/>
      <c r="I60" s="38">
        <f t="shared" si="16"/>
        <v>87.70583567366009</v>
      </c>
      <c r="J60">
        <v>90</v>
      </c>
    </row>
    <row r="61" spans="2:10" x14ac:dyDescent="0.25">
      <c r="B61">
        <v>11.6</v>
      </c>
      <c r="C61" s="57">
        <v>46357</v>
      </c>
      <c r="E61" s="38"/>
      <c r="F61">
        <v>1.08</v>
      </c>
      <c r="G61" s="38">
        <f t="shared" si="15"/>
        <v>10.239335968700061</v>
      </c>
      <c r="H61" s="38"/>
      <c r="I61" s="38">
        <f t="shared" si="16"/>
        <v>88.270137661207428</v>
      </c>
      <c r="J61">
        <v>90</v>
      </c>
    </row>
    <row r="62" spans="2:10" x14ac:dyDescent="0.25">
      <c r="B62">
        <v>11.6</v>
      </c>
      <c r="C62" s="57">
        <v>46388</v>
      </c>
      <c r="E62" s="38"/>
      <c r="F62">
        <v>1.08</v>
      </c>
      <c r="G62" s="38">
        <f t="shared" si="15"/>
        <v>10.305216164629119</v>
      </c>
      <c r="H62" s="38"/>
      <c r="I62" s="38">
        <f t="shared" si="16"/>
        <v>88.838070384733797</v>
      </c>
      <c r="J62">
        <v>90</v>
      </c>
    </row>
    <row r="63" spans="2:10" x14ac:dyDescent="0.25">
      <c r="B63">
        <v>11.6</v>
      </c>
      <c r="C63" s="57">
        <v>46419</v>
      </c>
      <c r="F63">
        <v>1.08</v>
      </c>
      <c r="G63" s="38">
        <f t="shared" si="15"/>
        <v>10.371520235722437</v>
      </c>
      <c r="H63" s="38"/>
      <c r="I63" s="38">
        <f t="shared" si="16"/>
        <v>89.409657204503773</v>
      </c>
      <c r="J63">
        <v>90</v>
      </c>
    </row>
    <row r="64" spans="2:10" x14ac:dyDescent="0.25">
      <c r="B64">
        <v>11.6</v>
      </c>
      <c r="C64" s="57">
        <v>46447</v>
      </c>
      <c r="F64">
        <v>1.08</v>
      </c>
      <c r="G64" s="38">
        <f t="shared" si="15"/>
        <v>10.438250909205586</v>
      </c>
      <c r="H64" s="38"/>
      <c r="I64" s="38">
        <f t="shared" si="16"/>
        <v>89.984921631082642</v>
      </c>
      <c r="J64">
        <v>90</v>
      </c>
    </row>
    <row r="65" spans="2:10" x14ac:dyDescent="0.25">
      <c r="B65">
        <v>11.6</v>
      </c>
      <c r="C65" s="57">
        <v>46478</v>
      </c>
      <c r="F65">
        <v>1.08</v>
      </c>
      <c r="G65" s="38">
        <f t="shared" si="15"/>
        <v>10.505410929851186</v>
      </c>
      <c r="H65" s="38"/>
      <c r="I65" s="38">
        <f t="shared" si="16"/>
        <v>90.56388732630333</v>
      </c>
      <c r="J65">
        <v>90</v>
      </c>
    </row>
    <row r="66" spans="2:10" x14ac:dyDescent="0.25">
      <c r="B66">
        <v>11.6</v>
      </c>
      <c r="C66" s="57">
        <v>46508</v>
      </c>
      <c r="F66">
        <v>1.08</v>
      </c>
      <c r="G66" s="38">
        <f t="shared" si="15"/>
        <v>10.573003060091807</v>
      </c>
      <c r="H66" s="38"/>
      <c r="I66" s="38">
        <f t="shared" si="16"/>
        <v>91.146578104239723</v>
      </c>
      <c r="J66">
        <v>90</v>
      </c>
    </row>
    <row r="67" spans="2:10" x14ac:dyDescent="0.25">
      <c r="B67">
        <v>11.6</v>
      </c>
      <c r="C67" s="57">
        <v>46539</v>
      </c>
      <c r="F67">
        <v>1.08</v>
      </c>
      <c r="G67" s="38">
        <f t="shared" si="15"/>
        <v>10.641030080133596</v>
      </c>
      <c r="H67" s="38"/>
      <c r="I67" s="38">
        <f t="shared" si="16"/>
        <v>91.733017932186172</v>
      </c>
      <c r="J67">
        <v>90</v>
      </c>
    </row>
    <row r="68" spans="2:10" x14ac:dyDescent="0.25">
      <c r="B68">
        <v>11.6</v>
      </c>
      <c r="C68" s="57">
        <v>46569</v>
      </c>
      <c r="F68">
        <v>1.08</v>
      </c>
      <c r="G68" s="38">
        <f t="shared" si="15"/>
        <v>10.709494788070629</v>
      </c>
      <c r="H68" s="38"/>
      <c r="I68" s="38">
        <f t="shared" si="16"/>
        <v>92.323230931643351</v>
      </c>
      <c r="J68">
        <v>90</v>
      </c>
    </row>
    <row r="69" spans="2:10" x14ac:dyDescent="0.25">
      <c r="B69">
        <v>11.6</v>
      </c>
      <c r="C69" s="57">
        <v>46600</v>
      </c>
      <c r="F69">
        <v>1.08</v>
      </c>
      <c r="G69" s="38">
        <f t="shared" si="15"/>
        <v>10.7784</v>
      </c>
      <c r="H69" s="38"/>
      <c r="I69" s="38">
        <f t="shared" si="16"/>
        <v>92.91724137931034</v>
      </c>
      <c r="J69">
        <v>90</v>
      </c>
    </row>
    <row r="70" spans="2:10" x14ac:dyDescent="0.25">
      <c r="B70">
        <v>11.6</v>
      </c>
      <c r="C70" s="57">
        <v>46631</v>
      </c>
      <c r="F70">
        <v>1.08</v>
      </c>
      <c r="G70" s="38">
        <f t="shared" si="15"/>
        <v>10.847748550137661</v>
      </c>
      <c r="H70" s="38"/>
      <c r="I70" s="38">
        <f t="shared" si="16"/>
        <v>93.515073708083278</v>
      </c>
      <c r="J70">
        <v>90</v>
      </c>
    </row>
    <row r="71" spans="2:10" x14ac:dyDescent="0.25">
      <c r="B71">
        <v>11.6</v>
      </c>
      <c r="C71" s="57">
        <v>46661</v>
      </c>
      <c r="F71">
        <v>1.08</v>
      </c>
      <c r="G71" s="38">
        <f t="shared" si="15"/>
        <v>10.917543290934992</v>
      </c>
      <c r="H71" s="38"/>
      <c r="I71" s="38">
        <f t="shared" si="16"/>
        <v>94.116752508060273</v>
      </c>
      <c r="J71">
        <v>90</v>
      </c>
    </row>
    <row r="72" spans="2:10" x14ac:dyDescent="0.25">
      <c r="B72">
        <v>11.6</v>
      </c>
      <c r="C72" s="57">
        <v>46692</v>
      </c>
      <c r="F72">
        <v>1.08</v>
      </c>
      <c r="G72" s="38">
        <f t="shared" si="15"/>
        <v>10.987787093196134</v>
      </c>
      <c r="H72" s="38"/>
      <c r="I72" s="38">
        <f t="shared" si="16"/>
        <v>94.722302527552884</v>
      </c>
      <c r="J72">
        <v>90</v>
      </c>
    </row>
    <row r="73" spans="2:10" x14ac:dyDescent="0.25">
      <c r="B73">
        <v>11.6</v>
      </c>
      <c r="C73" s="57">
        <v>46722</v>
      </c>
      <c r="F73">
        <v>1.08</v>
      </c>
      <c r="G73" s="38">
        <f t="shared" si="15"/>
        <v>11.058482846196066</v>
      </c>
      <c r="H73" s="38"/>
      <c r="I73" s="38">
        <f t="shared" si="16"/>
        <v>95.33174867410402</v>
      </c>
      <c r="J73">
        <v>90</v>
      </c>
    </row>
    <row r="74" spans="2:10" x14ac:dyDescent="0.25">
      <c r="B74">
        <v>11.6</v>
      </c>
      <c r="C74" s="57">
        <v>46753</v>
      </c>
      <c r="D74" s="38"/>
      <c r="F74">
        <v>1.08</v>
      </c>
      <c r="G74" s="38">
        <f t="shared" si="15"/>
        <v>11.129633457799448</v>
      </c>
      <c r="H74" s="38"/>
      <c r="I74" s="38">
        <f t="shared" si="16"/>
        <v>95.945116015512482</v>
      </c>
      <c r="J74">
        <v>90</v>
      </c>
    </row>
    <row r="75" spans="2:10" x14ac:dyDescent="0.25">
      <c r="B75">
        <v>11.6</v>
      </c>
      <c r="C75" s="57">
        <v>46784</v>
      </c>
      <c r="D75" s="38"/>
      <c r="F75">
        <v>1.08</v>
      </c>
      <c r="G75" s="38">
        <f t="shared" si="15"/>
        <v>11.201241854580232</v>
      </c>
      <c r="H75" s="38"/>
      <c r="I75" s="38">
        <f t="shared" si="16"/>
        <v>96.562429780864065</v>
      </c>
      <c r="J75">
        <v>90</v>
      </c>
    </row>
    <row r="76" spans="2:10" x14ac:dyDescent="0.25">
      <c r="B76">
        <v>11.6</v>
      </c>
      <c r="C76" s="57">
        <v>46813</v>
      </c>
      <c r="D76" s="38"/>
      <c r="F76">
        <v>1.08</v>
      </c>
      <c r="G76" s="38">
        <f t="shared" si="15"/>
        <v>11.273310981942032</v>
      </c>
      <c r="H76" s="38"/>
      <c r="I76" s="38">
        <f t="shared" si="16"/>
        <v>97.183715361569242</v>
      </c>
      <c r="J76">
        <v>90</v>
      </c>
    </row>
    <row r="77" spans="2:10" x14ac:dyDescent="0.25">
      <c r="B77">
        <v>11.6</v>
      </c>
      <c r="C77" s="57">
        <v>46844</v>
      </c>
      <c r="D77" s="38"/>
      <c r="F77">
        <v>1.08</v>
      </c>
      <c r="G77" s="38">
        <f t="shared" si="15"/>
        <v>11.34584380423928</v>
      </c>
      <c r="H77" s="38"/>
      <c r="I77" s="38">
        <f t="shared" si="16"/>
        <v>97.808998312407596</v>
      </c>
      <c r="J77">
        <v>90</v>
      </c>
    </row>
    <row r="78" spans="2:10" x14ac:dyDescent="0.25">
      <c r="B78">
        <v>11.6</v>
      </c>
      <c r="C78" s="57">
        <v>46874</v>
      </c>
      <c r="D78" s="38"/>
      <c r="F78">
        <v>1.08</v>
      </c>
      <c r="G78" s="38">
        <f t="shared" si="15"/>
        <v>11.418843304899152</v>
      </c>
      <c r="H78" s="38"/>
      <c r="I78" s="38">
        <f t="shared" si="16"/>
        <v>98.438304352578896</v>
      </c>
      <c r="J78">
        <v>90</v>
      </c>
    </row>
    <row r="79" spans="2:10" x14ac:dyDescent="0.25">
      <c r="B79">
        <v>11.6</v>
      </c>
      <c r="C79" s="57">
        <v>46905</v>
      </c>
      <c r="D79" s="38"/>
      <c r="F79">
        <v>1.08</v>
      </c>
      <c r="G79" s="38">
        <f t="shared" si="15"/>
        <v>11.492312486544284</v>
      </c>
      <c r="H79" s="38"/>
      <c r="I79" s="38">
        <f t="shared" si="16"/>
        <v>99.071659366761082</v>
      </c>
      <c r="J79">
        <v>90</v>
      </c>
    </row>
    <row r="80" spans="2:10" x14ac:dyDescent="0.25">
      <c r="B80">
        <v>11.6</v>
      </c>
      <c r="C80" s="57">
        <v>46935</v>
      </c>
      <c r="F80">
        <v>1.08</v>
      </c>
      <c r="G80" s="38">
        <f t="shared" si="15"/>
        <v>11.566254371116278</v>
      </c>
      <c r="H80" s="38"/>
      <c r="I80" s="38">
        <f t="shared" si="16"/>
        <v>99.709089406174812</v>
      </c>
      <c r="J80">
        <v>90</v>
      </c>
    </row>
    <row r="81" spans="2:10" x14ac:dyDescent="0.25">
      <c r="B81">
        <v>11.6</v>
      </c>
      <c r="C81" s="57">
        <v>46966</v>
      </c>
      <c r="F81">
        <v>1.08</v>
      </c>
      <c r="G81" s="38">
        <f t="shared" si="15"/>
        <v>11.640671999999999</v>
      </c>
      <c r="H81" s="38"/>
      <c r="I81" s="38">
        <f t="shared" si="16"/>
        <v>100.35062068965517</v>
      </c>
      <c r="J81">
        <v>90</v>
      </c>
    </row>
    <row r="82" spans="2:10" x14ac:dyDescent="0.25">
      <c r="B82">
        <v>11.6</v>
      </c>
      <c r="C82" s="57">
        <v>46997</v>
      </c>
      <c r="F82">
        <v>1.08</v>
      </c>
      <c r="G82" s="38">
        <f t="shared" si="15"/>
        <v>11.715568434148672</v>
      </c>
      <c r="H82" s="38"/>
      <c r="I82" s="38">
        <f t="shared" si="16"/>
        <v>100.99627960472995</v>
      </c>
      <c r="J82">
        <v>90</v>
      </c>
    </row>
    <row r="83" spans="2:10" x14ac:dyDescent="0.25">
      <c r="B83">
        <v>11.6</v>
      </c>
      <c r="C83" s="57">
        <v>47027</v>
      </c>
      <c r="F83">
        <v>1.08</v>
      </c>
      <c r="G83" s="38">
        <f t="shared" si="15"/>
        <v>11.79094675420979</v>
      </c>
      <c r="H83" s="38"/>
      <c r="I83" s="38">
        <f t="shared" si="16"/>
        <v>101.64609270870508</v>
      </c>
      <c r="J83">
        <v>90</v>
      </c>
    </row>
    <row r="84" spans="2:10" x14ac:dyDescent="0.25">
      <c r="B84">
        <v>11.6</v>
      </c>
      <c r="C84" s="57">
        <v>47058</v>
      </c>
      <c r="F84">
        <v>1.08</v>
      </c>
      <c r="G84" s="38">
        <f t="shared" si="15"/>
        <v>11.866810060651822</v>
      </c>
      <c r="H84" s="38"/>
      <c r="I84" s="74">
        <f t="shared" si="16"/>
        <v>102.3000867297571</v>
      </c>
      <c r="J84">
        <v>90</v>
      </c>
    </row>
    <row r="85" spans="2:10" x14ac:dyDescent="0.25">
      <c r="B85">
        <v>11.6</v>
      </c>
      <c r="C85" s="57">
        <v>47088</v>
      </c>
      <c r="F85">
        <v>1.08</v>
      </c>
      <c r="G85" s="38">
        <f t="shared" si="15"/>
        <v>11.943161473891747</v>
      </c>
      <c r="H85" s="38"/>
      <c r="I85" s="74">
        <f t="shared" si="16"/>
        <v>102.9582885680323</v>
      </c>
      <c r="J85">
        <v>90</v>
      </c>
    </row>
    <row r="86" spans="2:10" x14ac:dyDescent="0.25">
      <c r="B86">
        <v>11.6</v>
      </c>
      <c r="C86" s="57">
        <v>47119</v>
      </c>
      <c r="F86">
        <v>1.08</v>
      </c>
      <c r="G86" s="38">
        <f t="shared" si="15"/>
        <v>12.020004134423399</v>
      </c>
      <c r="H86" s="38"/>
      <c r="I86" s="74">
        <f t="shared" si="16"/>
        <v>103.62072529675343</v>
      </c>
      <c r="J86">
        <v>90</v>
      </c>
    </row>
    <row r="87" spans="2:10" x14ac:dyDescent="0.25">
      <c r="B87">
        <v>11.6</v>
      </c>
      <c r="C87" s="57">
        <v>47150</v>
      </c>
      <c r="F87">
        <v>1.08</v>
      </c>
      <c r="G87" s="38">
        <f t="shared" si="15"/>
        <v>12.097341202946645</v>
      </c>
      <c r="H87" s="38"/>
      <c r="I87" s="74">
        <f t="shared" si="16"/>
        <v>104.28742416333314</v>
      </c>
      <c r="J87">
        <v>90</v>
      </c>
    </row>
    <row r="88" spans="2:10" x14ac:dyDescent="0.25">
      <c r="B88">
        <v>11.6</v>
      </c>
      <c r="C88" s="57">
        <v>47178</v>
      </c>
      <c r="F88">
        <v>1.08</v>
      </c>
      <c r="G88" s="38">
        <f t="shared" si="15"/>
        <v>12.175175860497388</v>
      </c>
      <c r="H88" s="38"/>
      <c r="I88" s="74">
        <f t="shared" si="16"/>
        <v>104.95841259049472</v>
      </c>
      <c r="J88">
        <v>90</v>
      </c>
    </row>
    <row r="89" spans="2:10" x14ac:dyDescent="0.25">
      <c r="B89">
        <v>11.6</v>
      </c>
      <c r="C89" s="57">
        <v>47209</v>
      </c>
      <c r="F89">
        <v>1.08</v>
      </c>
      <c r="G89" s="38">
        <f t="shared" si="15"/>
        <v>12.253511308578416</v>
      </c>
      <c r="H89" s="38"/>
      <c r="I89" s="74">
        <f t="shared" ref="I89:I109" si="17">(G89/B89)*100</f>
        <v>105.63371817740016</v>
      </c>
      <c r="J89">
        <v>90</v>
      </c>
    </row>
    <row r="90" spans="2:10" x14ac:dyDescent="0.25">
      <c r="B90">
        <v>11.6</v>
      </c>
      <c r="C90" s="57">
        <v>47239</v>
      </c>
      <c r="F90">
        <v>1.08</v>
      </c>
      <c r="G90" s="38">
        <f t="shared" ref="G90:G109" si="18">G89*(1+(F90^(1/12)-1))+E90</f>
        <v>12.332350769291077</v>
      </c>
      <c r="H90" s="38"/>
      <c r="I90" s="74">
        <f t="shared" si="17"/>
        <v>106.31336870078516</v>
      </c>
      <c r="J90">
        <v>90</v>
      </c>
    </row>
    <row r="91" spans="2:10" x14ac:dyDescent="0.25">
      <c r="B91">
        <v>11.6</v>
      </c>
      <c r="C91" s="57">
        <v>47270</v>
      </c>
      <c r="F91">
        <v>1.08</v>
      </c>
      <c r="G91" s="38">
        <f t="shared" si="18"/>
        <v>12.411697485467819</v>
      </c>
      <c r="H91" s="38"/>
      <c r="I91" s="74">
        <f t="shared" si="17"/>
        <v>106.99739211610189</v>
      </c>
      <c r="J91">
        <v>90</v>
      </c>
    </row>
    <row r="92" spans="2:10" x14ac:dyDescent="0.25">
      <c r="B92">
        <v>11.6</v>
      </c>
      <c r="C92" s="57">
        <v>47300</v>
      </c>
      <c r="F92">
        <v>1.08</v>
      </c>
      <c r="G92" s="38">
        <f t="shared" si="18"/>
        <v>12.491554720805572</v>
      </c>
      <c r="H92" s="38"/>
      <c r="I92" s="74">
        <f t="shared" si="17"/>
        <v>107.68581655866873</v>
      </c>
      <c r="J92">
        <v>90</v>
      </c>
    </row>
    <row r="93" spans="2:10" x14ac:dyDescent="0.25">
      <c r="B93">
        <v>11.6</v>
      </c>
      <c r="C93" s="57">
        <v>47331</v>
      </c>
      <c r="F93">
        <v>1.08</v>
      </c>
      <c r="G93" s="38">
        <f t="shared" si="18"/>
        <v>12.57192575999999</v>
      </c>
      <c r="I93" s="74">
        <f t="shared" si="17"/>
        <v>108.37867034482751</v>
      </c>
      <c r="J93">
        <v>90</v>
      </c>
    </row>
    <row r="94" spans="2:10" x14ac:dyDescent="0.25">
      <c r="B94">
        <v>11.6</v>
      </c>
      <c r="C94" s="57">
        <v>47362</v>
      </c>
      <c r="F94">
        <v>1.08</v>
      </c>
      <c r="G94" s="38">
        <f t="shared" si="18"/>
        <v>12.652813908880558</v>
      </c>
      <c r="I94" s="74">
        <f t="shared" si="17"/>
        <v>109.07598197310826</v>
      </c>
      <c r="J94">
        <v>90</v>
      </c>
    </row>
    <row r="95" spans="2:10" x14ac:dyDescent="0.25">
      <c r="B95">
        <v>11.6</v>
      </c>
      <c r="C95" s="57">
        <v>47392</v>
      </c>
      <c r="F95">
        <v>1.08</v>
      </c>
      <c r="G95" s="38">
        <f t="shared" si="18"/>
        <v>12.734222494546566</v>
      </c>
      <c r="I95" s="74">
        <f t="shared" si="17"/>
        <v>109.77778012540145</v>
      </c>
      <c r="J95">
        <v>90</v>
      </c>
    </row>
    <row r="96" spans="2:10" x14ac:dyDescent="0.25">
      <c r="B96">
        <v>11.6</v>
      </c>
      <c r="C96" s="57">
        <v>47423</v>
      </c>
      <c r="F96">
        <v>1.08</v>
      </c>
      <c r="G96" s="38">
        <f t="shared" si="18"/>
        <v>12.816154865503963</v>
      </c>
      <c r="I96" s="74">
        <f t="shared" si="17"/>
        <v>110.4840936681376</v>
      </c>
      <c r="J96">
        <v>90</v>
      </c>
    </row>
    <row r="97" spans="2:10" x14ac:dyDescent="0.25">
      <c r="B97">
        <v>11.6</v>
      </c>
      <c r="C97" s="57">
        <v>47453</v>
      </c>
      <c r="F97">
        <v>1.08</v>
      </c>
      <c r="G97" s="38">
        <f t="shared" si="18"/>
        <v>12.898614391803083</v>
      </c>
      <c r="I97" s="74">
        <f t="shared" si="17"/>
        <v>111.19495165347486</v>
      </c>
      <c r="J97">
        <v>90</v>
      </c>
    </row>
    <row r="98" spans="2:10" x14ac:dyDescent="0.25">
      <c r="B98">
        <v>11.6</v>
      </c>
      <c r="C98" s="57">
        <v>47484</v>
      </c>
      <c r="F98">
        <v>1.08</v>
      </c>
      <c r="G98" s="38">
        <f t="shared" si="18"/>
        <v>12.981604465177266</v>
      </c>
      <c r="I98" s="74">
        <f t="shared" si="17"/>
        <v>111.91038332049368</v>
      </c>
      <c r="J98">
        <v>90</v>
      </c>
    </row>
    <row r="99" spans="2:10" x14ac:dyDescent="0.25">
      <c r="B99">
        <v>11.6</v>
      </c>
      <c r="C99" s="57">
        <v>47515</v>
      </c>
      <c r="F99">
        <v>1.08</v>
      </c>
      <c r="G99" s="38">
        <f t="shared" si="18"/>
        <v>13.065128499182372</v>
      </c>
      <c r="I99" s="74">
        <f t="shared" si="17"/>
        <v>112.63041809639975</v>
      </c>
      <c r="J99">
        <v>90</v>
      </c>
    </row>
    <row r="100" spans="2:10" x14ac:dyDescent="0.25">
      <c r="B100">
        <v>11.6</v>
      </c>
      <c r="C100" s="57">
        <v>47543</v>
      </c>
      <c r="F100">
        <v>1.08</v>
      </c>
      <c r="G100" s="38">
        <f t="shared" si="18"/>
        <v>13.149189929337174</v>
      </c>
      <c r="I100" s="74">
        <f t="shared" si="17"/>
        <v>113.35508559773426</v>
      </c>
      <c r="J100">
        <v>90</v>
      </c>
    </row>
    <row r="101" spans="2:10" x14ac:dyDescent="0.25">
      <c r="B101">
        <v>11.6</v>
      </c>
      <c r="C101" s="57">
        <v>47574</v>
      </c>
      <c r="F101">
        <v>1.08</v>
      </c>
      <c r="G101" s="38">
        <f t="shared" si="18"/>
        <v>13.233792213264683</v>
      </c>
      <c r="I101" s="74">
        <f t="shared" si="17"/>
        <v>114.08441563159211</v>
      </c>
      <c r="J101">
        <v>90</v>
      </c>
    </row>
    <row r="102" spans="2:10" x14ac:dyDescent="0.25">
      <c r="B102">
        <v>11.6</v>
      </c>
      <c r="C102" s="57">
        <v>47604</v>
      </c>
      <c r="F102">
        <v>1.08</v>
      </c>
      <c r="G102" s="38">
        <f t="shared" si="18"/>
        <v>13.318938830834357</v>
      </c>
      <c r="I102" s="74">
        <f t="shared" si="17"/>
        <v>114.81843819684792</v>
      </c>
      <c r="J102">
        <v>90</v>
      </c>
    </row>
    <row r="103" spans="2:10" x14ac:dyDescent="0.25">
      <c r="B103">
        <v>11.6</v>
      </c>
      <c r="C103" s="57">
        <v>47635</v>
      </c>
      <c r="F103">
        <v>1.08</v>
      </c>
      <c r="G103" s="38">
        <f t="shared" si="18"/>
        <v>13.404633284305239</v>
      </c>
      <c r="I103" s="74">
        <f t="shared" si="17"/>
        <v>115.55718348539</v>
      </c>
      <c r="J103">
        <v>90</v>
      </c>
    </row>
    <row r="104" spans="2:10" x14ac:dyDescent="0.25">
      <c r="B104">
        <v>11.6</v>
      </c>
      <c r="C104" s="57">
        <v>47665</v>
      </c>
      <c r="F104">
        <v>1.08</v>
      </c>
      <c r="G104" s="38">
        <f t="shared" si="18"/>
        <v>13.490879098470014</v>
      </c>
      <c r="I104" s="74">
        <f t="shared" si="17"/>
        <v>116.3006818833622</v>
      </c>
      <c r="J104">
        <v>90</v>
      </c>
    </row>
    <row r="105" spans="2:10" x14ac:dyDescent="0.25">
      <c r="B105">
        <v>11.6</v>
      </c>
      <c r="C105" s="57">
        <v>47696</v>
      </c>
      <c r="F105">
        <v>1.08</v>
      </c>
      <c r="G105" s="38">
        <f t="shared" si="18"/>
        <v>13.577679820799986</v>
      </c>
      <c r="I105" s="74">
        <f t="shared" si="17"/>
        <v>117.04896397241367</v>
      </c>
      <c r="J105">
        <v>90</v>
      </c>
    </row>
    <row r="106" spans="2:10" x14ac:dyDescent="0.25">
      <c r="B106">
        <v>11.6</v>
      </c>
      <c r="C106" s="57">
        <v>47727</v>
      </c>
      <c r="F106">
        <v>1.08</v>
      </c>
      <c r="G106" s="38">
        <f t="shared" si="18"/>
        <v>13.665039021590999</v>
      </c>
      <c r="I106" s="74">
        <f t="shared" si="17"/>
        <v>117.80206053095689</v>
      </c>
      <c r="J106">
        <v>90</v>
      </c>
    </row>
    <row r="107" spans="2:10" x14ac:dyDescent="0.25">
      <c r="B107">
        <v>11.6</v>
      </c>
      <c r="C107" s="57">
        <v>47757</v>
      </c>
      <c r="F107">
        <v>1.08</v>
      </c>
      <c r="G107" s="38">
        <f t="shared" si="18"/>
        <v>13.752960294110288</v>
      </c>
      <c r="I107" s="74">
        <f t="shared" si="17"/>
        <v>118.56000253543353</v>
      </c>
      <c r="J107">
        <v>90</v>
      </c>
    </row>
    <row r="108" spans="2:10" x14ac:dyDescent="0.25">
      <c r="B108">
        <v>11.6</v>
      </c>
      <c r="C108" s="57">
        <v>47788</v>
      </c>
      <c r="F108">
        <v>1.08</v>
      </c>
      <c r="G108" s="38">
        <f t="shared" si="18"/>
        <v>13.841447254744276</v>
      </c>
      <c r="I108" s="74">
        <f t="shared" si="17"/>
        <v>119.32282116158859</v>
      </c>
      <c r="J108">
        <v>90</v>
      </c>
    </row>
    <row r="109" spans="2:10" x14ac:dyDescent="0.25">
      <c r="B109">
        <v>11.6</v>
      </c>
      <c r="C109" s="57">
        <v>47818</v>
      </c>
      <c r="F109">
        <v>1.08</v>
      </c>
      <c r="G109" s="38">
        <f t="shared" si="18"/>
        <v>13.930503543147324</v>
      </c>
      <c r="I109" s="74">
        <f t="shared" si="17"/>
        <v>120.0905477857528</v>
      </c>
      <c r="J109">
        <v>90</v>
      </c>
    </row>
    <row r="110" spans="2:10" x14ac:dyDescent="0.25">
      <c r="C110" s="57"/>
      <c r="G110" s="38"/>
      <c r="I110" s="38"/>
    </row>
    <row r="111" spans="2:10" x14ac:dyDescent="0.25">
      <c r="C111" s="57"/>
      <c r="G111" s="38"/>
      <c r="I111" s="38"/>
    </row>
    <row r="112" spans="2:10" x14ac:dyDescent="0.25">
      <c r="C112" s="57"/>
      <c r="G112" s="38"/>
      <c r="I112" s="38"/>
    </row>
    <row r="113" spans="3:9" x14ac:dyDescent="0.25">
      <c r="C113" s="57"/>
      <c r="G113" s="38"/>
      <c r="I113" s="38"/>
    </row>
    <row r="114" spans="3:9" x14ac:dyDescent="0.25">
      <c r="C114" s="57"/>
      <c r="G114" s="38"/>
      <c r="I114" s="38"/>
    </row>
    <row r="115" spans="3:9" x14ac:dyDescent="0.25">
      <c r="C115" s="57"/>
      <c r="G115" s="38"/>
      <c r="I115" s="38"/>
    </row>
    <row r="116" spans="3:9" x14ac:dyDescent="0.25">
      <c r="C116" s="57"/>
      <c r="G116" s="38"/>
      <c r="I116" s="38"/>
    </row>
    <row r="117" spans="3:9" x14ac:dyDescent="0.25">
      <c r="C117" s="57"/>
      <c r="G117" s="38"/>
      <c r="I117" s="38"/>
    </row>
  </sheetData>
  <conditionalFormatting sqref="I2:I109">
    <cfRule type="cellIs" dxfId="20" priority="1" operator="greaterThan">
      <formula>$J$2</formula>
    </cfRule>
  </conditionalFormatting>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CDFA74-555D-4C39-81E3-6585A5DD014A}">
  <sheetPr codeName="Sheet4"/>
  <dimension ref="A1:J105"/>
  <sheetViews>
    <sheetView zoomScale="80" zoomScaleNormal="80" workbookViewId="0">
      <pane ySplit="1" topLeftCell="A50" activePane="bottomLeft" state="frozen"/>
      <selection pane="bottomLeft" activeCell="I56" sqref="I56"/>
    </sheetView>
  </sheetViews>
  <sheetFormatPr defaultRowHeight="15" x14ac:dyDescent="0.25"/>
  <cols>
    <col min="1" max="1" width="45.140625" customWidth="1"/>
    <col min="2" max="2" width="13.7109375" bestFit="1" customWidth="1"/>
    <col min="5" max="5" width="11.140625" bestFit="1" customWidth="1"/>
    <col min="6" max="6" width="10.7109375" bestFit="1" customWidth="1"/>
    <col min="7" max="7" width="12.42578125" customWidth="1"/>
    <col min="8" max="8" width="10.140625" bestFit="1" customWidth="1"/>
    <col min="9" max="9" width="13.140625" bestFit="1" customWidth="1"/>
    <col min="12" max="12" width="17.7109375" bestFit="1" customWidth="1"/>
    <col min="13" max="13" width="31.7109375" bestFit="1" customWidth="1"/>
    <col min="14" max="14" width="45.7109375" bestFit="1" customWidth="1"/>
  </cols>
  <sheetData>
    <row r="1" spans="1:10" x14ac:dyDescent="0.25">
      <c r="A1" s="61" t="s">
        <v>200</v>
      </c>
      <c r="B1" s="61" t="s">
        <v>119</v>
      </c>
      <c r="C1" s="61" t="s">
        <v>2</v>
      </c>
      <c r="D1" s="61" t="s">
        <v>120</v>
      </c>
      <c r="E1" s="61" t="s">
        <v>121</v>
      </c>
      <c r="F1" s="61" t="s">
        <v>122</v>
      </c>
      <c r="G1" s="61" t="s">
        <v>123</v>
      </c>
      <c r="H1" s="61" t="s">
        <v>124</v>
      </c>
      <c r="I1" s="61" t="s">
        <v>125</v>
      </c>
      <c r="J1" s="61" t="s">
        <v>126</v>
      </c>
    </row>
    <row r="2" spans="1:10" x14ac:dyDescent="0.25">
      <c r="A2" t="s">
        <v>108</v>
      </c>
      <c r="B2">
        <f>'Data Collection Sheet'!$G$128</f>
        <v>35.4</v>
      </c>
      <c r="C2" s="57">
        <v>44562</v>
      </c>
      <c r="D2" s="38">
        <v>26.8</v>
      </c>
      <c r="E2" s="38"/>
      <c r="F2" s="38"/>
      <c r="G2" s="38"/>
      <c r="H2" s="38">
        <f>(D2/B2)*100</f>
        <v>75.706214689265536</v>
      </c>
      <c r="I2" s="38"/>
      <c r="J2">
        <v>75</v>
      </c>
    </row>
    <row r="3" spans="1:10" x14ac:dyDescent="0.25">
      <c r="B3">
        <f>'Data Collection Sheet'!$G$128</f>
        <v>35.4</v>
      </c>
      <c r="C3" s="57">
        <v>44593</v>
      </c>
      <c r="D3" s="38">
        <v>26.9</v>
      </c>
      <c r="E3" s="38"/>
      <c r="F3" s="38"/>
      <c r="G3" s="38"/>
      <c r="H3" s="38">
        <f>(D3/B3)*100</f>
        <v>75.988700564971751</v>
      </c>
      <c r="I3" s="38"/>
      <c r="J3">
        <v>75</v>
      </c>
    </row>
    <row r="4" spans="1:10" x14ac:dyDescent="0.25">
      <c r="B4">
        <f>'Data Collection Sheet'!$G$128</f>
        <v>35.4</v>
      </c>
      <c r="C4" s="57">
        <v>44621</v>
      </c>
      <c r="D4" s="38">
        <v>27.2</v>
      </c>
      <c r="E4" s="38"/>
      <c r="G4" s="38"/>
      <c r="H4" s="38">
        <f t="shared" ref="H4:H19" si="0">(D4/B4)*100</f>
        <v>76.836158192090394</v>
      </c>
      <c r="I4" s="38"/>
      <c r="J4">
        <v>75</v>
      </c>
    </row>
    <row r="5" spans="1:10" x14ac:dyDescent="0.25">
      <c r="B5">
        <f>'Data Collection Sheet'!$G$128</f>
        <v>35.4</v>
      </c>
      <c r="C5" s="57">
        <v>44652</v>
      </c>
      <c r="D5" s="38">
        <v>27.4</v>
      </c>
      <c r="G5" s="38"/>
      <c r="H5" s="38">
        <f t="shared" si="0"/>
        <v>77.401129943502823</v>
      </c>
      <c r="I5" s="38"/>
      <c r="J5">
        <v>75</v>
      </c>
    </row>
    <row r="6" spans="1:10" x14ac:dyDescent="0.25">
      <c r="A6" t="s">
        <v>201</v>
      </c>
      <c r="B6">
        <f>'Data Collection Sheet'!$G$128</f>
        <v>35.4</v>
      </c>
      <c r="C6" s="57">
        <v>44682</v>
      </c>
      <c r="D6" s="38">
        <v>27.1</v>
      </c>
      <c r="G6" s="38"/>
      <c r="H6" s="38">
        <f t="shared" si="0"/>
        <v>76.553672316384194</v>
      </c>
      <c r="I6" s="38"/>
      <c r="J6">
        <v>75</v>
      </c>
    </row>
    <row r="7" spans="1:10" x14ac:dyDescent="0.25">
      <c r="B7">
        <f>'Data Collection Sheet'!$G$128</f>
        <v>35.4</v>
      </c>
      <c r="C7" s="57">
        <v>44713</v>
      </c>
      <c r="D7" s="38">
        <v>27</v>
      </c>
      <c r="G7" s="38"/>
      <c r="H7" s="38">
        <f t="shared" si="0"/>
        <v>76.27118644067798</v>
      </c>
      <c r="I7" s="38"/>
      <c r="J7">
        <v>75</v>
      </c>
    </row>
    <row r="8" spans="1:10" x14ac:dyDescent="0.25">
      <c r="B8">
        <f>'Data Collection Sheet'!$G$128</f>
        <v>35.4</v>
      </c>
      <c r="C8" s="57">
        <v>44743</v>
      </c>
      <c r="D8" s="38">
        <v>26.9</v>
      </c>
      <c r="G8" s="38"/>
      <c r="H8" s="38">
        <f t="shared" si="0"/>
        <v>75.988700564971751</v>
      </c>
      <c r="I8" s="38"/>
      <c r="J8">
        <v>75</v>
      </c>
    </row>
    <row r="9" spans="1:10" x14ac:dyDescent="0.25">
      <c r="B9">
        <f>'Data Collection Sheet'!$G$128</f>
        <v>35.4</v>
      </c>
      <c r="C9" s="57">
        <v>44774</v>
      </c>
      <c r="D9" s="38">
        <v>26.8</v>
      </c>
      <c r="G9" s="38"/>
      <c r="H9" s="38">
        <f t="shared" si="0"/>
        <v>75.706214689265536</v>
      </c>
      <c r="I9" s="38"/>
      <c r="J9">
        <v>75</v>
      </c>
    </row>
    <row r="10" spans="1:10" x14ac:dyDescent="0.25">
      <c r="B10">
        <f>'Data Collection Sheet'!$G$128</f>
        <v>35.4</v>
      </c>
      <c r="C10" s="57">
        <v>44805</v>
      </c>
      <c r="D10" s="38">
        <v>26.7</v>
      </c>
      <c r="G10" s="38"/>
      <c r="H10" s="38">
        <f t="shared" si="0"/>
        <v>75.423728813559322</v>
      </c>
      <c r="I10" s="38"/>
      <c r="J10">
        <v>75</v>
      </c>
    </row>
    <row r="11" spans="1:10" x14ac:dyDescent="0.25">
      <c r="B11">
        <f>'Data Collection Sheet'!$G$128</f>
        <v>35.4</v>
      </c>
      <c r="C11" s="57">
        <v>44835</v>
      </c>
      <c r="D11" s="38">
        <v>26.6</v>
      </c>
      <c r="G11" s="38"/>
      <c r="H11" s="38">
        <f t="shared" si="0"/>
        <v>75.141242937853121</v>
      </c>
      <c r="I11" s="38"/>
      <c r="J11">
        <v>75</v>
      </c>
    </row>
    <row r="12" spans="1:10" x14ac:dyDescent="0.25">
      <c r="B12">
        <f>'Data Collection Sheet'!$G$128</f>
        <v>35.4</v>
      </c>
      <c r="C12" s="57">
        <v>44866</v>
      </c>
      <c r="D12" s="38">
        <v>26.7</v>
      </c>
      <c r="G12" s="38"/>
      <c r="H12" s="38">
        <f t="shared" si="0"/>
        <v>75.423728813559322</v>
      </c>
      <c r="I12" s="38"/>
      <c r="J12">
        <v>75</v>
      </c>
    </row>
    <row r="13" spans="1:10" x14ac:dyDescent="0.25">
      <c r="B13">
        <f>'Data Collection Sheet'!$G$128</f>
        <v>35.4</v>
      </c>
      <c r="C13" s="57">
        <v>44896</v>
      </c>
      <c r="D13" s="38">
        <v>26.4</v>
      </c>
      <c r="G13" s="38"/>
      <c r="H13" s="38">
        <f t="shared" si="0"/>
        <v>74.576271186440678</v>
      </c>
      <c r="I13" s="38"/>
      <c r="J13">
        <v>75</v>
      </c>
    </row>
    <row r="14" spans="1:10" x14ac:dyDescent="0.25">
      <c r="B14">
        <f>'Data Collection Sheet'!$G$128</f>
        <v>35.4</v>
      </c>
      <c r="C14" s="57">
        <v>44927</v>
      </c>
      <c r="D14" s="38">
        <v>26.2</v>
      </c>
      <c r="G14" s="38"/>
      <c r="H14" s="38">
        <f t="shared" si="0"/>
        <v>74.011299435028249</v>
      </c>
      <c r="I14" s="38"/>
      <c r="J14">
        <v>75</v>
      </c>
    </row>
    <row r="15" spans="1:10" x14ac:dyDescent="0.25">
      <c r="B15">
        <f>'Data Collection Sheet'!$G$128</f>
        <v>35.4</v>
      </c>
      <c r="C15" s="57">
        <v>44958</v>
      </c>
      <c r="D15" s="38">
        <v>25.8</v>
      </c>
      <c r="G15" s="38"/>
      <c r="H15" s="38">
        <f t="shared" si="0"/>
        <v>72.881355932203391</v>
      </c>
      <c r="I15" s="38"/>
      <c r="J15">
        <v>75</v>
      </c>
    </row>
    <row r="16" spans="1:10" x14ac:dyDescent="0.25">
      <c r="B16">
        <f>'Data Collection Sheet'!$G$128</f>
        <v>35.4</v>
      </c>
      <c r="C16" s="57">
        <v>44986</v>
      </c>
      <c r="D16" s="38">
        <v>25.4</v>
      </c>
      <c r="G16" s="38"/>
      <c r="H16" s="38">
        <f t="shared" si="0"/>
        <v>71.751412429378519</v>
      </c>
      <c r="I16" s="38"/>
      <c r="J16">
        <v>75</v>
      </c>
    </row>
    <row r="17" spans="1:10" x14ac:dyDescent="0.25">
      <c r="B17">
        <f>'Data Collection Sheet'!$G$128</f>
        <v>35.4</v>
      </c>
      <c r="C17" s="57">
        <v>45017</v>
      </c>
      <c r="D17" s="38">
        <v>25.4</v>
      </c>
      <c r="G17" s="38"/>
      <c r="H17" s="38">
        <f t="shared" si="0"/>
        <v>71.751412429378519</v>
      </c>
      <c r="I17" s="38"/>
      <c r="J17">
        <v>75</v>
      </c>
    </row>
    <row r="18" spans="1:10" x14ac:dyDescent="0.25">
      <c r="B18">
        <f>'Data Collection Sheet'!$G$128</f>
        <v>35.4</v>
      </c>
      <c r="C18" s="57">
        <v>45047</v>
      </c>
      <c r="D18" s="38">
        <v>25.8</v>
      </c>
      <c r="G18" s="38"/>
      <c r="H18" s="38">
        <f t="shared" si="0"/>
        <v>72.881355932203391</v>
      </c>
      <c r="I18" s="38"/>
      <c r="J18">
        <v>75</v>
      </c>
    </row>
    <row r="19" spans="1:10" x14ac:dyDescent="0.25">
      <c r="B19">
        <f>'Data Collection Sheet'!$G$132</f>
        <v>70.8</v>
      </c>
      <c r="C19" s="57">
        <v>45078</v>
      </c>
      <c r="D19" s="38">
        <v>27.5</v>
      </c>
      <c r="G19" s="38"/>
      <c r="H19" s="38">
        <f t="shared" si="0"/>
        <v>38.841807909604519</v>
      </c>
      <c r="I19" s="38"/>
      <c r="J19">
        <v>75</v>
      </c>
    </row>
    <row r="20" spans="1:10" x14ac:dyDescent="0.25">
      <c r="A20" t="s">
        <v>202</v>
      </c>
      <c r="B20">
        <f>'Data Collection Sheet'!$G$132</f>
        <v>70.8</v>
      </c>
      <c r="C20" s="57">
        <v>45108</v>
      </c>
      <c r="D20" s="38">
        <f>'Data Collection Sheet'!AA131</f>
        <v>30.4</v>
      </c>
      <c r="G20" s="38"/>
      <c r="H20" s="38">
        <f t="shared" ref="H20:H25" si="1">(D20/B20)*100</f>
        <v>42.93785310734463</v>
      </c>
      <c r="I20" s="38"/>
      <c r="J20">
        <v>75</v>
      </c>
    </row>
    <row r="21" spans="1:10" x14ac:dyDescent="0.25">
      <c r="B21">
        <f>'Data Collection Sheet'!$G$132</f>
        <v>70.8</v>
      </c>
      <c r="C21" s="57">
        <v>45139</v>
      </c>
      <c r="D21" s="38">
        <f>'Data Collection Sheet'!AB131</f>
        <v>31.8</v>
      </c>
      <c r="G21" s="38"/>
      <c r="H21" s="38">
        <f t="shared" si="1"/>
        <v>44.915254237288138</v>
      </c>
      <c r="I21" s="38"/>
      <c r="J21">
        <v>75</v>
      </c>
    </row>
    <row r="22" spans="1:10" x14ac:dyDescent="0.25">
      <c r="B22">
        <f>'Data Collection Sheet'!$G$132</f>
        <v>70.8</v>
      </c>
      <c r="C22" s="57">
        <v>45170</v>
      </c>
      <c r="D22" s="38">
        <f>'Data Collection Sheet'!AC131</f>
        <v>33</v>
      </c>
      <c r="G22" s="38"/>
      <c r="H22" s="38">
        <f t="shared" si="1"/>
        <v>46.610169491525426</v>
      </c>
      <c r="I22" s="38"/>
      <c r="J22">
        <v>75</v>
      </c>
    </row>
    <row r="23" spans="1:10" x14ac:dyDescent="0.25">
      <c r="B23">
        <f>'Data Collection Sheet'!$G$132</f>
        <v>70.8</v>
      </c>
      <c r="C23" s="57">
        <v>45200</v>
      </c>
      <c r="D23" s="38">
        <f>'Data Collection Sheet'!AD131</f>
        <v>32.799999999999997</v>
      </c>
      <c r="G23" s="38"/>
      <c r="H23" s="38">
        <f t="shared" si="1"/>
        <v>46.327683615819211</v>
      </c>
      <c r="I23" s="38"/>
      <c r="J23">
        <v>75</v>
      </c>
    </row>
    <row r="24" spans="1:10" x14ac:dyDescent="0.25">
      <c r="B24">
        <f>'Data Collection Sheet'!$G$132</f>
        <v>70.8</v>
      </c>
      <c r="C24" s="57">
        <v>45231</v>
      </c>
      <c r="D24" s="38">
        <f>'Data Collection Sheet'!AE131</f>
        <v>34.200000000000003</v>
      </c>
      <c r="G24" s="38"/>
      <c r="H24" s="38">
        <f t="shared" si="1"/>
        <v>48.305084745762713</v>
      </c>
      <c r="I24" s="38"/>
      <c r="J24">
        <v>75</v>
      </c>
    </row>
    <row r="25" spans="1:10" x14ac:dyDescent="0.25">
      <c r="B25">
        <f>'Data Collection Sheet'!$G$132</f>
        <v>70.8</v>
      </c>
      <c r="C25" s="57">
        <v>45261</v>
      </c>
      <c r="D25" s="38">
        <f>'Data Collection Sheet'!AF131</f>
        <v>35.299999999999997</v>
      </c>
      <c r="G25" s="38"/>
      <c r="H25" s="38">
        <f t="shared" si="1"/>
        <v>49.858757062146893</v>
      </c>
      <c r="I25" s="38"/>
      <c r="J25">
        <v>75</v>
      </c>
    </row>
    <row r="26" spans="1:10" x14ac:dyDescent="0.25">
      <c r="B26">
        <f>'Data Collection Sheet'!$G$132</f>
        <v>70.8</v>
      </c>
      <c r="C26" s="57">
        <v>45292</v>
      </c>
      <c r="D26" s="38">
        <f>'Data Collection Sheet'!AG131</f>
        <v>34.200000000000003</v>
      </c>
      <c r="G26" s="38"/>
      <c r="H26" s="38">
        <f t="shared" ref="H26:H31" si="2">(D26/B26)*100</f>
        <v>48.305084745762713</v>
      </c>
      <c r="I26" s="38"/>
      <c r="J26">
        <v>75</v>
      </c>
    </row>
    <row r="27" spans="1:10" x14ac:dyDescent="0.25">
      <c r="B27">
        <f>'Data Collection Sheet'!$G$132</f>
        <v>70.8</v>
      </c>
      <c r="C27" s="57">
        <v>45323</v>
      </c>
      <c r="D27" s="38">
        <f>'Data Collection Sheet'!AH131</f>
        <v>34.200000000000003</v>
      </c>
      <c r="G27" s="38"/>
      <c r="H27" s="38">
        <f t="shared" si="2"/>
        <v>48.305084745762713</v>
      </c>
      <c r="I27" s="38"/>
      <c r="J27">
        <v>75</v>
      </c>
    </row>
    <row r="28" spans="1:10" x14ac:dyDescent="0.25">
      <c r="B28">
        <f>'Data Collection Sheet'!$G$132</f>
        <v>70.8</v>
      </c>
      <c r="C28" s="57">
        <v>45352</v>
      </c>
      <c r="D28" s="38">
        <f>'Data Collection Sheet'!AI131</f>
        <v>34.799999999999997</v>
      </c>
      <c r="G28" s="38"/>
      <c r="H28" s="38">
        <f t="shared" si="2"/>
        <v>49.152542372881349</v>
      </c>
      <c r="I28" s="38"/>
      <c r="J28">
        <v>75</v>
      </c>
    </row>
    <row r="29" spans="1:10" x14ac:dyDescent="0.25">
      <c r="B29">
        <f>'Data Collection Sheet'!$G$132</f>
        <v>70.8</v>
      </c>
      <c r="C29" s="57">
        <v>45383</v>
      </c>
      <c r="D29" s="38">
        <f>'Data Collection Sheet'!AJ131</f>
        <v>35.299999999999997</v>
      </c>
      <c r="G29" s="38"/>
      <c r="H29" s="38">
        <f t="shared" si="2"/>
        <v>49.858757062146893</v>
      </c>
      <c r="I29" s="38"/>
      <c r="J29">
        <v>75</v>
      </c>
    </row>
    <row r="30" spans="1:10" x14ac:dyDescent="0.25">
      <c r="B30">
        <f>'Data Collection Sheet'!$G$132</f>
        <v>70.8</v>
      </c>
      <c r="C30" s="57">
        <v>45413</v>
      </c>
      <c r="D30" s="38">
        <f>'Data Collection Sheet'!AK131</f>
        <v>34</v>
      </c>
      <c r="G30" s="38"/>
      <c r="H30" s="38">
        <f t="shared" si="2"/>
        <v>48.022598870056498</v>
      </c>
      <c r="I30" s="38"/>
      <c r="J30">
        <v>75</v>
      </c>
    </row>
    <row r="31" spans="1:10" x14ac:dyDescent="0.25">
      <c r="B31">
        <f>'Data Collection Sheet'!$G$132</f>
        <v>70.8</v>
      </c>
      <c r="C31" s="57">
        <v>45444</v>
      </c>
      <c r="D31" s="38">
        <f>'Data Collection Sheet'!AL131</f>
        <v>32.9</v>
      </c>
      <c r="G31" s="38"/>
      <c r="H31" s="38">
        <f t="shared" si="2"/>
        <v>46.468926553672318</v>
      </c>
      <c r="I31" s="38"/>
      <c r="J31">
        <v>75</v>
      </c>
    </row>
    <row r="32" spans="1:10" x14ac:dyDescent="0.25">
      <c r="B32">
        <f>'Data Collection Sheet'!$G$132</f>
        <v>70.8</v>
      </c>
      <c r="C32" s="57">
        <v>45474</v>
      </c>
      <c r="D32" s="38">
        <f>'Data Collection Sheet'!AM131</f>
        <v>33.1</v>
      </c>
      <c r="G32" s="38"/>
      <c r="H32" s="38">
        <f t="shared" ref="H32" si="3">(D32/B32)*100</f>
        <v>46.751412429378533</v>
      </c>
      <c r="I32" s="38"/>
      <c r="J32">
        <v>75</v>
      </c>
    </row>
    <row r="33" spans="1:10" x14ac:dyDescent="0.25">
      <c r="B33">
        <f>'Data Collection Sheet'!$G$132</f>
        <v>70.8</v>
      </c>
      <c r="C33" s="57">
        <v>45505</v>
      </c>
      <c r="D33" s="38">
        <f>'Data Collection Sheet'!AN131</f>
        <v>35.200000000000003</v>
      </c>
      <c r="G33" s="38"/>
      <c r="H33" s="38">
        <f t="shared" ref="H33" si="4">(D33/B33)*100</f>
        <v>49.717514124293793</v>
      </c>
      <c r="I33" s="38"/>
      <c r="J33">
        <v>75</v>
      </c>
    </row>
    <row r="34" spans="1:10" x14ac:dyDescent="0.25">
      <c r="B34">
        <f>'Data Collection Sheet'!$G$132</f>
        <v>70.8</v>
      </c>
      <c r="C34" s="57">
        <v>45536</v>
      </c>
      <c r="D34" s="38">
        <f>'Data Collection Sheet'!AO131</f>
        <v>40.9</v>
      </c>
      <c r="G34" s="38"/>
      <c r="H34" s="38">
        <f t="shared" ref="H34" si="5">(D34/B34)*100</f>
        <v>57.7683615819209</v>
      </c>
      <c r="I34" s="38"/>
      <c r="J34">
        <v>75</v>
      </c>
    </row>
    <row r="35" spans="1:10" x14ac:dyDescent="0.25">
      <c r="B35">
        <f>'Data Collection Sheet'!$G$132</f>
        <v>70.8</v>
      </c>
      <c r="C35" s="57">
        <v>45566</v>
      </c>
      <c r="D35" s="38">
        <f>'Data Collection Sheet'!AP131</f>
        <v>44</v>
      </c>
      <c r="G35" s="38"/>
      <c r="H35" s="38">
        <f t="shared" ref="H35" si="6">(D35/B35)*100</f>
        <v>62.146892655367239</v>
      </c>
      <c r="I35" s="38"/>
      <c r="J35">
        <v>75</v>
      </c>
    </row>
    <row r="36" spans="1:10" x14ac:dyDescent="0.25">
      <c r="B36">
        <f>'Data Collection Sheet'!$G$132</f>
        <v>70.8</v>
      </c>
      <c r="C36" s="57">
        <v>45597</v>
      </c>
      <c r="D36" s="38">
        <f>'Data Collection Sheet'!AQ131</f>
        <v>48.2</v>
      </c>
      <c r="G36" s="38"/>
      <c r="H36" s="38">
        <f t="shared" ref="H36" si="7">(D36/B36)*100</f>
        <v>68.079096045197758</v>
      </c>
      <c r="I36" s="38"/>
      <c r="J36">
        <v>75</v>
      </c>
    </row>
    <row r="37" spans="1:10" x14ac:dyDescent="0.25">
      <c r="B37">
        <f>'Data Collection Sheet'!$G$132</f>
        <v>70.8</v>
      </c>
      <c r="C37" s="57">
        <v>45627</v>
      </c>
      <c r="D37" s="38">
        <f>'Data Collection Sheet'!AR131</f>
        <v>44.6</v>
      </c>
      <c r="G37" s="38"/>
      <c r="H37" s="38">
        <f>(D37/B37)*100</f>
        <v>62.994350282485875</v>
      </c>
      <c r="I37" s="38"/>
      <c r="J37">
        <v>75</v>
      </c>
    </row>
    <row r="38" spans="1:10" x14ac:dyDescent="0.25">
      <c r="B38">
        <f>'Data Collection Sheet'!$G$132</f>
        <v>70.8</v>
      </c>
      <c r="C38" s="57">
        <v>45658</v>
      </c>
      <c r="D38" s="38">
        <f>'Data Collection Sheet'!AS131</f>
        <v>45.7</v>
      </c>
      <c r="G38" s="38"/>
      <c r="H38" s="38">
        <f>(D38/B38)*100</f>
        <v>64.548022598870062</v>
      </c>
      <c r="I38" s="38"/>
      <c r="J38">
        <v>75</v>
      </c>
    </row>
    <row r="39" spans="1:10" x14ac:dyDescent="0.25">
      <c r="B39">
        <f>'Data Collection Sheet'!$G$132</f>
        <v>70.8</v>
      </c>
      <c r="C39" s="57">
        <v>45689</v>
      </c>
      <c r="D39" s="38">
        <f>'Data Collection Sheet'!AT$131</f>
        <v>47.1</v>
      </c>
      <c r="G39" s="38"/>
      <c r="H39" s="38">
        <f>(D39/B39)*100</f>
        <v>66.525423728813564</v>
      </c>
      <c r="I39" s="38"/>
      <c r="J39">
        <v>75</v>
      </c>
    </row>
    <row r="40" spans="1:10" x14ac:dyDescent="0.25">
      <c r="B40">
        <f>'Data Collection Sheet'!$G$132</f>
        <v>70.8</v>
      </c>
      <c r="C40" s="57">
        <v>45717</v>
      </c>
      <c r="D40" s="38">
        <f>'Data Collection Sheet'!AU$131</f>
        <v>47.5</v>
      </c>
      <c r="G40" s="38"/>
      <c r="H40" s="38">
        <f t="shared" ref="H40:H41" si="8">(D40/B40)*100</f>
        <v>67.090395480225993</v>
      </c>
      <c r="I40" s="38"/>
      <c r="J40">
        <v>75</v>
      </c>
    </row>
    <row r="41" spans="1:10" x14ac:dyDescent="0.25">
      <c r="B41">
        <f>'Data Collection Sheet'!$G$132</f>
        <v>70.8</v>
      </c>
      <c r="C41" s="57">
        <v>45748</v>
      </c>
      <c r="D41" s="38">
        <f>'Data Collection Sheet'!AV$131</f>
        <v>48.1</v>
      </c>
      <c r="G41" s="38"/>
      <c r="H41" s="38">
        <f t="shared" si="8"/>
        <v>67.937853107344637</v>
      </c>
      <c r="I41" s="38"/>
      <c r="J41">
        <v>75</v>
      </c>
    </row>
    <row r="42" spans="1:10" x14ac:dyDescent="0.25">
      <c r="B42">
        <f>'Data Collection Sheet'!$G$132</f>
        <v>70.8</v>
      </c>
      <c r="C42" s="57">
        <v>45778</v>
      </c>
      <c r="D42" s="38">
        <f>'Data Collection Sheet'!AW$131</f>
        <v>48.4</v>
      </c>
      <c r="G42" s="38"/>
      <c r="H42" s="38">
        <f t="shared" ref="H42" si="9">(D42/B42)*100</f>
        <v>68.361581920903959</v>
      </c>
      <c r="I42" s="38"/>
      <c r="J42">
        <v>75</v>
      </c>
    </row>
    <row r="43" spans="1:10" x14ac:dyDescent="0.25">
      <c r="B43">
        <f>'Data Collection Sheet'!$G$132</f>
        <v>70.8</v>
      </c>
      <c r="C43" s="57">
        <v>45809</v>
      </c>
      <c r="D43" s="38">
        <f>'Data Collection Sheet'!AX$131</f>
        <v>48.6</v>
      </c>
      <c r="G43" s="38"/>
      <c r="H43" s="38">
        <f t="shared" ref="H43" si="10">(D43/B43)*100</f>
        <v>68.644067796610173</v>
      </c>
      <c r="I43" s="38"/>
      <c r="J43">
        <v>75</v>
      </c>
    </row>
    <row r="44" spans="1:10" x14ac:dyDescent="0.25">
      <c r="A44" t="s">
        <v>210</v>
      </c>
      <c r="B44">
        <f>'Data Collection Sheet'!$G$132</f>
        <v>70.8</v>
      </c>
      <c r="C44" s="57">
        <v>45839</v>
      </c>
      <c r="D44" s="38">
        <f>'Data Collection Sheet'!AY$131</f>
        <v>49.5</v>
      </c>
      <c r="G44" s="38"/>
      <c r="H44" s="38">
        <f t="shared" ref="H44" si="11">(D44/B44)*100</f>
        <v>69.915254237288138</v>
      </c>
      <c r="I44" s="38"/>
      <c r="J44">
        <v>75</v>
      </c>
    </row>
    <row r="45" spans="1:10" x14ac:dyDescent="0.25">
      <c r="B45">
        <v>90</v>
      </c>
      <c r="C45" s="57">
        <v>45870</v>
      </c>
      <c r="D45" s="38">
        <f>'Data Collection Sheet'!AZ$131</f>
        <v>50.5</v>
      </c>
      <c r="G45" s="38"/>
      <c r="H45" s="38">
        <f t="shared" ref="H45" si="12">(D45/B45)*100</f>
        <v>56.111111111111114</v>
      </c>
      <c r="I45" s="38"/>
      <c r="J45">
        <v>75</v>
      </c>
    </row>
    <row r="46" spans="1:10" x14ac:dyDescent="0.25">
      <c r="A46" t="s">
        <v>347</v>
      </c>
      <c r="B46">
        <v>90</v>
      </c>
      <c r="C46" s="57">
        <v>45901</v>
      </c>
      <c r="D46" s="38">
        <f>'Data Collection Sheet'!BA$131</f>
        <v>51</v>
      </c>
      <c r="G46" s="38"/>
      <c r="H46" s="38">
        <f t="shared" ref="H46" si="13">(D46/B46)*100</f>
        <v>56.666666666666664</v>
      </c>
      <c r="I46" s="38"/>
      <c r="J46">
        <v>75</v>
      </c>
    </row>
    <row r="47" spans="1:10" x14ac:dyDescent="0.25">
      <c r="B47">
        <v>90</v>
      </c>
      <c r="C47" s="57">
        <v>45931</v>
      </c>
      <c r="D47" s="38">
        <f>'Data Collection Sheet'!BB$131</f>
        <v>51.5</v>
      </c>
      <c r="G47" s="38"/>
      <c r="H47" s="38">
        <f t="shared" ref="H47" si="14">(D47/B47)*100</f>
        <v>57.222222222222221</v>
      </c>
      <c r="I47" s="38"/>
      <c r="J47">
        <v>75</v>
      </c>
    </row>
    <row r="48" spans="1:10" x14ac:dyDescent="0.25">
      <c r="A48" t="s">
        <v>203</v>
      </c>
      <c r="B48">
        <v>90</v>
      </c>
      <c r="C48" s="57">
        <v>45962</v>
      </c>
      <c r="D48" s="38">
        <f>'Data Collection Sheet'!BC$131</f>
        <v>52.8</v>
      </c>
      <c r="G48" s="38"/>
      <c r="H48" s="38">
        <f t="shared" ref="H48" si="15">(D48/B48)*100</f>
        <v>58.666666666666664</v>
      </c>
      <c r="I48" s="38"/>
      <c r="J48">
        <v>75</v>
      </c>
    </row>
    <row r="49" spans="1:10" x14ac:dyDescent="0.25">
      <c r="A49" t="s">
        <v>204</v>
      </c>
      <c r="B49">
        <v>90</v>
      </c>
      <c r="C49" s="57">
        <v>45992</v>
      </c>
      <c r="D49" s="38">
        <f>'Data Collection Sheet'!BD$131</f>
        <v>54.1</v>
      </c>
      <c r="G49" s="38"/>
      <c r="H49" s="38">
        <f t="shared" ref="H49:H54" si="16">(D49/B49)*100</f>
        <v>60.111111111111114</v>
      </c>
      <c r="I49" s="38"/>
      <c r="J49">
        <v>75</v>
      </c>
    </row>
    <row r="50" spans="1:10" x14ac:dyDescent="0.25">
      <c r="A50" t="s">
        <v>205</v>
      </c>
      <c r="B50">
        <v>90</v>
      </c>
      <c r="C50" s="57">
        <v>46023</v>
      </c>
      <c r="D50" s="38">
        <f>'Data Collection Sheet'!BE$131</f>
        <v>54.7</v>
      </c>
      <c r="G50" s="38"/>
      <c r="H50" s="38">
        <f t="shared" si="16"/>
        <v>60.777777777777786</v>
      </c>
      <c r="I50" s="38"/>
      <c r="J50">
        <v>75</v>
      </c>
    </row>
    <row r="51" spans="1:10" x14ac:dyDescent="0.25">
      <c r="A51" t="s">
        <v>206</v>
      </c>
      <c r="B51">
        <v>90</v>
      </c>
      <c r="C51" s="57">
        <v>46054</v>
      </c>
      <c r="D51" s="38">
        <f>'Data Collection Sheet'!BF$131</f>
        <v>55.4</v>
      </c>
      <c r="G51" s="38"/>
      <c r="H51" s="38">
        <f t="shared" si="16"/>
        <v>61.55555555555555</v>
      </c>
      <c r="I51" s="38"/>
      <c r="J51">
        <v>75</v>
      </c>
    </row>
    <row r="52" spans="1:10" x14ac:dyDescent="0.25">
      <c r="A52" t="s">
        <v>207</v>
      </c>
      <c r="B52">
        <v>90</v>
      </c>
      <c r="C52" s="57">
        <v>46082</v>
      </c>
      <c r="D52" s="38">
        <f>'Data Collection Sheet'!BG$131</f>
        <v>56.5</v>
      </c>
      <c r="G52" s="38"/>
      <c r="H52" s="38">
        <f t="shared" si="16"/>
        <v>62.777777777777779</v>
      </c>
      <c r="I52" s="38"/>
      <c r="J52">
        <v>75</v>
      </c>
    </row>
    <row r="53" spans="1:10" x14ac:dyDescent="0.25">
      <c r="B53">
        <v>90</v>
      </c>
      <c r="C53" s="57">
        <v>46113</v>
      </c>
      <c r="D53" s="38">
        <f>'Data Collection Sheet'!BH$131</f>
        <v>57</v>
      </c>
      <c r="G53" s="38"/>
      <c r="H53" s="38">
        <f t="shared" si="16"/>
        <v>63.333333333333329</v>
      </c>
      <c r="I53" s="38"/>
      <c r="J53">
        <v>75</v>
      </c>
    </row>
    <row r="54" spans="1:10" x14ac:dyDescent="0.25">
      <c r="B54">
        <v>90</v>
      </c>
      <c r="C54" s="57">
        <v>46143</v>
      </c>
      <c r="D54" s="38">
        <f>'Data Collection Sheet'!BI$131</f>
        <v>57.5</v>
      </c>
      <c r="G54" s="38"/>
      <c r="H54" s="38">
        <f t="shared" si="16"/>
        <v>63.888888888888886</v>
      </c>
      <c r="I54" s="38"/>
      <c r="J54">
        <v>75</v>
      </c>
    </row>
    <row r="55" spans="1:10" x14ac:dyDescent="0.25">
      <c r="B55">
        <v>90</v>
      </c>
      <c r="C55" s="57">
        <v>46174</v>
      </c>
      <c r="D55" s="38">
        <f>'Data Collection Sheet'!BJ$131</f>
        <v>57.4</v>
      </c>
      <c r="G55" s="38"/>
      <c r="H55" s="38">
        <f>(D55/B55)*100</f>
        <v>63.777777777777779</v>
      </c>
      <c r="I55" s="38"/>
      <c r="J55">
        <v>75</v>
      </c>
    </row>
    <row r="56" spans="1:10" x14ac:dyDescent="0.25">
      <c r="B56">
        <v>90</v>
      </c>
      <c r="C56" s="57">
        <v>46204</v>
      </c>
      <c r="D56" s="38">
        <f>'Data Collection Sheet'!BK$131</f>
        <v>58.5</v>
      </c>
      <c r="G56" s="38"/>
      <c r="H56" s="38">
        <f>(D56/B56)*100</f>
        <v>65</v>
      </c>
      <c r="I56" s="38"/>
      <c r="J56">
        <v>75</v>
      </c>
    </row>
    <row r="57" spans="1:10" x14ac:dyDescent="0.25">
      <c r="B57">
        <v>90</v>
      </c>
      <c r="C57" s="57">
        <v>46235</v>
      </c>
      <c r="D57" s="38">
        <f>'Data Collection Sheet'!BL$131</f>
        <v>57</v>
      </c>
      <c r="F57">
        <v>4.08</v>
      </c>
      <c r="G57" s="38">
        <f>D57</f>
        <v>57</v>
      </c>
      <c r="H57" s="38">
        <f>(D57/B57)*100</f>
        <v>63.333333333333329</v>
      </c>
      <c r="I57" s="38">
        <f t="shared" ref="I57" si="17">(G57/B57)*100</f>
        <v>63.333333333333329</v>
      </c>
      <c r="J57">
        <v>75</v>
      </c>
    </row>
    <row r="58" spans="1:10" x14ac:dyDescent="0.25">
      <c r="A58" t="s">
        <v>209</v>
      </c>
      <c r="B58">
        <v>90</v>
      </c>
      <c r="C58" s="57">
        <v>46266</v>
      </c>
      <c r="F58">
        <v>1.08</v>
      </c>
      <c r="G58" s="38">
        <f t="shared" ref="G58:G68" si="18">G57*(1+(F58^(1/12)-1))+E58</f>
        <v>57.366739716270196</v>
      </c>
      <c r="H58" s="38"/>
      <c r="I58" s="38">
        <f t="shared" ref="I58:I68" si="19">(G58/B58)*100</f>
        <v>63.740821906966886</v>
      </c>
      <c r="J58">
        <v>75</v>
      </c>
    </row>
    <row r="59" spans="1:10" x14ac:dyDescent="0.25">
      <c r="A59" t="s">
        <v>208</v>
      </c>
      <c r="B59">
        <v>90</v>
      </c>
      <c r="C59" s="57">
        <v>46296</v>
      </c>
      <c r="F59">
        <v>1.08</v>
      </c>
      <c r="G59" s="38">
        <f t="shared" si="18"/>
        <v>57.735839046917405</v>
      </c>
      <c r="H59" s="38"/>
      <c r="I59" s="38">
        <f t="shared" si="19"/>
        <v>64.15093227435267</v>
      </c>
      <c r="J59">
        <v>75</v>
      </c>
    </row>
    <row r="60" spans="1:10" x14ac:dyDescent="0.25">
      <c r="B60">
        <v>90</v>
      </c>
      <c r="C60" s="57">
        <v>46327</v>
      </c>
      <c r="E60" s="38"/>
      <c r="F60">
        <v>1.08</v>
      </c>
      <c r="G60" s="38">
        <f t="shared" si="18"/>
        <v>58.107313173771587</v>
      </c>
      <c r="H60" s="38"/>
      <c r="I60" s="38">
        <f t="shared" si="19"/>
        <v>64.563681304190652</v>
      </c>
      <c r="J60">
        <v>75</v>
      </c>
    </row>
    <row r="61" spans="1:10" x14ac:dyDescent="0.25">
      <c r="B61">
        <v>90</v>
      </c>
      <c r="C61" s="57">
        <v>46357</v>
      </c>
      <c r="E61" s="38"/>
      <c r="F61">
        <v>1.08</v>
      </c>
      <c r="G61" s="38">
        <f t="shared" si="18"/>
        <v>58.481177376343034</v>
      </c>
      <c r="H61" s="38"/>
      <c r="I61" s="38">
        <f t="shared" si="19"/>
        <v>64.979085973714476</v>
      </c>
      <c r="J61">
        <v>75</v>
      </c>
    </row>
    <row r="62" spans="1:10" x14ac:dyDescent="0.25">
      <c r="B62">
        <v>90</v>
      </c>
      <c r="C62" s="57">
        <v>46388</v>
      </c>
      <c r="E62" s="38"/>
      <c r="F62">
        <v>1.08</v>
      </c>
      <c r="G62" s="38">
        <f t="shared" si="18"/>
        <v>58.857447032450878</v>
      </c>
      <c r="H62" s="38"/>
      <c r="I62" s="38">
        <f t="shared" si="19"/>
        <v>65.397163369389872</v>
      </c>
      <c r="J62">
        <v>75</v>
      </c>
    </row>
    <row r="63" spans="1:10" x14ac:dyDescent="0.25">
      <c r="B63">
        <v>90</v>
      </c>
      <c r="C63" s="57">
        <v>46419</v>
      </c>
      <c r="F63">
        <v>1.08</v>
      </c>
      <c r="G63" s="38">
        <f t="shared" si="18"/>
        <v>59.236137618855601</v>
      </c>
      <c r="H63" s="38"/>
      <c r="I63" s="38">
        <f t="shared" si="19"/>
        <v>65.817930687617334</v>
      </c>
      <c r="J63">
        <v>75</v>
      </c>
    </row>
    <row r="64" spans="1:10" x14ac:dyDescent="0.25">
      <c r="B64">
        <v>90</v>
      </c>
      <c r="C64" s="57">
        <v>46447</v>
      </c>
      <c r="F64">
        <v>1.08</v>
      </c>
      <c r="G64" s="38">
        <f t="shared" si="18"/>
        <v>59.617264711895622</v>
      </c>
      <c r="H64" s="38"/>
      <c r="I64" s="38">
        <f t="shared" si="19"/>
        <v>66.241405235439572</v>
      </c>
      <c r="J64">
        <v>75</v>
      </c>
    </row>
    <row r="65" spans="1:10" x14ac:dyDescent="0.25">
      <c r="B65">
        <v>90</v>
      </c>
      <c r="C65" s="57">
        <v>46478</v>
      </c>
      <c r="F65">
        <v>1.08</v>
      </c>
      <c r="G65" s="38">
        <f t="shared" si="18"/>
        <v>60.000843988128004</v>
      </c>
      <c r="H65" s="38"/>
      <c r="I65" s="38">
        <f t="shared" si="19"/>
        <v>66.667604431253338</v>
      </c>
      <c r="J65">
        <v>75</v>
      </c>
    </row>
    <row r="66" spans="1:10" x14ac:dyDescent="0.25">
      <c r="B66">
        <v>90</v>
      </c>
      <c r="C66" s="57">
        <v>46508</v>
      </c>
      <c r="F66">
        <v>1.08</v>
      </c>
      <c r="G66" s="38">
        <f t="shared" si="18"/>
        <v>60.38689122497324</v>
      </c>
      <c r="H66" s="38"/>
      <c r="I66" s="38">
        <f t="shared" si="19"/>
        <v>67.096545805525821</v>
      </c>
      <c r="J66">
        <v>75</v>
      </c>
    </row>
    <row r="67" spans="1:10" x14ac:dyDescent="0.25">
      <c r="B67">
        <v>90</v>
      </c>
      <c r="C67" s="57">
        <v>46539</v>
      </c>
      <c r="F67">
        <v>1.08</v>
      </c>
      <c r="G67" s="38">
        <f t="shared" si="18"/>
        <v>60.775422301364223</v>
      </c>
      <c r="H67" s="38"/>
      <c r="I67" s="38">
        <f t="shared" si="19"/>
        <v>67.528247001515808</v>
      </c>
      <c r="J67">
        <v>75</v>
      </c>
    </row>
    <row r="68" spans="1:10" x14ac:dyDescent="0.25">
      <c r="B68">
        <v>90</v>
      </c>
      <c r="C68" s="57">
        <v>46569</v>
      </c>
      <c r="F68">
        <v>1.08</v>
      </c>
      <c r="G68" s="38">
        <f t="shared" si="18"/>
        <v>61.166453198399374</v>
      </c>
      <c r="H68" s="38"/>
      <c r="I68" s="38">
        <f t="shared" si="19"/>
        <v>67.962725775999303</v>
      </c>
      <c r="J68">
        <v>75</v>
      </c>
    </row>
    <row r="69" spans="1:10" x14ac:dyDescent="0.25">
      <c r="B69">
        <v>90</v>
      </c>
      <c r="C69" s="57">
        <v>46600</v>
      </c>
      <c r="F69">
        <v>1.08</v>
      </c>
      <c r="G69" s="38">
        <f t="shared" ref="G69:G93" si="20">G68*(1+(F69^(1/12)-1))+E69</f>
        <v>61.559999999999988</v>
      </c>
      <c r="H69" s="38"/>
      <c r="I69" s="38">
        <f t="shared" ref="I69:I95" si="21">(G69/B69)*100</f>
        <v>68.399999999999977</v>
      </c>
      <c r="J69">
        <v>75</v>
      </c>
    </row>
    <row r="70" spans="1:10" x14ac:dyDescent="0.25">
      <c r="A70" t="s">
        <v>336</v>
      </c>
      <c r="B70">
        <v>90</v>
      </c>
      <c r="C70" s="57">
        <v>46631</v>
      </c>
      <c r="F70">
        <v>1.08</v>
      </c>
      <c r="G70" s="38">
        <f t="shared" si="20"/>
        <v>61.956078893571799</v>
      </c>
      <c r="H70" s="38"/>
      <c r="I70" s="38">
        <f t="shared" si="21"/>
        <v>68.840087659524215</v>
      </c>
      <c r="J70">
        <v>75</v>
      </c>
    </row>
    <row r="71" spans="1:10" x14ac:dyDescent="0.25">
      <c r="B71">
        <v>90</v>
      </c>
      <c r="C71" s="57">
        <v>46661</v>
      </c>
      <c r="F71">
        <v>1.08</v>
      </c>
      <c r="G71" s="38">
        <f t="shared" si="20"/>
        <v>62.354706170670788</v>
      </c>
      <c r="H71" s="38"/>
      <c r="I71" s="38">
        <f t="shared" si="21"/>
        <v>69.283006856300872</v>
      </c>
      <c r="J71">
        <v>75</v>
      </c>
    </row>
    <row r="72" spans="1:10" x14ac:dyDescent="0.25">
      <c r="B72">
        <v>90</v>
      </c>
      <c r="C72" s="57">
        <v>46692</v>
      </c>
      <c r="F72">
        <v>1.08</v>
      </c>
      <c r="G72" s="38">
        <f t="shared" si="20"/>
        <v>62.755898227673299</v>
      </c>
      <c r="H72" s="38"/>
      <c r="I72" s="38">
        <f t="shared" si="21"/>
        <v>69.728775808525896</v>
      </c>
      <c r="J72">
        <v>75</v>
      </c>
    </row>
    <row r="73" spans="1:10" x14ac:dyDescent="0.25">
      <c r="B73">
        <v>90</v>
      </c>
      <c r="C73" s="57">
        <v>46722</v>
      </c>
      <c r="F73">
        <v>1.08</v>
      </c>
      <c r="G73" s="38">
        <f t="shared" si="20"/>
        <v>63.159671566450463</v>
      </c>
      <c r="H73" s="38"/>
      <c r="I73" s="38">
        <f t="shared" si="21"/>
        <v>70.177412851611621</v>
      </c>
      <c r="J73">
        <v>75</v>
      </c>
    </row>
    <row r="74" spans="1:10" x14ac:dyDescent="0.25">
      <c r="B74">
        <v>90</v>
      </c>
      <c r="C74" s="57">
        <v>46753</v>
      </c>
      <c r="D74" s="38"/>
      <c r="F74">
        <v>1.08</v>
      </c>
      <c r="G74" s="38">
        <f t="shared" si="20"/>
        <v>63.566042795046933</v>
      </c>
      <c r="H74" s="38"/>
      <c r="I74" s="38">
        <f t="shared" si="21"/>
        <v>70.628936438941039</v>
      </c>
      <c r="J74">
        <v>75</v>
      </c>
    </row>
    <row r="75" spans="1:10" x14ac:dyDescent="0.25">
      <c r="B75">
        <v>90</v>
      </c>
      <c r="C75" s="57">
        <v>46784</v>
      </c>
      <c r="D75" s="38"/>
      <c r="F75">
        <v>1.08</v>
      </c>
      <c r="G75" s="38">
        <f t="shared" si="20"/>
        <v>63.975028628364029</v>
      </c>
      <c r="H75" s="38"/>
      <c r="I75" s="38">
        <f t="shared" si="21"/>
        <v>71.083365142626704</v>
      </c>
      <c r="J75">
        <v>75</v>
      </c>
    </row>
    <row r="76" spans="1:10" x14ac:dyDescent="0.25">
      <c r="B76">
        <v>90</v>
      </c>
      <c r="C76" s="57">
        <v>46813</v>
      </c>
      <c r="D76" s="38"/>
      <c r="F76">
        <v>1.08</v>
      </c>
      <c r="G76" s="38">
        <f t="shared" si="20"/>
        <v>64.386645888847255</v>
      </c>
      <c r="H76" s="38"/>
      <c r="I76" s="38">
        <f t="shared" si="21"/>
        <v>71.540717654274729</v>
      </c>
      <c r="J76">
        <v>75</v>
      </c>
    </row>
    <row r="77" spans="1:10" x14ac:dyDescent="0.25">
      <c r="B77">
        <v>90</v>
      </c>
      <c r="C77" s="57">
        <v>46844</v>
      </c>
      <c r="D77" s="38"/>
      <c r="F77">
        <v>1.08</v>
      </c>
      <c r="G77" s="38">
        <f t="shared" si="20"/>
        <v>64.800911507178228</v>
      </c>
      <c r="H77" s="38"/>
      <c r="I77" s="38">
        <f t="shared" si="21"/>
        <v>72.001012785753588</v>
      </c>
      <c r="J77">
        <v>75</v>
      </c>
    </row>
    <row r="78" spans="1:10" x14ac:dyDescent="0.25">
      <c r="B78">
        <v>90</v>
      </c>
      <c r="C78" s="57">
        <v>46874</v>
      </c>
      <c r="D78" s="38"/>
      <c r="F78">
        <v>1.08</v>
      </c>
      <c r="G78" s="38">
        <f t="shared" si="20"/>
        <v>65.217842522971083</v>
      </c>
      <c r="H78" s="38"/>
      <c r="I78" s="38">
        <f t="shared" si="21"/>
        <v>72.464269469967874</v>
      </c>
      <c r="J78">
        <v>75</v>
      </c>
    </row>
    <row r="79" spans="1:10" x14ac:dyDescent="0.25">
      <c r="B79">
        <v>90</v>
      </c>
      <c r="C79" s="57">
        <v>46905</v>
      </c>
      <c r="D79" s="38"/>
      <c r="F79">
        <v>1.08</v>
      </c>
      <c r="G79" s="38">
        <f t="shared" si="20"/>
        <v>65.637456085473346</v>
      </c>
      <c r="H79" s="38"/>
      <c r="I79" s="38">
        <f t="shared" si="21"/>
        <v>72.930506761637048</v>
      </c>
      <c r="J79">
        <v>75</v>
      </c>
    </row>
    <row r="80" spans="1:10" x14ac:dyDescent="0.25">
      <c r="B80">
        <v>90</v>
      </c>
      <c r="C80" s="57">
        <v>46935</v>
      </c>
      <c r="F80">
        <v>1.08</v>
      </c>
      <c r="G80" s="38">
        <f t="shared" si="20"/>
        <v>66.059769454271304</v>
      </c>
      <c r="H80" s="38"/>
      <c r="I80" s="38">
        <f t="shared" si="21"/>
        <v>73.399743838079218</v>
      </c>
      <c r="J80">
        <v>75</v>
      </c>
    </row>
    <row r="81" spans="2:10" x14ac:dyDescent="0.25">
      <c r="B81">
        <v>90</v>
      </c>
      <c r="C81" s="57">
        <v>46966</v>
      </c>
      <c r="F81">
        <v>1.08</v>
      </c>
      <c r="G81" s="38">
        <f t="shared" si="20"/>
        <v>66.484799999999964</v>
      </c>
      <c r="H81" s="38"/>
      <c r="I81" s="38">
        <f t="shared" si="21"/>
        <v>73.871999999999957</v>
      </c>
      <c r="J81">
        <v>75</v>
      </c>
    </row>
    <row r="82" spans="2:10" x14ac:dyDescent="0.25">
      <c r="B82">
        <v>90</v>
      </c>
      <c r="C82" s="57">
        <v>46997</v>
      </c>
      <c r="F82">
        <v>1.08</v>
      </c>
      <c r="G82" s="38">
        <f t="shared" si="20"/>
        <v>66.912565205057518</v>
      </c>
      <c r="H82" s="38"/>
      <c r="I82" s="38">
        <f t="shared" si="21"/>
        <v>74.347294672286139</v>
      </c>
      <c r="J82">
        <v>75</v>
      </c>
    </row>
    <row r="83" spans="2:10" x14ac:dyDescent="0.25">
      <c r="B83">
        <v>90</v>
      </c>
      <c r="C83" s="57">
        <v>47027</v>
      </c>
      <c r="F83">
        <v>1.08</v>
      </c>
      <c r="G83" s="38">
        <f t="shared" si="20"/>
        <v>67.343082664324427</v>
      </c>
      <c r="H83" s="38"/>
      <c r="I83" s="38">
        <f t="shared" si="21"/>
        <v>74.825647404804911</v>
      </c>
      <c r="J83">
        <v>75</v>
      </c>
    </row>
    <row r="84" spans="2:10" x14ac:dyDescent="0.25">
      <c r="B84">
        <v>90</v>
      </c>
      <c r="C84" s="57">
        <v>47058</v>
      </c>
      <c r="F84">
        <v>1.08</v>
      </c>
      <c r="G84" s="38">
        <f t="shared" si="20"/>
        <v>67.776370085887137</v>
      </c>
      <c r="H84" s="38"/>
      <c r="I84" s="38">
        <f t="shared" si="21"/>
        <v>75.30707787320793</v>
      </c>
      <c r="J84">
        <v>75</v>
      </c>
    </row>
    <row r="85" spans="2:10" x14ac:dyDescent="0.25">
      <c r="B85">
        <v>90</v>
      </c>
      <c r="C85" s="57">
        <v>47088</v>
      </c>
      <c r="F85">
        <v>1.08</v>
      </c>
      <c r="G85" s="38">
        <f t="shared" si="20"/>
        <v>68.212445291766471</v>
      </c>
      <c r="H85" s="38"/>
      <c r="I85" s="38">
        <f t="shared" si="21"/>
        <v>75.791605879740516</v>
      </c>
      <c r="J85">
        <v>75</v>
      </c>
    </row>
    <row r="86" spans="2:10" x14ac:dyDescent="0.25">
      <c r="B86">
        <v>90</v>
      </c>
      <c r="C86" s="57">
        <v>47119</v>
      </c>
      <c r="F86">
        <v>1.08</v>
      </c>
      <c r="G86" s="38">
        <f t="shared" si="20"/>
        <v>68.651326218650652</v>
      </c>
      <c r="H86" s="38"/>
      <c r="I86" s="38">
        <f t="shared" si="21"/>
        <v>76.279251354056271</v>
      </c>
      <c r="J86">
        <v>75</v>
      </c>
    </row>
    <row r="87" spans="2:10" x14ac:dyDescent="0.25">
      <c r="B87">
        <v>90</v>
      </c>
      <c r="C87" s="57">
        <v>47150</v>
      </c>
      <c r="F87">
        <v>1.08</v>
      </c>
      <c r="G87" s="38">
        <f t="shared" si="20"/>
        <v>69.093030918633119</v>
      </c>
      <c r="H87" s="38"/>
      <c r="I87" s="38">
        <f t="shared" si="21"/>
        <v>76.770034354036795</v>
      </c>
      <c r="J87">
        <v>75</v>
      </c>
    </row>
    <row r="88" spans="2:10" x14ac:dyDescent="0.25">
      <c r="B88">
        <v>90</v>
      </c>
      <c r="C88" s="57">
        <v>47178</v>
      </c>
      <c r="F88">
        <v>1.08</v>
      </c>
      <c r="G88" s="38">
        <f t="shared" si="20"/>
        <v>69.537577559954997</v>
      </c>
      <c r="H88" s="38"/>
      <c r="I88" s="38">
        <f t="shared" si="21"/>
        <v>77.263975066616666</v>
      </c>
      <c r="J88">
        <v>75</v>
      </c>
    </row>
    <row r="89" spans="2:10" x14ac:dyDescent="0.25">
      <c r="B89">
        <v>90</v>
      </c>
      <c r="C89" s="57">
        <v>47209</v>
      </c>
      <c r="F89">
        <v>1.08</v>
      </c>
      <c r="G89" s="38">
        <f t="shared" si="20"/>
        <v>69.984984427752451</v>
      </c>
      <c r="H89" s="38"/>
      <c r="I89" s="38">
        <f t="shared" si="21"/>
        <v>77.761093808613836</v>
      </c>
      <c r="J89">
        <v>75</v>
      </c>
    </row>
    <row r="90" spans="2:10" x14ac:dyDescent="0.25">
      <c r="B90">
        <v>90</v>
      </c>
      <c r="C90" s="57">
        <v>47239</v>
      </c>
      <c r="F90">
        <v>1.08</v>
      </c>
      <c r="G90" s="38">
        <f t="shared" si="20"/>
        <v>70.435269924808736</v>
      </c>
      <c r="H90" s="38"/>
      <c r="I90" s="38">
        <f t="shared" si="21"/>
        <v>78.261411027565259</v>
      </c>
      <c r="J90">
        <v>75</v>
      </c>
    </row>
    <row r="91" spans="2:10" x14ac:dyDescent="0.25">
      <c r="B91">
        <v>90</v>
      </c>
      <c r="C91" s="57">
        <v>47270</v>
      </c>
      <c r="F91">
        <v>1.08</v>
      </c>
      <c r="G91" s="38">
        <f t="shared" si="20"/>
        <v>70.888452572311181</v>
      </c>
      <c r="H91" s="38"/>
      <c r="I91" s="38">
        <f t="shared" si="21"/>
        <v>78.764947302567975</v>
      </c>
      <c r="J91">
        <v>75</v>
      </c>
    </row>
    <row r="92" spans="2:10" x14ac:dyDescent="0.25">
      <c r="B92">
        <v>90</v>
      </c>
      <c r="C92" s="57">
        <v>47300</v>
      </c>
      <c r="E92" s="38"/>
      <c r="F92">
        <v>1.08</v>
      </c>
      <c r="G92" s="38">
        <f t="shared" si="20"/>
        <v>71.344551010612975</v>
      </c>
      <c r="H92" s="38"/>
      <c r="I92" s="38">
        <f t="shared" si="21"/>
        <v>79.271723345125523</v>
      </c>
      <c r="J92">
        <v>75</v>
      </c>
    </row>
    <row r="93" spans="2:10" x14ac:dyDescent="0.25">
      <c r="B93">
        <v>90</v>
      </c>
      <c r="C93" s="57">
        <v>47331</v>
      </c>
      <c r="F93">
        <v>1.08</v>
      </c>
      <c r="G93" s="38">
        <f t="shared" si="20"/>
        <v>71.80358399999993</v>
      </c>
      <c r="I93" s="38">
        <f t="shared" si="21"/>
        <v>79.78175999999992</v>
      </c>
      <c r="J93">
        <v>75</v>
      </c>
    </row>
    <row r="94" spans="2:10" x14ac:dyDescent="0.25">
      <c r="B94">
        <v>90</v>
      </c>
      <c r="C94" s="57">
        <v>47362</v>
      </c>
      <c r="F94">
        <v>1.08</v>
      </c>
      <c r="G94" s="38">
        <f t="shared" ref="G94:G95" si="22">G93*(1+(F94^(1/12)-1))+E94</f>
        <v>72.265570421462087</v>
      </c>
      <c r="I94" s="38">
        <f t="shared" si="21"/>
        <v>80.295078246068982</v>
      </c>
      <c r="J94">
        <v>75</v>
      </c>
    </row>
    <row r="95" spans="2:10" x14ac:dyDescent="0.25">
      <c r="B95">
        <v>90</v>
      </c>
      <c r="C95" s="57">
        <v>47392</v>
      </c>
      <c r="F95">
        <v>1.08</v>
      </c>
      <c r="G95" s="38">
        <f t="shared" si="22"/>
        <v>72.730529277470353</v>
      </c>
      <c r="I95" s="38">
        <f t="shared" si="21"/>
        <v>80.811699197189284</v>
      </c>
      <c r="J95">
        <v>75</v>
      </c>
    </row>
    <row r="96" spans="2:10" x14ac:dyDescent="0.25">
      <c r="B96">
        <v>90</v>
      </c>
      <c r="C96" s="57">
        <v>47423</v>
      </c>
      <c r="F96">
        <v>1.08</v>
      </c>
      <c r="G96" s="38">
        <f t="shared" ref="G96:G101" si="23">G95*(1+(F96^(1/12)-1))+E96</f>
        <v>73.198479692758085</v>
      </c>
      <c r="I96" s="38">
        <f t="shared" ref="I96:I101" si="24">(G96/B96)*100</f>
        <v>81.331644103064534</v>
      </c>
      <c r="J96">
        <v>75</v>
      </c>
    </row>
    <row r="97" spans="2:10" x14ac:dyDescent="0.25">
      <c r="B97">
        <v>90</v>
      </c>
      <c r="C97" s="57">
        <v>47453</v>
      </c>
      <c r="F97">
        <v>1.08</v>
      </c>
      <c r="G97" s="38">
        <f t="shared" si="23"/>
        <v>73.669440915107771</v>
      </c>
      <c r="I97" s="38">
        <f t="shared" si="24"/>
        <v>81.854934350119748</v>
      </c>
      <c r="J97">
        <v>75</v>
      </c>
    </row>
    <row r="98" spans="2:10" x14ac:dyDescent="0.25">
      <c r="B98">
        <v>90</v>
      </c>
      <c r="C98" s="57">
        <v>47484</v>
      </c>
      <c r="F98">
        <v>1.08</v>
      </c>
      <c r="G98" s="38">
        <f t="shared" si="23"/>
        <v>74.143432316142693</v>
      </c>
      <c r="I98" s="38">
        <f t="shared" si="24"/>
        <v>82.381591462380769</v>
      </c>
      <c r="J98">
        <v>75</v>
      </c>
    </row>
    <row r="99" spans="2:10" x14ac:dyDescent="0.25">
      <c r="B99">
        <v>90</v>
      </c>
      <c r="C99" s="57">
        <v>47515</v>
      </c>
      <c r="F99">
        <v>1.08</v>
      </c>
      <c r="G99" s="38">
        <f t="shared" si="23"/>
        <v>74.620473392123756</v>
      </c>
      <c r="I99" s="38">
        <f t="shared" si="24"/>
        <v>82.91163710235972</v>
      </c>
      <c r="J99">
        <v>75</v>
      </c>
    </row>
    <row r="100" spans="2:10" x14ac:dyDescent="0.25">
      <c r="B100">
        <v>90</v>
      </c>
      <c r="C100" s="57">
        <v>47543</v>
      </c>
      <c r="F100">
        <v>1.08</v>
      </c>
      <c r="G100" s="38">
        <f t="shared" si="23"/>
        <v>75.100583764751391</v>
      </c>
      <c r="I100" s="38">
        <f t="shared" si="24"/>
        <v>83.44509307194599</v>
      </c>
      <c r="J100">
        <v>75</v>
      </c>
    </row>
    <row r="101" spans="2:10" x14ac:dyDescent="0.25">
      <c r="B101">
        <v>90</v>
      </c>
      <c r="C101" s="57">
        <v>47574</v>
      </c>
      <c r="F101">
        <v>1.08</v>
      </c>
      <c r="G101" s="38">
        <f t="shared" si="23"/>
        <v>75.583783181972635</v>
      </c>
      <c r="I101" s="38">
        <f t="shared" si="24"/>
        <v>83.981981313302924</v>
      </c>
      <c r="J101">
        <v>75</v>
      </c>
    </row>
    <row r="102" spans="2:10" x14ac:dyDescent="0.25">
      <c r="B102">
        <v>90</v>
      </c>
      <c r="C102" s="57">
        <v>47604</v>
      </c>
      <c r="F102">
        <v>1.08</v>
      </c>
      <c r="G102" s="38">
        <f t="shared" ref="G102:G104" si="25">G101*(1+(F102^(1/12)-1))+E102</f>
        <v>76.070091518793419</v>
      </c>
      <c r="I102" s="38">
        <f t="shared" ref="I102:I104" si="26">(G102/B102)*100</f>
        <v>84.522323909770464</v>
      </c>
      <c r="J102">
        <v>75</v>
      </c>
    </row>
    <row r="103" spans="2:10" x14ac:dyDescent="0.25">
      <c r="B103">
        <v>90</v>
      </c>
      <c r="C103" s="57">
        <v>47635</v>
      </c>
      <c r="F103">
        <v>1.08</v>
      </c>
      <c r="G103" s="38">
        <f t="shared" si="25"/>
        <v>76.559528778096052</v>
      </c>
      <c r="I103" s="38">
        <f t="shared" si="26"/>
        <v>85.066143086773394</v>
      </c>
      <c r="J103">
        <v>75</v>
      </c>
    </row>
    <row r="104" spans="2:10" x14ac:dyDescent="0.25">
      <c r="B104">
        <v>90</v>
      </c>
      <c r="C104" s="57">
        <v>47665</v>
      </c>
      <c r="F104">
        <v>1.08</v>
      </c>
      <c r="G104" s="38">
        <f t="shared" si="25"/>
        <v>77.052115091461999</v>
      </c>
      <c r="I104" s="38">
        <f t="shared" si="26"/>
        <v>85.613461212735558</v>
      </c>
      <c r="J104">
        <v>75</v>
      </c>
    </row>
    <row r="105" spans="2:10" x14ac:dyDescent="0.25">
      <c r="B105">
        <v>90</v>
      </c>
      <c r="C105" s="57">
        <v>47696</v>
      </c>
      <c r="F105">
        <v>1.08</v>
      </c>
      <c r="G105" s="38">
        <f t="shared" ref="G105" si="27">G104*(1+(F105^(1/12)-1))+E105</f>
        <v>77.547870719999921</v>
      </c>
      <c r="I105" s="38">
        <f t="shared" ref="I105" si="28">(G105/B105)*100</f>
        <v>86.164300799999921</v>
      </c>
      <c r="J105">
        <v>75</v>
      </c>
    </row>
  </sheetData>
  <conditionalFormatting sqref="I2:I105">
    <cfRule type="cellIs" dxfId="19" priority="1" operator="greaterThan">
      <formula>75</formula>
    </cfRule>
  </conditionalFormatting>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5D24D2-5DD0-4677-9355-FF04279C4174}">
  <sheetPr codeName="Sheet10"/>
  <dimension ref="A1:J105"/>
  <sheetViews>
    <sheetView topLeftCell="A31" zoomScale="80" zoomScaleNormal="80" workbookViewId="0">
      <selection activeCell="I44" sqref="I44"/>
    </sheetView>
  </sheetViews>
  <sheetFormatPr defaultRowHeight="15" x14ac:dyDescent="0.25"/>
  <cols>
    <col min="1" max="1" width="39.5703125" customWidth="1"/>
    <col min="2" max="2" width="13.7109375" bestFit="1" customWidth="1"/>
    <col min="5" max="5" width="11.140625" bestFit="1" customWidth="1"/>
    <col min="6" max="6" width="10.7109375" bestFit="1" customWidth="1"/>
    <col min="7" max="7" width="12.42578125" customWidth="1"/>
    <col min="8" max="8" width="10.140625" bestFit="1" customWidth="1"/>
    <col min="9" max="9" width="13.140625" bestFit="1" customWidth="1"/>
    <col min="12" max="12" width="17.7109375" bestFit="1" customWidth="1"/>
    <col min="13" max="13" width="31.7109375" bestFit="1" customWidth="1"/>
    <col min="14" max="14" width="45.7109375" bestFit="1" customWidth="1"/>
  </cols>
  <sheetData>
    <row r="1" spans="1:10" x14ac:dyDescent="0.25">
      <c r="A1" s="61" t="s">
        <v>221</v>
      </c>
      <c r="B1" s="61" t="s">
        <v>119</v>
      </c>
      <c r="C1" s="61" t="s">
        <v>2</v>
      </c>
      <c r="D1" s="61" t="s">
        <v>120</v>
      </c>
      <c r="E1" s="61" t="s">
        <v>121</v>
      </c>
      <c r="F1" s="61" t="s">
        <v>122</v>
      </c>
      <c r="G1" s="61" t="s">
        <v>123</v>
      </c>
      <c r="H1" s="61" t="s">
        <v>124</v>
      </c>
      <c r="I1" s="61" t="s">
        <v>125</v>
      </c>
      <c r="J1" s="61" t="s">
        <v>126</v>
      </c>
    </row>
    <row r="2" spans="1:10" x14ac:dyDescent="0.25">
      <c r="A2" t="s">
        <v>108</v>
      </c>
      <c r="B2">
        <v>45</v>
      </c>
      <c r="C2" s="57">
        <v>44927</v>
      </c>
      <c r="D2" s="38">
        <f>'Data Collection Sheet'!U141</f>
        <v>15.6</v>
      </c>
      <c r="E2" s="38"/>
      <c r="F2" s="38"/>
      <c r="G2" s="38"/>
      <c r="H2" s="38">
        <f t="shared" ref="H2:H7" si="0">(D2/B2)*100</f>
        <v>34.666666666666671</v>
      </c>
      <c r="I2" s="38"/>
      <c r="J2">
        <v>75</v>
      </c>
    </row>
    <row r="3" spans="1:10" x14ac:dyDescent="0.25">
      <c r="B3">
        <v>45</v>
      </c>
      <c r="C3" s="57">
        <v>44958</v>
      </c>
      <c r="D3" s="38">
        <f>'Data Collection Sheet'!V141</f>
        <v>16.2</v>
      </c>
      <c r="E3" s="38"/>
      <c r="F3" s="38"/>
      <c r="G3" s="38"/>
      <c r="H3" s="38">
        <f t="shared" si="0"/>
        <v>36</v>
      </c>
      <c r="I3" s="38"/>
      <c r="J3">
        <v>75</v>
      </c>
    </row>
    <row r="4" spans="1:10" x14ac:dyDescent="0.25">
      <c r="B4">
        <v>45</v>
      </c>
      <c r="C4" s="57">
        <v>44986</v>
      </c>
      <c r="D4" s="38">
        <f>'Data Collection Sheet'!W141</f>
        <v>17.7</v>
      </c>
      <c r="E4" s="38"/>
      <c r="G4" s="38"/>
      <c r="H4" s="38">
        <f t="shared" si="0"/>
        <v>39.333333333333329</v>
      </c>
      <c r="I4" s="38"/>
      <c r="J4">
        <v>75</v>
      </c>
    </row>
    <row r="5" spans="1:10" x14ac:dyDescent="0.25">
      <c r="B5">
        <v>45</v>
      </c>
      <c r="C5" s="57">
        <v>45017</v>
      </c>
      <c r="D5" s="38">
        <f>'Data Collection Sheet'!X141</f>
        <v>17.7</v>
      </c>
      <c r="G5" s="38"/>
      <c r="H5" s="38">
        <f t="shared" si="0"/>
        <v>39.333333333333329</v>
      </c>
      <c r="I5" s="38"/>
      <c r="J5">
        <v>75</v>
      </c>
    </row>
    <row r="6" spans="1:10" x14ac:dyDescent="0.25">
      <c r="B6">
        <v>45</v>
      </c>
      <c r="C6" s="57">
        <v>45047</v>
      </c>
      <c r="D6" s="38">
        <f>'Data Collection Sheet'!Y141</f>
        <v>19.600000000000001</v>
      </c>
      <c r="G6" s="38"/>
      <c r="H6" s="38">
        <f t="shared" si="0"/>
        <v>43.555555555555557</v>
      </c>
      <c r="I6" s="38"/>
      <c r="J6">
        <v>75</v>
      </c>
    </row>
    <row r="7" spans="1:10" x14ac:dyDescent="0.25">
      <c r="B7">
        <v>45</v>
      </c>
      <c r="C7" s="57">
        <v>45078</v>
      </c>
      <c r="D7" s="38">
        <f>'Data Collection Sheet'!Z141</f>
        <v>19.3</v>
      </c>
      <c r="G7" s="38"/>
      <c r="H7" s="38">
        <f t="shared" si="0"/>
        <v>42.888888888888893</v>
      </c>
      <c r="I7" s="38"/>
      <c r="J7">
        <v>75</v>
      </c>
    </row>
    <row r="8" spans="1:10" x14ac:dyDescent="0.25">
      <c r="B8">
        <v>45</v>
      </c>
      <c r="C8" s="57">
        <v>45108</v>
      </c>
      <c r="D8" s="38">
        <f>'Data Collection Sheet'!AA143</f>
        <v>19.899999999999999</v>
      </c>
      <c r="G8" s="38"/>
      <c r="H8" s="38">
        <f t="shared" ref="H8:H13" si="1">(D8/B8)*100</f>
        <v>44.222222222222221</v>
      </c>
      <c r="I8" s="38"/>
      <c r="J8">
        <v>75</v>
      </c>
    </row>
    <row r="9" spans="1:10" x14ac:dyDescent="0.25">
      <c r="B9">
        <v>45</v>
      </c>
      <c r="C9" s="57">
        <v>45139</v>
      </c>
      <c r="D9" s="38">
        <f>'Data Collection Sheet'!AB143</f>
        <v>20.2</v>
      </c>
      <c r="G9" s="38"/>
      <c r="H9" s="38">
        <f t="shared" si="1"/>
        <v>44.888888888888886</v>
      </c>
      <c r="I9" s="38"/>
      <c r="J9">
        <v>75</v>
      </c>
    </row>
    <row r="10" spans="1:10" x14ac:dyDescent="0.25">
      <c r="B10">
        <v>45</v>
      </c>
      <c r="C10" s="57">
        <v>45170</v>
      </c>
      <c r="D10" s="38">
        <f>'Data Collection Sheet'!AC143</f>
        <v>20.2</v>
      </c>
      <c r="G10" s="38"/>
      <c r="H10" s="38">
        <f t="shared" si="1"/>
        <v>44.888888888888886</v>
      </c>
      <c r="I10" s="38"/>
      <c r="J10">
        <v>75</v>
      </c>
    </row>
    <row r="11" spans="1:10" x14ac:dyDescent="0.25">
      <c r="B11">
        <v>45</v>
      </c>
      <c r="C11" s="57">
        <v>45200</v>
      </c>
      <c r="D11" s="38">
        <f>'Data Collection Sheet'!AD143</f>
        <v>20.3</v>
      </c>
      <c r="G11" s="38"/>
      <c r="H11" s="38">
        <f t="shared" si="1"/>
        <v>45.111111111111114</v>
      </c>
      <c r="I11" s="38"/>
      <c r="J11">
        <v>75</v>
      </c>
    </row>
    <row r="12" spans="1:10" x14ac:dyDescent="0.25">
      <c r="B12">
        <v>45</v>
      </c>
      <c r="C12" s="57">
        <v>45231</v>
      </c>
      <c r="D12" s="38">
        <f>'Data Collection Sheet'!AE143</f>
        <v>20.3</v>
      </c>
      <c r="G12" s="38"/>
      <c r="H12" s="38">
        <f t="shared" si="1"/>
        <v>45.111111111111114</v>
      </c>
      <c r="I12" s="38"/>
      <c r="J12">
        <v>75</v>
      </c>
    </row>
    <row r="13" spans="1:10" x14ac:dyDescent="0.25">
      <c r="B13">
        <v>45</v>
      </c>
      <c r="C13" s="57">
        <v>45261</v>
      </c>
      <c r="D13" s="38">
        <f>'Data Collection Sheet'!AF143</f>
        <v>20.6</v>
      </c>
      <c r="G13" s="38"/>
      <c r="H13" s="38">
        <f t="shared" si="1"/>
        <v>45.777777777777779</v>
      </c>
      <c r="I13" s="38"/>
      <c r="J13">
        <v>75</v>
      </c>
    </row>
    <row r="14" spans="1:10" x14ac:dyDescent="0.25">
      <c r="A14" t="s">
        <v>311</v>
      </c>
      <c r="B14">
        <v>45</v>
      </c>
      <c r="C14" s="57">
        <v>45292</v>
      </c>
      <c r="D14" s="38">
        <f>'Data Collection Sheet'!AG143</f>
        <v>14.8</v>
      </c>
      <c r="G14" s="38"/>
      <c r="H14" s="38">
        <f t="shared" ref="H14:H19" si="2">(D14/B14)*100</f>
        <v>32.888888888888893</v>
      </c>
      <c r="I14" s="38"/>
      <c r="J14">
        <v>75</v>
      </c>
    </row>
    <row r="15" spans="1:10" x14ac:dyDescent="0.25">
      <c r="B15">
        <v>45</v>
      </c>
      <c r="C15" s="57">
        <v>45323</v>
      </c>
      <c r="D15" s="38">
        <f>'Data Collection Sheet'!AH143</f>
        <v>15.3</v>
      </c>
      <c r="G15" s="38"/>
      <c r="H15" s="38">
        <f t="shared" si="2"/>
        <v>34</v>
      </c>
      <c r="I15" s="38"/>
      <c r="J15">
        <v>75</v>
      </c>
    </row>
    <row r="16" spans="1:10" x14ac:dyDescent="0.25">
      <c r="B16">
        <v>45</v>
      </c>
      <c r="C16" s="57">
        <v>45352</v>
      </c>
      <c r="D16" s="38">
        <f>'Data Collection Sheet'!AI143</f>
        <v>15.3</v>
      </c>
      <c r="G16" s="38"/>
      <c r="H16" s="38">
        <f t="shared" si="2"/>
        <v>34</v>
      </c>
      <c r="I16" s="38"/>
      <c r="J16">
        <v>75</v>
      </c>
    </row>
    <row r="17" spans="1:10" x14ac:dyDescent="0.25">
      <c r="B17">
        <v>45</v>
      </c>
      <c r="C17" s="57">
        <v>45383</v>
      </c>
      <c r="D17" s="38">
        <f>'Data Collection Sheet'!AJ143</f>
        <v>16.100000000000001</v>
      </c>
      <c r="G17" s="38"/>
      <c r="H17" s="38">
        <f t="shared" si="2"/>
        <v>35.777777777777779</v>
      </c>
      <c r="I17" s="38"/>
      <c r="J17">
        <v>75</v>
      </c>
    </row>
    <row r="18" spans="1:10" x14ac:dyDescent="0.25">
      <c r="B18">
        <v>45</v>
      </c>
      <c r="C18" s="57">
        <v>45413</v>
      </c>
      <c r="D18" s="38">
        <f>'Data Collection Sheet'!AK143</f>
        <v>15.7</v>
      </c>
      <c r="G18" s="38"/>
      <c r="H18" s="38">
        <f t="shared" si="2"/>
        <v>34.888888888888886</v>
      </c>
      <c r="I18" s="38"/>
      <c r="J18">
        <v>75</v>
      </c>
    </row>
    <row r="19" spans="1:10" x14ac:dyDescent="0.25">
      <c r="B19">
        <v>45</v>
      </c>
      <c r="C19" s="57">
        <v>45444</v>
      </c>
      <c r="D19" s="38">
        <f>'Data Collection Sheet'!AL143</f>
        <v>15.9</v>
      </c>
      <c r="G19" s="38"/>
      <c r="H19" s="38">
        <f t="shared" si="2"/>
        <v>35.333333333333336</v>
      </c>
      <c r="I19" s="38"/>
      <c r="J19">
        <v>75</v>
      </c>
    </row>
    <row r="20" spans="1:10" x14ac:dyDescent="0.25">
      <c r="B20">
        <v>45</v>
      </c>
      <c r="C20" s="57">
        <v>45474</v>
      </c>
      <c r="D20" s="38">
        <f>'Data Collection Sheet'!AM143</f>
        <v>16</v>
      </c>
      <c r="G20" s="38"/>
      <c r="H20" s="38">
        <f t="shared" ref="H20" si="3">(D20/B20)*100</f>
        <v>35.555555555555557</v>
      </c>
      <c r="I20" s="38"/>
      <c r="J20">
        <v>75</v>
      </c>
    </row>
    <row r="21" spans="1:10" x14ac:dyDescent="0.25">
      <c r="B21">
        <v>45</v>
      </c>
      <c r="C21" s="57">
        <v>45505</v>
      </c>
      <c r="D21" s="38">
        <f>'Data Collection Sheet'!AN143</f>
        <v>17.3</v>
      </c>
      <c r="G21" s="38"/>
      <c r="H21" s="38">
        <f t="shared" ref="H21" si="4">(D21/B21)*100</f>
        <v>38.44444444444445</v>
      </c>
      <c r="I21" s="38"/>
      <c r="J21">
        <v>75</v>
      </c>
    </row>
    <row r="22" spans="1:10" x14ac:dyDescent="0.25">
      <c r="B22">
        <v>45</v>
      </c>
      <c r="C22" s="57">
        <v>45536</v>
      </c>
      <c r="D22" s="38">
        <f>'Data Collection Sheet'!AO143</f>
        <v>15.4</v>
      </c>
      <c r="G22" s="38"/>
      <c r="H22" s="38">
        <f t="shared" ref="H22" si="5">(D22/B22)*100</f>
        <v>34.222222222222221</v>
      </c>
      <c r="I22" s="38"/>
      <c r="J22">
        <v>75</v>
      </c>
    </row>
    <row r="23" spans="1:10" x14ac:dyDescent="0.25">
      <c r="B23">
        <v>45</v>
      </c>
      <c r="C23" s="57">
        <v>45566</v>
      </c>
      <c r="D23" s="38">
        <f>'Data Collection Sheet'!AP143</f>
        <v>15.4</v>
      </c>
      <c r="G23" s="38"/>
      <c r="H23" s="38">
        <f t="shared" ref="H23" si="6">(D23/B23)*100</f>
        <v>34.222222222222221</v>
      </c>
      <c r="I23" s="38"/>
      <c r="J23">
        <v>75</v>
      </c>
    </row>
    <row r="24" spans="1:10" x14ac:dyDescent="0.25">
      <c r="B24">
        <v>45</v>
      </c>
      <c r="C24" s="57">
        <v>45597</v>
      </c>
      <c r="D24" s="38">
        <f>'Data Collection Sheet'!AQ143</f>
        <v>16.600000000000001</v>
      </c>
      <c r="G24" s="38"/>
      <c r="H24" s="38">
        <f t="shared" ref="H24" si="7">(D24/B24)*100</f>
        <v>36.888888888888893</v>
      </c>
      <c r="I24" s="38"/>
      <c r="J24">
        <v>75</v>
      </c>
    </row>
    <row r="25" spans="1:10" x14ac:dyDescent="0.25">
      <c r="B25">
        <v>45</v>
      </c>
      <c r="C25" s="57">
        <v>45627</v>
      </c>
      <c r="D25" s="38">
        <f>'Data Collection Sheet'!AR143</f>
        <v>15.4</v>
      </c>
      <c r="G25" s="38"/>
      <c r="H25" s="38">
        <f>(D25/B25)*100</f>
        <v>34.222222222222221</v>
      </c>
      <c r="I25" s="38"/>
      <c r="J25">
        <v>75</v>
      </c>
    </row>
    <row r="26" spans="1:10" x14ac:dyDescent="0.25">
      <c r="B26">
        <v>45</v>
      </c>
      <c r="C26" s="57">
        <v>45658</v>
      </c>
      <c r="D26" s="38">
        <f>'Data Collection Sheet'!AS143</f>
        <v>15.6</v>
      </c>
      <c r="G26" s="38"/>
      <c r="H26" s="38">
        <f>(D26/B26)*100</f>
        <v>34.666666666666671</v>
      </c>
      <c r="I26" s="38"/>
      <c r="J26">
        <v>75</v>
      </c>
    </row>
    <row r="27" spans="1:10" x14ac:dyDescent="0.25">
      <c r="B27">
        <v>45</v>
      </c>
      <c r="C27" s="57">
        <v>45689</v>
      </c>
      <c r="D27" s="38">
        <f>'Data Collection Sheet'!AT$143</f>
        <v>16.100000000000001</v>
      </c>
      <c r="G27" s="38"/>
      <c r="H27" s="38">
        <f>(D27/B27)*100</f>
        <v>35.777777777777779</v>
      </c>
      <c r="I27" s="38"/>
      <c r="J27">
        <v>75</v>
      </c>
    </row>
    <row r="28" spans="1:10" x14ac:dyDescent="0.25">
      <c r="B28">
        <v>45</v>
      </c>
      <c r="C28" s="57">
        <v>45717</v>
      </c>
      <c r="D28" s="38">
        <f>'Data Collection Sheet'!AU$143</f>
        <v>16.5</v>
      </c>
      <c r="G28" s="38"/>
      <c r="H28" s="38">
        <f t="shared" ref="H28:H29" si="8">(D28/B28)*100</f>
        <v>36.666666666666664</v>
      </c>
      <c r="I28" s="38"/>
      <c r="J28">
        <v>75</v>
      </c>
    </row>
    <row r="29" spans="1:10" x14ac:dyDescent="0.25">
      <c r="A29" t="s">
        <v>220</v>
      </c>
      <c r="B29">
        <v>45</v>
      </c>
      <c r="C29" s="57">
        <v>45748</v>
      </c>
      <c r="D29" s="38">
        <f>'Data Collection Sheet'!AV$143</f>
        <v>16.7</v>
      </c>
      <c r="G29" s="38"/>
      <c r="H29" s="38">
        <f t="shared" si="8"/>
        <v>37.111111111111114</v>
      </c>
      <c r="I29" s="38"/>
      <c r="J29">
        <v>75</v>
      </c>
    </row>
    <row r="30" spans="1:10" x14ac:dyDescent="0.25">
      <c r="B30">
        <v>45</v>
      </c>
      <c r="C30" s="57">
        <v>45778</v>
      </c>
      <c r="D30" s="38">
        <f>'Data Collection Sheet'!AW$143</f>
        <v>16.7</v>
      </c>
      <c r="G30" s="38"/>
      <c r="H30" s="38">
        <f t="shared" ref="H30" si="9">(D30/B30)*100</f>
        <v>37.111111111111114</v>
      </c>
      <c r="I30" s="38"/>
      <c r="J30">
        <v>75</v>
      </c>
    </row>
    <row r="31" spans="1:10" x14ac:dyDescent="0.25">
      <c r="B31">
        <v>45</v>
      </c>
      <c r="C31" s="57">
        <v>45809</v>
      </c>
      <c r="D31" s="38">
        <f>'Data Collection Sheet'!AX$143</f>
        <v>16.8</v>
      </c>
      <c r="G31" s="38"/>
      <c r="H31" s="38">
        <f t="shared" ref="H31" si="10">(D31/B31)*100</f>
        <v>37.333333333333336</v>
      </c>
      <c r="I31" s="38"/>
      <c r="J31">
        <v>75</v>
      </c>
    </row>
    <row r="32" spans="1:10" x14ac:dyDescent="0.25">
      <c r="B32">
        <v>45</v>
      </c>
      <c r="C32" s="57">
        <v>45839</v>
      </c>
      <c r="D32" s="38">
        <f>'Data Collection Sheet'!AY$143</f>
        <v>16.899999999999999</v>
      </c>
      <c r="G32" s="38"/>
      <c r="H32" s="38">
        <f t="shared" ref="H32" si="11">(D32/B32)*100</f>
        <v>37.55555555555555</v>
      </c>
      <c r="I32" s="38"/>
      <c r="J32">
        <v>75</v>
      </c>
    </row>
    <row r="33" spans="1:10" x14ac:dyDescent="0.25">
      <c r="B33">
        <v>45</v>
      </c>
      <c r="C33" s="57">
        <v>45870</v>
      </c>
      <c r="D33" s="38">
        <f>'Data Collection Sheet'!AZ$143</f>
        <v>17</v>
      </c>
      <c r="G33" s="38"/>
      <c r="H33" s="38">
        <f t="shared" ref="H33" si="12">(D33/B33)*100</f>
        <v>37.777777777777779</v>
      </c>
      <c r="I33" s="38"/>
      <c r="J33">
        <v>75</v>
      </c>
    </row>
    <row r="34" spans="1:10" x14ac:dyDescent="0.25">
      <c r="A34" t="s">
        <v>210</v>
      </c>
      <c r="B34">
        <v>45</v>
      </c>
      <c r="C34" s="57">
        <v>45901</v>
      </c>
      <c r="D34" s="38">
        <f>'Data Collection Sheet'!BA$143</f>
        <v>17</v>
      </c>
      <c r="G34" s="38"/>
      <c r="H34" s="38">
        <f t="shared" ref="H34" si="13">(D34/B34)*100</f>
        <v>37.777777777777779</v>
      </c>
      <c r="I34" s="38"/>
      <c r="J34">
        <v>75</v>
      </c>
    </row>
    <row r="35" spans="1:10" x14ac:dyDescent="0.25">
      <c r="B35">
        <v>45</v>
      </c>
      <c r="C35" s="57">
        <v>45931</v>
      </c>
      <c r="D35" s="38">
        <f>'Data Collection Sheet'!BB$143</f>
        <v>17.3</v>
      </c>
      <c r="G35" s="38"/>
      <c r="H35" s="38">
        <f t="shared" ref="H35" si="14">(D35/B35)*100</f>
        <v>38.44444444444445</v>
      </c>
      <c r="I35" s="38"/>
      <c r="J35">
        <v>75</v>
      </c>
    </row>
    <row r="36" spans="1:10" x14ac:dyDescent="0.25">
      <c r="B36">
        <v>45</v>
      </c>
      <c r="C36" s="57">
        <v>45962</v>
      </c>
      <c r="D36" s="38">
        <f>'Data Collection Sheet'!BC$143</f>
        <v>17.5</v>
      </c>
      <c r="G36" s="38"/>
      <c r="H36" s="38">
        <f t="shared" ref="H36" si="15">(D36/B36)*100</f>
        <v>38.888888888888893</v>
      </c>
      <c r="I36" s="38"/>
      <c r="J36">
        <v>75</v>
      </c>
    </row>
    <row r="37" spans="1:10" x14ac:dyDescent="0.25">
      <c r="B37">
        <v>45</v>
      </c>
      <c r="C37" s="57">
        <v>45992</v>
      </c>
      <c r="D37" s="38">
        <f>'Data Collection Sheet'!BD$143</f>
        <v>17.5</v>
      </c>
      <c r="G37" s="38"/>
      <c r="H37" s="38">
        <f t="shared" ref="H37:H42" si="16">(D37/B37)*100</f>
        <v>38.888888888888893</v>
      </c>
      <c r="I37" s="38"/>
      <c r="J37">
        <v>75</v>
      </c>
    </row>
    <row r="38" spans="1:10" x14ac:dyDescent="0.25">
      <c r="B38">
        <v>45</v>
      </c>
      <c r="C38" s="57">
        <v>46023</v>
      </c>
      <c r="D38" s="38">
        <f>'Data Collection Sheet'!BE$143</f>
        <v>18.100000000000001</v>
      </c>
      <c r="G38" s="38"/>
      <c r="H38" s="38">
        <f t="shared" si="16"/>
        <v>40.222222222222229</v>
      </c>
      <c r="I38" s="38"/>
      <c r="J38">
        <v>75</v>
      </c>
    </row>
    <row r="39" spans="1:10" x14ac:dyDescent="0.25">
      <c r="B39">
        <v>45</v>
      </c>
      <c r="C39" s="57">
        <v>46054</v>
      </c>
      <c r="D39" s="38">
        <f>'Data Collection Sheet'!BF$143</f>
        <v>19.5</v>
      </c>
      <c r="G39" s="38"/>
      <c r="H39" s="38">
        <f t="shared" si="16"/>
        <v>43.333333333333336</v>
      </c>
      <c r="I39" s="38"/>
      <c r="J39">
        <v>75</v>
      </c>
    </row>
    <row r="40" spans="1:10" x14ac:dyDescent="0.25">
      <c r="B40">
        <v>45</v>
      </c>
      <c r="C40" s="57">
        <v>46082</v>
      </c>
      <c r="D40" s="38">
        <f>'Data Collection Sheet'!BG$143</f>
        <v>20.100000000000001</v>
      </c>
      <c r="G40" s="38"/>
      <c r="H40" s="38">
        <f t="shared" si="16"/>
        <v>44.666666666666671</v>
      </c>
      <c r="I40" s="38"/>
      <c r="J40">
        <v>75</v>
      </c>
    </row>
    <row r="41" spans="1:10" x14ac:dyDescent="0.25">
      <c r="B41">
        <v>45</v>
      </c>
      <c r="C41" s="57">
        <v>46113</v>
      </c>
      <c r="D41" s="38">
        <f>'Data Collection Sheet'!BH$143</f>
        <v>20</v>
      </c>
      <c r="G41" s="38"/>
      <c r="H41" s="38">
        <f t="shared" si="16"/>
        <v>44.444444444444443</v>
      </c>
      <c r="I41" s="38"/>
      <c r="J41">
        <v>75</v>
      </c>
    </row>
    <row r="42" spans="1:10" x14ac:dyDescent="0.25">
      <c r="B42">
        <v>45</v>
      </c>
      <c r="C42" s="57">
        <v>46143</v>
      </c>
      <c r="D42" s="38">
        <f>'Data Collection Sheet'!BI$143</f>
        <v>20.399999999999999</v>
      </c>
      <c r="G42" s="38"/>
      <c r="H42" s="38">
        <f t="shared" si="16"/>
        <v>45.333333333333329</v>
      </c>
      <c r="I42" s="38"/>
      <c r="J42">
        <v>75</v>
      </c>
    </row>
    <row r="43" spans="1:10" x14ac:dyDescent="0.25">
      <c r="B43">
        <v>45</v>
      </c>
      <c r="C43" s="57">
        <v>46174</v>
      </c>
      <c r="D43" s="38">
        <f>'Data Collection Sheet'!BJ$143</f>
        <v>20.7</v>
      </c>
      <c r="G43" s="38"/>
      <c r="H43" s="38">
        <f>(D43/B43)*100</f>
        <v>46</v>
      </c>
      <c r="I43" s="38"/>
      <c r="J43">
        <v>75</v>
      </c>
    </row>
    <row r="44" spans="1:10" x14ac:dyDescent="0.25">
      <c r="B44">
        <v>45</v>
      </c>
      <c r="C44" s="57">
        <v>46204</v>
      </c>
      <c r="D44" s="38">
        <f>'Data Collection Sheet'!BK$143</f>
        <v>19.100000000000001</v>
      </c>
      <c r="G44" s="38"/>
      <c r="H44" s="38">
        <f>(D44/B44)*100</f>
        <v>42.444444444444443</v>
      </c>
      <c r="I44" s="38"/>
      <c r="J44">
        <v>75</v>
      </c>
    </row>
    <row r="45" spans="1:10" x14ac:dyDescent="0.25">
      <c r="B45">
        <v>45</v>
      </c>
      <c r="C45" s="57">
        <v>46235</v>
      </c>
      <c r="D45" s="38">
        <f>'Data Collection Sheet'!BL$143</f>
        <v>20</v>
      </c>
      <c r="F45">
        <v>8.08</v>
      </c>
      <c r="G45" s="38">
        <f>D45</f>
        <v>20</v>
      </c>
      <c r="H45" s="38">
        <f>(D45/B45)*100</f>
        <v>44.444444444444443</v>
      </c>
      <c r="I45" s="38">
        <f t="shared" ref="I45" si="17">(G45/B45)*100</f>
        <v>44.444444444444443</v>
      </c>
      <c r="J45">
        <v>75</v>
      </c>
    </row>
    <row r="46" spans="1:10" x14ac:dyDescent="0.25">
      <c r="B46">
        <v>45</v>
      </c>
      <c r="C46" s="57">
        <v>46266</v>
      </c>
      <c r="F46">
        <v>1.08</v>
      </c>
      <c r="G46" s="38">
        <f t="shared" ref="G46:G68" si="18">G45*(1+(F46^(1/12)-1))+E46</f>
        <v>20.12868060220007</v>
      </c>
      <c r="H46" s="38"/>
      <c r="I46" s="38">
        <f t="shared" ref="I46:I68" si="19">(G46/B46)*100</f>
        <v>44.730401338222379</v>
      </c>
      <c r="J46">
        <v>75</v>
      </c>
    </row>
    <row r="47" spans="1:10" x14ac:dyDescent="0.25">
      <c r="B47">
        <v>45</v>
      </c>
      <c r="C47" s="57">
        <v>46296</v>
      </c>
      <c r="F47">
        <v>1.08</v>
      </c>
      <c r="G47" s="38">
        <f>G46*(1+(F47^(1/12)-1))+E47</f>
        <v>20.258189139269266</v>
      </c>
      <c r="H47" s="38"/>
      <c r="I47" s="38">
        <f t="shared" si="19"/>
        <v>45.018198087265034</v>
      </c>
      <c r="J47">
        <v>75</v>
      </c>
    </row>
    <row r="48" spans="1:10" x14ac:dyDescent="0.25">
      <c r="B48">
        <v>45</v>
      </c>
      <c r="C48" s="57">
        <v>46327</v>
      </c>
      <c r="F48">
        <v>1.08</v>
      </c>
      <c r="G48" s="38">
        <f t="shared" si="18"/>
        <v>20.38853093816547</v>
      </c>
      <c r="H48" s="38"/>
      <c r="I48" s="38">
        <f t="shared" si="19"/>
        <v>45.307846529256601</v>
      </c>
      <c r="J48">
        <v>75</v>
      </c>
    </row>
    <row r="49" spans="2:10" x14ac:dyDescent="0.25">
      <c r="B49">
        <v>45</v>
      </c>
      <c r="C49" s="57">
        <v>46357</v>
      </c>
      <c r="F49">
        <v>1.08</v>
      </c>
      <c r="G49" s="38">
        <f t="shared" si="18"/>
        <v>20.519711360120365</v>
      </c>
      <c r="H49" s="38"/>
      <c r="I49" s="38">
        <f t="shared" si="19"/>
        <v>45.599358578045255</v>
      </c>
      <c r="J49">
        <v>75</v>
      </c>
    </row>
    <row r="50" spans="2:10" x14ac:dyDescent="0.25">
      <c r="B50">
        <v>45</v>
      </c>
      <c r="C50" s="57">
        <v>46388</v>
      </c>
      <c r="D50" s="38"/>
      <c r="F50">
        <v>1.08</v>
      </c>
      <c r="G50" s="38">
        <f t="shared" si="18"/>
        <v>20.65173580085996</v>
      </c>
      <c r="H50" s="38"/>
      <c r="I50" s="38">
        <f t="shared" si="19"/>
        <v>45.892746224133248</v>
      </c>
      <c r="J50">
        <v>75</v>
      </c>
    </row>
    <row r="51" spans="2:10" x14ac:dyDescent="0.25">
      <c r="B51">
        <v>45</v>
      </c>
      <c r="C51" s="57">
        <v>46419</v>
      </c>
      <c r="D51" s="38"/>
      <c r="F51">
        <v>1.08</v>
      </c>
      <c r="G51" s="38">
        <f t="shared" si="18"/>
        <v>20.784609690826528</v>
      </c>
      <c r="H51" s="38"/>
      <c r="I51" s="38">
        <f t="shared" si="19"/>
        <v>46.188021535170066</v>
      </c>
      <c r="J51">
        <v>75</v>
      </c>
    </row>
    <row r="52" spans="2:10" x14ac:dyDescent="0.25">
      <c r="B52">
        <v>45</v>
      </c>
      <c r="C52" s="57">
        <v>46447</v>
      </c>
      <c r="D52" s="38"/>
      <c r="F52">
        <v>1.08</v>
      </c>
      <c r="G52" s="38">
        <f t="shared" si="18"/>
        <v>20.918338495401976</v>
      </c>
      <c r="H52" s="38"/>
      <c r="I52" s="38">
        <f t="shared" si="19"/>
        <v>46.485196656448835</v>
      </c>
      <c r="J52">
        <v>75</v>
      </c>
    </row>
    <row r="53" spans="2:10" x14ac:dyDescent="0.25">
      <c r="B53">
        <v>45</v>
      </c>
      <c r="C53" s="57">
        <v>46478</v>
      </c>
      <c r="D53" s="38"/>
      <c r="F53">
        <v>1.08</v>
      </c>
      <c r="G53" s="38">
        <f t="shared" si="18"/>
        <v>21.052927715132636</v>
      </c>
      <c r="H53" s="38"/>
      <c r="I53" s="38">
        <f t="shared" si="19"/>
        <v>46.784283811405857</v>
      </c>
      <c r="J53">
        <v>75</v>
      </c>
    </row>
    <row r="54" spans="2:10" x14ac:dyDescent="0.25">
      <c r="B54">
        <v>45</v>
      </c>
      <c r="C54" s="57">
        <v>46508</v>
      </c>
      <c r="D54" s="38"/>
      <c r="F54">
        <v>1.08</v>
      </c>
      <c r="G54" s="38">
        <f t="shared" si="18"/>
        <v>21.188382885955527</v>
      </c>
      <c r="H54" s="38"/>
      <c r="I54" s="38">
        <f t="shared" si="19"/>
        <v>47.085295302123392</v>
      </c>
      <c r="J54">
        <v>75</v>
      </c>
    </row>
    <row r="55" spans="2:10" x14ac:dyDescent="0.25">
      <c r="B55">
        <v>45</v>
      </c>
      <c r="C55" s="57">
        <v>46539</v>
      </c>
      <c r="D55" s="38"/>
      <c r="F55">
        <v>1.08</v>
      </c>
      <c r="G55" s="38">
        <f t="shared" si="18"/>
        <v>21.324709579426045</v>
      </c>
      <c r="H55" s="38"/>
      <c r="I55" s="38">
        <f t="shared" si="19"/>
        <v>47.388243509835654</v>
      </c>
      <c r="J55">
        <v>75</v>
      </c>
    </row>
    <row r="56" spans="2:10" x14ac:dyDescent="0.25">
      <c r="B56">
        <v>45</v>
      </c>
      <c r="C56" s="57">
        <v>46569</v>
      </c>
      <c r="F56">
        <v>1.08</v>
      </c>
      <c r="G56" s="38">
        <f t="shared" si="18"/>
        <v>21.46191340294715</v>
      </c>
      <c r="H56" s="38"/>
      <c r="I56" s="38">
        <f t="shared" si="19"/>
        <v>47.693140895438113</v>
      </c>
      <c r="J56">
        <v>75</v>
      </c>
    </row>
    <row r="57" spans="2:10" x14ac:dyDescent="0.25">
      <c r="B57">
        <v>45</v>
      </c>
      <c r="C57" s="57">
        <v>46600</v>
      </c>
      <c r="F57">
        <v>1.08</v>
      </c>
      <c r="G57" s="38">
        <f t="shared" si="18"/>
        <v>21.599999999999998</v>
      </c>
      <c r="H57" s="38"/>
      <c r="I57" s="38">
        <f t="shared" si="19"/>
        <v>47.999999999999993</v>
      </c>
      <c r="J57">
        <v>75</v>
      </c>
    </row>
    <row r="58" spans="2:10" x14ac:dyDescent="0.25">
      <c r="B58">
        <v>45</v>
      </c>
      <c r="C58" s="57">
        <v>46631</v>
      </c>
      <c r="F58">
        <v>1.08</v>
      </c>
      <c r="G58" s="38">
        <f t="shared" si="18"/>
        <v>21.738975050376073</v>
      </c>
      <c r="H58" s="38"/>
      <c r="I58" s="38">
        <f t="shared" si="19"/>
        <v>48.308833445280165</v>
      </c>
      <c r="J58">
        <v>75</v>
      </c>
    </row>
    <row r="59" spans="2:10" x14ac:dyDescent="0.25">
      <c r="B59">
        <v>45</v>
      </c>
      <c r="C59" s="57">
        <v>46661</v>
      </c>
      <c r="F59">
        <v>1.08</v>
      </c>
      <c r="G59" s="38">
        <f t="shared" si="18"/>
        <v>21.878844270410806</v>
      </c>
      <c r="H59" s="38"/>
      <c r="I59" s="38">
        <f t="shared" si="19"/>
        <v>48.619653934246237</v>
      </c>
      <c r="J59">
        <v>75</v>
      </c>
    </row>
    <row r="60" spans="2:10" x14ac:dyDescent="0.25">
      <c r="B60">
        <v>45</v>
      </c>
      <c r="C60" s="57">
        <v>46692</v>
      </c>
      <c r="E60" s="38"/>
      <c r="F60">
        <v>1.08</v>
      </c>
      <c r="G60" s="38">
        <f t="shared" si="18"/>
        <v>22.019613413218703</v>
      </c>
      <c r="H60" s="38"/>
      <c r="I60" s="38">
        <f t="shared" si="19"/>
        <v>48.932474251597121</v>
      </c>
      <c r="J60">
        <v>75</v>
      </c>
    </row>
    <row r="61" spans="2:10" x14ac:dyDescent="0.25">
      <c r="B61">
        <v>45</v>
      </c>
      <c r="C61" s="57">
        <v>46722</v>
      </c>
      <c r="E61" s="38"/>
      <c r="F61">
        <v>1.08</v>
      </c>
      <c r="G61" s="38">
        <f t="shared" si="18"/>
        <v>22.161288268929987</v>
      </c>
      <c r="H61" s="38"/>
      <c r="I61" s="38">
        <f t="shared" si="19"/>
        <v>49.247307264288857</v>
      </c>
      <c r="J61">
        <v>75</v>
      </c>
    </row>
    <row r="62" spans="2:10" x14ac:dyDescent="0.25">
      <c r="B62">
        <v>45</v>
      </c>
      <c r="C62" s="57">
        <v>46753</v>
      </c>
      <c r="E62" s="38"/>
      <c r="F62">
        <v>1.08</v>
      </c>
      <c r="G62" s="38">
        <f t="shared" si="18"/>
        <v>22.303874664928749</v>
      </c>
      <c r="H62" s="38"/>
      <c r="I62" s="38">
        <f t="shared" si="19"/>
        <v>49.564165922063886</v>
      </c>
      <c r="J62">
        <v>75</v>
      </c>
    </row>
    <row r="63" spans="2:10" x14ac:dyDescent="0.25">
      <c r="B63">
        <v>45</v>
      </c>
      <c r="C63" s="57">
        <v>46784</v>
      </c>
      <c r="F63">
        <v>1.08</v>
      </c>
      <c r="G63" s="38">
        <f t="shared" si="18"/>
        <v>22.447378466092644</v>
      </c>
      <c r="H63" s="38"/>
      <c r="I63" s="38">
        <f t="shared" si="19"/>
        <v>49.88306325798365</v>
      </c>
      <c r="J63">
        <v>75</v>
      </c>
    </row>
    <row r="64" spans="2:10" x14ac:dyDescent="0.25">
      <c r="B64">
        <v>45</v>
      </c>
      <c r="C64" s="57">
        <v>46813</v>
      </c>
      <c r="F64">
        <v>1.08</v>
      </c>
      <c r="G64" s="38">
        <f t="shared" si="18"/>
        <v>22.591805575034126</v>
      </c>
      <c r="H64" s="38"/>
      <c r="I64" s="38">
        <f t="shared" si="19"/>
        <v>50.204012388964728</v>
      </c>
      <c r="J64">
        <v>75</v>
      </c>
    </row>
    <row r="65" spans="2:10" x14ac:dyDescent="0.25">
      <c r="B65">
        <v>45</v>
      </c>
      <c r="C65" s="57">
        <v>46844</v>
      </c>
      <c r="F65">
        <v>1.08</v>
      </c>
      <c r="G65" s="38">
        <f t="shared" si="18"/>
        <v>22.737161932343238</v>
      </c>
      <c r="H65" s="38"/>
      <c r="I65" s="38">
        <f t="shared" si="19"/>
        <v>50.527026516318308</v>
      </c>
      <c r="J65">
        <v>75</v>
      </c>
    </row>
    <row r="66" spans="2:10" x14ac:dyDescent="0.25">
      <c r="B66">
        <v>45</v>
      </c>
      <c r="C66" s="57">
        <v>46874</v>
      </c>
      <c r="F66">
        <v>1.08</v>
      </c>
      <c r="G66" s="38">
        <f t="shared" si="18"/>
        <v>22.883453516831956</v>
      </c>
      <c r="H66" s="38"/>
      <c r="I66" s="38">
        <f t="shared" si="19"/>
        <v>50.85211892629323</v>
      </c>
      <c r="J66">
        <v>75</v>
      </c>
    </row>
    <row r="67" spans="2:10" x14ac:dyDescent="0.25">
      <c r="B67">
        <v>45</v>
      </c>
      <c r="C67" s="57">
        <v>46905</v>
      </c>
      <c r="F67">
        <v>1.08</v>
      </c>
      <c r="G67" s="38">
        <f t="shared" si="18"/>
        <v>23.030686345780119</v>
      </c>
      <c r="H67" s="38"/>
      <c r="I67" s="38">
        <f t="shared" si="19"/>
        <v>51.179302990622489</v>
      </c>
      <c r="J67">
        <v>75</v>
      </c>
    </row>
    <row r="68" spans="2:10" x14ac:dyDescent="0.25">
      <c r="B68">
        <v>45</v>
      </c>
      <c r="C68" s="57">
        <v>46935</v>
      </c>
      <c r="F68">
        <v>1.08</v>
      </c>
      <c r="G68" s="38">
        <f t="shared" si="18"/>
        <v>23.178866475182911</v>
      </c>
      <c r="H68" s="38"/>
      <c r="I68" s="38">
        <f t="shared" si="19"/>
        <v>51.508592167073132</v>
      </c>
      <c r="J68">
        <v>75</v>
      </c>
    </row>
    <row r="69" spans="2:10" x14ac:dyDescent="0.25">
      <c r="B69">
        <v>45</v>
      </c>
      <c r="C69" s="57">
        <v>46966</v>
      </c>
      <c r="F69">
        <v>1.08</v>
      </c>
      <c r="G69" s="38">
        <f t="shared" ref="G69:G97" si="20">G68*(1+(F69^(1/12)-1))+E69</f>
        <v>23.327999999999985</v>
      </c>
      <c r="H69" s="38"/>
      <c r="I69" s="38">
        <f t="shared" ref="I69:I97" si="21">(G69/B69)*100</f>
        <v>51.839999999999961</v>
      </c>
      <c r="J69">
        <v>75</v>
      </c>
    </row>
    <row r="70" spans="2:10" x14ac:dyDescent="0.25">
      <c r="B70">
        <v>45</v>
      </c>
      <c r="C70" s="57">
        <v>46997</v>
      </c>
      <c r="F70">
        <v>1.08</v>
      </c>
      <c r="G70" s="38">
        <f t="shared" si="20"/>
        <v>23.478093054406145</v>
      </c>
      <c r="H70" s="38"/>
      <c r="I70" s="38">
        <f t="shared" si="21"/>
        <v>52.173540120902537</v>
      </c>
      <c r="J70">
        <v>75</v>
      </c>
    </row>
    <row r="71" spans="2:10" x14ac:dyDescent="0.25">
      <c r="B71">
        <v>45</v>
      </c>
      <c r="C71" s="57">
        <v>47027</v>
      </c>
      <c r="F71">
        <v>1.08</v>
      </c>
      <c r="G71" s="38">
        <f t="shared" si="20"/>
        <v>23.629151812043656</v>
      </c>
      <c r="H71" s="38"/>
      <c r="I71" s="38">
        <f t="shared" si="21"/>
        <v>52.509226248985897</v>
      </c>
      <c r="J71">
        <v>75</v>
      </c>
    </row>
    <row r="72" spans="2:10" x14ac:dyDescent="0.25">
      <c r="B72">
        <v>45</v>
      </c>
      <c r="C72" s="57">
        <v>47058</v>
      </c>
      <c r="F72">
        <v>1.08</v>
      </c>
      <c r="G72" s="38">
        <f t="shared" si="20"/>
        <v>23.781182486276187</v>
      </c>
      <c r="H72" s="38"/>
      <c r="I72" s="38">
        <f t="shared" si="21"/>
        <v>52.847072191724862</v>
      </c>
      <c r="J72">
        <v>75</v>
      </c>
    </row>
    <row r="73" spans="2:10" x14ac:dyDescent="0.25">
      <c r="B73">
        <v>45</v>
      </c>
      <c r="C73" s="57">
        <v>47088</v>
      </c>
      <c r="F73">
        <v>1.08</v>
      </c>
      <c r="G73" s="38">
        <f t="shared" si="20"/>
        <v>23.934191330444374</v>
      </c>
      <c r="H73" s="38"/>
      <c r="I73" s="38">
        <f t="shared" si="21"/>
        <v>53.187091845431944</v>
      </c>
      <c r="J73">
        <v>75</v>
      </c>
    </row>
    <row r="74" spans="2:10" x14ac:dyDescent="0.25">
      <c r="B74">
        <v>45</v>
      </c>
      <c r="C74" s="57">
        <v>47119</v>
      </c>
      <c r="D74" s="38"/>
      <c r="F74">
        <v>1.08</v>
      </c>
      <c r="G74" s="38">
        <f t="shared" si="20"/>
        <v>24.088184638123035</v>
      </c>
      <c r="H74" s="38"/>
      <c r="I74" s="38">
        <f t="shared" si="21"/>
        <v>53.529299195828969</v>
      </c>
      <c r="J74">
        <v>75</v>
      </c>
    </row>
    <row r="75" spans="2:10" x14ac:dyDescent="0.25">
      <c r="B75">
        <v>45</v>
      </c>
      <c r="C75" s="57">
        <v>47150</v>
      </c>
      <c r="D75" s="38"/>
      <c r="F75">
        <v>1.08</v>
      </c>
      <c r="G75" s="38">
        <f t="shared" si="20"/>
        <v>24.243168743380043</v>
      </c>
      <c r="H75" s="38"/>
      <c r="I75" s="38">
        <f t="shared" si="21"/>
        <v>53.873708318622313</v>
      </c>
      <c r="J75">
        <v>75</v>
      </c>
    </row>
    <row r="76" spans="2:10" x14ac:dyDescent="0.25">
      <c r="B76">
        <v>45</v>
      </c>
      <c r="C76" s="57">
        <v>47178</v>
      </c>
      <c r="D76" s="38"/>
      <c r="F76">
        <v>1.08</v>
      </c>
      <c r="G76" s="38">
        <f t="shared" si="20"/>
        <v>24.399150021036842</v>
      </c>
      <c r="H76" s="38"/>
      <c r="I76" s="38">
        <f t="shared" si="21"/>
        <v>54.220333380081875</v>
      </c>
      <c r="J76">
        <v>75</v>
      </c>
    </row>
    <row r="77" spans="2:10" x14ac:dyDescent="0.25">
      <c r="B77">
        <v>45</v>
      </c>
      <c r="C77" s="57">
        <v>47209</v>
      </c>
      <c r="D77" s="38"/>
      <c r="F77">
        <v>1.08</v>
      </c>
      <c r="G77" s="38">
        <f t="shared" si="20"/>
        <v>24.556134886930685</v>
      </c>
      <c r="H77" s="38"/>
      <c r="I77" s="38">
        <f t="shared" si="21"/>
        <v>54.569188637623746</v>
      </c>
      <c r="J77">
        <v>75</v>
      </c>
    </row>
    <row r="78" spans="2:10" x14ac:dyDescent="0.25">
      <c r="B78">
        <v>45</v>
      </c>
      <c r="C78" s="57">
        <v>47239</v>
      </c>
      <c r="D78" s="38"/>
      <c r="F78">
        <v>1.08</v>
      </c>
      <c r="G78" s="38">
        <f t="shared" si="20"/>
        <v>24.714129798178504</v>
      </c>
      <c r="H78" s="38"/>
      <c r="I78" s="38">
        <f t="shared" si="21"/>
        <v>54.920288440396682</v>
      </c>
      <c r="J78">
        <v>75</v>
      </c>
    </row>
    <row r="79" spans="2:10" x14ac:dyDescent="0.25">
      <c r="B79">
        <v>45</v>
      </c>
      <c r="C79" s="57">
        <v>47270</v>
      </c>
      <c r="D79" s="38"/>
      <c r="F79">
        <v>1.08</v>
      </c>
      <c r="G79" s="38">
        <f t="shared" si="20"/>
        <v>24.873141253442519</v>
      </c>
      <c r="H79" s="38"/>
      <c r="I79" s="38">
        <f t="shared" si="21"/>
        <v>55.273647229872267</v>
      </c>
      <c r="J79">
        <v>75</v>
      </c>
    </row>
    <row r="80" spans="2:10" x14ac:dyDescent="0.25">
      <c r="B80">
        <v>45</v>
      </c>
      <c r="C80" s="57">
        <v>47300</v>
      </c>
      <c r="F80">
        <v>1.08</v>
      </c>
      <c r="G80" s="38">
        <f t="shared" si="20"/>
        <v>25.033175793197536</v>
      </c>
      <c r="H80" s="38"/>
      <c r="I80" s="38">
        <f t="shared" si="21"/>
        <v>55.629279540438972</v>
      </c>
      <c r="J80">
        <v>75</v>
      </c>
    </row>
    <row r="81" spans="2:10" x14ac:dyDescent="0.25">
      <c r="B81">
        <v>45</v>
      </c>
      <c r="C81" s="57">
        <v>47331</v>
      </c>
      <c r="F81">
        <v>1.08</v>
      </c>
      <c r="G81" s="38">
        <f t="shared" si="20"/>
        <v>25.194239999999979</v>
      </c>
      <c r="H81" s="38"/>
      <c r="I81" s="38">
        <f t="shared" si="21"/>
        <v>55.987199999999959</v>
      </c>
      <c r="J81">
        <v>75</v>
      </c>
    </row>
    <row r="82" spans="2:10" x14ac:dyDescent="0.25">
      <c r="B82">
        <v>45</v>
      </c>
      <c r="C82" s="57">
        <v>47362</v>
      </c>
      <c r="F82">
        <v>1.08</v>
      </c>
      <c r="G82" s="38">
        <f t="shared" si="20"/>
        <v>25.35634049875863</v>
      </c>
      <c r="H82" s="38"/>
      <c r="I82" s="38">
        <f t="shared" si="21"/>
        <v>56.347423330574728</v>
      </c>
      <c r="J82">
        <v>75</v>
      </c>
    </row>
    <row r="83" spans="2:10" x14ac:dyDescent="0.25">
      <c r="B83">
        <v>45</v>
      </c>
      <c r="C83" s="57">
        <v>47392</v>
      </c>
      <c r="F83">
        <v>1.08</v>
      </c>
      <c r="G83" s="38">
        <f t="shared" si="20"/>
        <v>25.519483957007143</v>
      </c>
      <c r="H83" s="38"/>
      <c r="I83" s="38">
        <f t="shared" si="21"/>
        <v>56.709964348904762</v>
      </c>
      <c r="J83">
        <v>75</v>
      </c>
    </row>
    <row r="84" spans="2:10" x14ac:dyDescent="0.25">
      <c r="B84">
        <v>45</v>
      </c>
      <c r="C84" s="57">
        <v>47423</v>
      </c>
      <c r="F84">
        <v>1.08</v>
      </c>
      <c r="G84" s="38">
        <f t="shared" si="20"/>
        <v>25.683677085178278</v>
      </c>
      <c r="H84" s="38"/>
      <c r="I84" s="38">
        <f t="shared" si="21"/>
        <v>57.074837967062841</v>
      </c>
      <c r="J84">
        <v>75</v>
      </c>
    </row>
    <row r="85" spans="2:10" x14ac:dyDescent="0.25">
      <c r="B85">
        <v>45</v>
      </c>
      <c r="C85" s="57">
        <v>47453</v>
      </c>
      <c r="F85">
        <v>1.08</v>
      </c>
      <c r="G85" s="38">
        <f t="shared" si="20"/>
        <v>25.84892663687992</v>
      </c>
      <c r="H85" s="38"/>
      <c r="I85" s="38">
        <f t="shared" si="21"/>
        <v>57.442059193066484</v>
      </c>
      <c r="J85">
        <v>75</v>
      </c>
    </row>
    <row r="86" spans="2:10" x14ac:dyDescent="0.25">
      <c r="B86">
        <v>45</v>
      </c>
      <c r="C86" s="57">
        <v>47484</v>
      </c>
      <c r="F86">
        <v>1.08</v>
      </c>
      <c r="G86" s="38">
        <f t="shared" si="20"/>
        <v>26.015239409172874</v>
      </c>
      <c r="H86" s="38"/>
      <c r="I86" s="38">
        <f t="shared" si="21"/>
        <v>57.811643131495273</v>
      </c>
      <c r="J86">
        <v>75</v>
      </c>
    </row>
    <row r="87" spans="2:10" x14ac:dyDescent="0.25">
      <c r="B87">
        <v>45</v>
      </c>
      <c r="C87" s="57">
        <v>47515</v>
      </c>
      <c r="F87">
        <v>1.08</v>
      </c>
      <c r="G87" s="38">
        <f t="shared" si="20"/>
        <v>26.182622242850442</v>
      </c>
      <c r="H87" s="38"/>
      <c r="I87" s="38">
        <f t="shared" si="21"/>
        <v>58.183604984112094</v>
      </c>
      <c r="J87">
        <v>75</v>
      </c>
    </row>
    <row r="88" spans="2:10" x14ac:dyDescent="0.25">
      <c r="B88">
        <v>45</v>
      </c>
      <c r="C88" s="57">
        <v>47543</v>
      </c>
      <c r="F88">
        <v>1.08</v>
      </c>
      <c r="G88" s="38">
        <f t="shared" si="20"/>
        <v>26.351082022719787</v>
      </c>
      <c r="H88" s="38"/>
      <c r="I88" s="38">
        <f t="shared" si="21"/>
        <v>58.557960050488411</v>
      </c>
      <c r="J88">
        <v>75</v>
      </c>
    </row>
    <row r="89" spans="2:10" x14ac:dyDescent="0.25">
      <c r="B89">
        <v>45</v>
      </c>
      <c r="C89" s="57">
        <v>47574</v>
      </c>
      <c r="F89">
        <v>1.08</v>
      </c>
      <c r="G89" s="38">
        <f t="shared" si="20"/>
        <v>26.520625677885135</v>
      </c>
      <c r="H89" s="38"/>
      <c r="I89" s="38">
        <f t="shared" si="21"/>
        <v>58.934723728633628</v>
      </c>
      <c r="J89">
        <v>75</v>
      </c>
    </row>
    <row r="90" spans="2:10" x14ac:dyDescent="0.25">
      <c r="B90">
        <v>45</v>
      </c>
      <c r="C90" s="57">
        <v>47604</v>
      </c>
      <c r="F90">
        <v>1.08</v>
      </c>
      <c r="G90" s="38">
        <f t="shared" si="20"/>
        <v>26.691260182032778</v>
      </c>
      <c r="H90" s="38"/>
      <c r="I90" s="38">
        <f t="shared" si="21"/>
        <v>59.313911515628391</v>
      </c>
      <c r="J90">
        <v>75</v>
      </c>
    </row>
    <row r="91" spans="2:10" x14ac:dyDescent="0.25">
      <c r="B91">
        <v>45</v>
      </c>
      <c r="C91" s="57">
        <v>47635</v>
      </c>
      <c r="F91">
        <v>1.08</v>
      </c>
      <c r="G91" s="38">
        <f t="shared" si="20"/>
        <v>26.862992553717913</v>
      </c>
      <c r="H91" s="38"/>
      <c r="I91" s="38">
        <f t="shared" si="21"/>
        <v>59.695539008262031</v>
      </c>
      <c r="J91">
        <v>75</v>
      </c>
    </row>
    <row r="92" spans="2:10" x14ac:dyDescent="0.25">
      <c r="B92">
        <v>45</v>
      </c>
      <c r="C92" s="57">
        <v>47665</v>
      </c>
      <c r="E92" s="38"/>
      <c r="F92">
        <v>1.08</v>
      </c>
      <c r="G92" s="38">
        <f t="shared" si="20"/>
        <v>27.035829856653333</v>
      </c>
      <c r="H92" s="38"/>
      <c r="I92" s="38">
        <f t="shared" si="21"/>
        <v>60.079621903674074</v>
      </c>
      <c r="J92">
        <v>75</v>
      </c>
    </row>
    <row r="93" spans="2:10" x14ac:dyDescent="0.25">
      <c r="B93">
        <v>45</v>
      </c>
      <c r="C93" s="57">
        <v>47696</v>
      </c>
      <c r="F93">
        <v>1.08</v>
      </c>
      <c r="G93" s="38">
        <f t="shared" si="20"/>
        <v>27.209779199999971</v>
      </c>
      <c r="I93" s="38">
        <f t="shared" si="21"/>
        <v>60.46617599999994</v>
      </c>
      <c r="J93">
        <v>75</v>
      </c>
    </row>
    <row r="94" spans="2:10" x14ac:dyDescent="0.25">
      <c r="B94">
        <v>45</v>
      </c>
      <c r="C94" s="57">
        <v>47727</v>
      </c>
      <c r="F94">
        <v>1.08</v>
      </c>
      <c r="G94" s="38">
        <f t="shared" si="20"/>
        <v>27.384847738659317</v>
      </c>
      <c r="I94" s="38">
        <f t="shared" si="21"/>
        <v>60.855217197020707</v>
      </c>
      <c r="J94">
        <v>75</v>
      </c>
    </row>
    <row r="95" spans="2:10" x14ac:dyDescent="0.25">
      <c r="B95">
        <v>45</v>
      </c>
      <c r="C95" s="57">
        <v>47757</v>
      </c>
      <c r="F95">
        <v>1.08</v>
      </c>
      <c r="G95" s="38">
        <f t="shared" si="20"/>
        <v>27.561042673567712</v>
      </c>
      <c r="I95" s="38">
        <f t="shared" si="21"/>
        <v>61.246761496817136</v>
      </c>
      <c r="J95">
        <v>75</v>
      </c>
    </row>
    <row r="96" spans="2:10" x14ac:dyDescent="0.25">
      <c r="B96">
        <v>45</v>
      </c>
      <c r="C96" s="57">
        <v>47788</v>
      </c>
      <c r="F96">
        <v>1.08</v>
      </c>
      <c r="G96" s="38">
        <f t="shared" si="20"/>
        <v>27.738371251992536</v>
      </c>
      <c r="I96" s="38">
        <f t="shared" si="21"/>
        <v>61.64082500442786</v>
      </c>
      <c r="J96">
        <v>75</v>
      </c>
    </row>
    <row r="97" spans="2:10" x14ac:dyDescent="0.25">
      <c r="B97">
        <v>45</v>
      </c>
      <c r="C97" s="57">
        <v>47818</v>
      </c>
      <c r="F97">
        <v>1.08</v>
      </c>
      <c r="G97" s="38">
        <f t="shared" si="20"/>
        <v>27.916840767830308</v>
      </c>
      <c r="I97" s="38">
        <f t="shared" si="21"/>
        <v>62.037423928511792</v>
      </c>
      <c r="J97">
        <v>75</v>
      </c>
    </row>
    <row r="98" spans="2:10" x14ac:dyDescent="0.25">
      <c r="C98" s="57"/>
      <c r="G98" s="38"/>
      <c r="I98" s="38"/>
    </row>
    <row r="99" spans="2:10" x14ac:dyDescent="0.25">
      <c r="C99" s="57"/>
      <c r="G99" s="38"/>
      <c r="I99" s="38"/>
    </row>
    <row r="100" spans="2:10" x14ac:dyDescent="0.25">
      <c r="C100" s="57"/>
      <c r="G100" s="38"/>
      <c r="I100" s="38"/>
    </row>
    <row r="101" spans="2:10" x14ac:dyDescent="0.25">
      <c r="C101" s="57"/>
      <c r="G101" s="38"/>
      <c r="I101" s="38"/>
    </row>
    <row r="102" spans="2:10" x14ac:dyDescent="0.25">
      <c r="C102" s="57"/>
      <c r="G102" s="38"/>
      <c r="I102" s="38"/>
    </row>
    <row r="103" spans="2:10" x14ac:dyDescent="0.25">
      <c r="C103" s="57"/>
      <c r="G103" s="38"/>
      <c r="I103" s="38"/>
    </row>
    <row r="104" spans="2:10" x14ac:dyDescent="0.25">
      <c r="C104" s="57"/>
      <c r="G104" s="38"/>
      <c r="I104" s="38"/>
    </row>
    <row r="105" spans="2:10" x14ac:dyDescent="0.25">
      <c r="C105" s="57"/>
      <c r="G105" s="38"/>
      <c r="I105" s="38"/>
    </row>
  </sheetData>
  <conditionalFormatting sqref="I2:I105">
    <cfRule type="cellIs" dxfId="18" priority="1" operator="greaterThan">
      <formula>75</formula>
    </cfRule>
  </conditionalFormatting>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4133D-E66A-4AB7-9B37-13FF7C1DBF41}">
  <sheetPr codeName="Sheet8"/>
  <dimension ref="A1:M105"/>
  <sheetViews>
    <sheetView topLeftCell="A10" zoomScale="80" zoomScaleNormal="80" workbookViewId="0">
      <selection activeCell="I44" sqref="I44"/>
    </sheetView>
  </sheetViews>
  <sheetFormatPr defaultRowHeight="15" x14ac:dyDescent="0.25"/>
  <cols>
    <col min="1" max="1" width="39.5703125" customWidth="1"/>
    <col min="2" max="2" width="13.7109375" bestFit="1" customWidth="1"/>
    <col min="5" max="5" width="11.140625" bestFit="1" customWidth="1"/>
    <col min="6" max="6" width="10.7109375" bestFit="1" customWidth="1"/>
    <col min="7" max="7" width="12.42578125" customWidth="1"/>
    <col min="8" max="8" width="10.140625" bestFit="1" customWidth="1"/>
    <col min="9" max="9" width="13.140625" bestFit="1" customWidth="1"/>
    <col min="12" max="12" width="17.7109375" bestFit="1" customWidth="1"/>
    <col min="13" max="13" width="31.7109375" bestFit="1" customWidth="1"/>
    <col min="14" max="14" width="45.7109375" bestFit="1" customWidth="1"/>
  </cols>
  <sheetData>
    <row r="1" spans="1:10" x14ac:dyDescent="0.25">
      <c r="A1" s="61" t="s">
        <v>222</v>
      </c>
      <c r="B1" s="61" t="s">
        <v>119</v>
      </c>
      <c r="C1" s="61" t="s">
        <v>2</v>
      </c>
      <c r="D1" s="61" t="s">
        <v>120</v>
      </c>
      <c r="E1" s="61" t="s">
        <v>121</v>
      </c>
      <c r="F1" s="61" t="s">
        <v>122</v>
      </c>
      <c r="G1" s="61" t="s">
        <v>123</v>
      </c>
      <c r="H1" s="61" t="s">
        <v>124</v>
      </c>
      <c r="I1" s="61" t="s">
        <v>125</v>
      </c>
      <c r="J1" s="61" t="s">
        <v>126</v>
      </c>
    </row>
    <row r="2" spans="1:10" x14ac:dyDescent="0.25">
      <c r="A2" t="s">
        <v>108</v>
      </c>
      <c r="B2">
        <v>22.5</v>
      </c>
      <c r="C2" s="57">
        <v>44927</v>
      </c>
      <c r="D2" s="38">
        <f>'Data Collection Sheet'!U153</f>
        <v>6.6</v>
      </c>
      <c r="E2" s="38"/>
      <c r="F2" s="38"/>
      <c r="G2" s="38"/>
      <c r="H2" s="38">
        <f t="shared" ref="H2:H7" si="0">(D2/B2)*100</f>
        <v>29.333333333333332</v>
      </c>
      <c r="I2" s="38"/>
      <c r="J2">
        <v>75</v>
      </c>
    </row>
    <row r="3" spans="1:10" x14ac:dyDescent="0.25">
      <c r="B3">
        <v>22.5</v>
      </c>
      <c r="C3" s="57">
        <v>44958</v>
      </c>
      <c r="D3" s="38">
        <f>'Data Collection Sheet'!V153</f>
        <v>6.6</v>
      </c>
      <c r="E3" s="38"/>
      <c r="F3" s="38"/>
      <c r="G3" s="38"/>
      <c r="H3" s="38">
        <f t="shared" si="0"/>
        <v>29.333333333333332</v>
      </c>
      <c r="I3" s="38"/>
      <c r="J3">
        <v>75</v>
      </c>
    </row>
    <row r="4" spans="1:10" x14ac:dyDescent="0.25">
      <c r="B4">
        <v>22.5</v>
      </c>
      <c r="C4" s="57">
        <v>44986</v>
      </c>
      <c r="D4" s="38">
        <f>'Data Collection Sheet'!W153</f>
        <v>6.6</v>
      </c>
      <c r="E4" s="38"/>
      <c r="G4" s="38"/>
      <c r="H4" s="38">
        <f t="shared" si="0"/>
        <v>29.333333333333332</v>
      </c>
      <c r="I4" s="38"/>
      <c r="J4">
        <v>75</v>
      </c>
    </row>
    <row r="5" spans="1:10" x14ac:dyDescent="0.25">
      <c r="B5">
        <v>22.5</v>
      </c>
      <c r="C5" s="57">
        <v>45017</v>
      </c>
      <c r="D5" s="38">
        <f>'Data Collection Sheet'!X153</f>
        <v>7.3</v>
      </c>
      <c r="G5" s="38"/>
      <c r="H5" s="38">
        <f t="shared" si="0"/>
        <v>32.444444444444443</v>
      </c>
      <c r="I5" s="38"/>
      <c r="J5">
        <v>75</v>
      </c>
    </row>
    <row r="6" spans="1:10" x14ac:dyDescent="0.25">
      <c r="B6">
        <v>22.5</v>
      </c>
      <c r="C6" s="57">
        <v>45047</v>
      </c>
      <c r="D6" s="38">
        <f>'Data Collection Sheet'!Y153</f>
        <v>6.7</v>
      </c>
      <c r="G6" s="38"/>
      <c r="H6" s="38">
        <f t="shared" si="0"/>
        <v>29.777777777777782</v>
      </c>
      <c r="I6" s="38"/>
      <c r="J6">
        <v>75</v>
      </c>
    </row>
    <row r="7" spans="1:10" x14ac:dyDescent="0.25">
      <c r="B7">
        <v>22.5</v>
      </c>
      <c r="C7" s="57">
        <v>45078</v>
      </c>
      <c r="D7" s="38">
        <f>'Data Collection Sheet'!Z153</f>
        <v>6.6</v>
      </c>
      <c r="G7" s="38"/>
      <c r="H7" s="38">
        <f t="shared" si="0"/>
        <v>29.333333333333332</v>
      </c>
      <c r="I7" s="38"/>
      <c r="J7">
        <v>75</v>
      </c>
    </row>
    <row r="8" spans="1:10" x14ac:dyDescent="0.25">
      <c r="B8">
        <v>22.5</v>
      </c>
      <c r="C8" s="57">
        <v>45108</v>
      </c>
      <c r="D8" s="38">
        <f>'Data Collection Sheet'!AA155</f>
        <v>6.9</v>
      </c>
      <c r="G8" s="38"/>
      <c r="H8" s="38">
        <f t="shared" ref="H8:H13" si="1">(D8/B8)*100</f>
        <v>30.666666666666671</v>
      </c>
      <c r="I8" s="38"/>
      <c r="J8">
        <v>75</v>
      </c>
    </row>
    <row r="9" spans="1:10" x14ac:dyDescent="0.25">
      <c r="B9">
        <v>22.5</v>
      </c>
      <c r="C9" s="57">
        <v>45139</v>
      </c>
      <c r="D9" s="38">
        <f>'Data Collection Sheet'!AB155</f>
        <v>7.7</v>
      </c>
      <c r="G9" s="38"/>
      <c r="H9" s="38">
        <f t="shared" si="1"/>
        <v>34.222222222222221</v>
      </c>
      <c r="I9" s="38"/>
      <c r="J9">
        <v>75</v>
      </c>
    </row>
    <row r="10" spans="1:10" x14ac:dyDescent="0.25">
      <c r="B10">
        <v>22.5</v>
      </c>
      <c r="C10" s="57">
        <v>45170</v>
      </c>
      <c r="D10" s="38">
        <f>'Data Collection Sheet'!AC155</f>
        <v>7.5</v>
      </c>
      <c r="G10" s="38"/>
      <c r="H10" s="38">
        <f t="shared" si="1"/>
        <v>33.333333333333329</v>
      </c>
      <c r="I10" s="38"/>
      <c r="J10">
        <v>75</v>
      </c>
    </row>
    <row r="11" spans="1:10" x14ac:dyDescent="0.25">
      <c r="B11">
        <v>22.5</v>
      </c>
      <c r="C11" s="57">
        <v>45200</v>
      </c>
      <c r="D11" s="38">
        <f>'Data Collection Sheet'!AD155</f>
        <v>7.6</v>
      </c>
      <c r="G11" s="38"/>
      <c r="H11" s="38">
        <f t="shared" si="1"/>
        <v>33.777777777777779</v>
      </c>
      <c r="I11" s="38"/>
      <c r="J11">
        <v>75</v>
      </c>
    </row>
    <row r="12" spans="1:10" x14ac:dyDescent="0.25">
      <c r="B12">
        <v>22.5</v>
      </c>
      <c r="C12" s="57">
        <v>45231</v>
      </c>
      <c r="D12" s="38">
        <f>'Data Collection Sheet'!AE155</f>
        <v>7.6</v>
      </c>
      <c r="G12" s="38"/>
      <c r="H12" s="38">
        <f t="shared" si="1"/>
        <v>33.777777777777779</v>
      </c>
      <c r="I12" s="38"/>
      <c r="J12">
        <v>75</v>
      </c>
    </row>
    <row r="13" spans="1:10" x14ac:dyDescent="0.25">
      <c r="B13">
        <v>22.5</v>
      </c>
      <c r="C13" s="57">
        <v>45261</v>
      </c>
      <c r="D13" s="38">
        <f>'Data Collection Sheet'!AF155</f>
        <v>8.1</v>
      </c>
      <c r="G13" s="38"/>
      <c r="H13" s="38">
        <f t="shared" si="1"/>
        <v>36</v>
      </c>
      <c r="I13" s="38"/>
      <c r="J13">
        <v>75</v>
      </c>
    </row>
    <row r="14" spans="1:10" x14ac:dyDescent="0.25">
      <c r="B14">
        <v>22.5</v>
      </c>
      <c r="C14" s="57">
        <v>45292</v>
      </c>
      <c r="D14" s="38">
        <f>'Data Collection Sheet'!AG155</f>
        <v>7.6</v>
      </c>
      <c r="G14" s="38"/>
      <c r="H14" s="38">
        <f t="shared" ref="H14:H19" si="2">(D14/B14)*100</f>
        <v>33.777777777777779</v>
      </c>
      <c r="I14" s="38"/>
      <c r="J14">
        <v>75</v>
      </c>
    </row>
    <row r="15" spans="1:10" x14ac:dyDescent="0.25">
      <c r="B15">
        <v>22.5</v>
      </c>
      <c r="C15" s="57">
        <v>45323</v>
      </c>
      <c r="D15" s="38">
        <f>'Data Collection Sheet'!AH155</f>
        <v>7.8</v>
      </c>
      <c r="G15" s="38"/>
      <c r="H15" s="38">
        <f t="shared" si="2"/>
        <v>34.666666666666671</v>
      </c>
      <c r="I15" s="38"/>
      <c r="J15">
        <v>75</v>
      </c>
    </row>
    <row r="16" spans="1:10" x14ac:dyDescent="0.25">
      <c r="B16">
        <v>22.5</v>
      </c>
      <c r="C16" s="57">
        <v>45352</v>
      </c>
      <c r="D16" s="38">
        <f>'Data Collection Sheet'!AI155</f>
        <v>7.9</v>
      </c>
      <c r="G16" s="38"/>
      <c r="H16" s="38">
        <f t="shared" si="2"/>
        <v>35.111111111111114</v>
      </c>
      <c r="I16" s="38"/>
      <c r="J16">
        <v>75</v>
      </c>
    </row>
    <row r="17" spans="1:10" x14ac:dyDescent="0.25">
      <c r="B17">
        <v>22.5</v>
      </c>
      <c r="C17" s="57">
        <v>45383</v>
      </c>
      <c r="D17" s="38">
        <f>'Data Collection Sheet'!AJ155</f>
        <v>8</v>
      </c>
      <c r="G17" s="38"/>
      <c r="H17" s="38">
        <f t="shared" si="2"/>
        <v>35.555555555555557</v>
      </c>
      <c r="I17" s="38"/>
      <c r="J17">
        <v>75</v>
      </c>
    </row>
    <row r="18" spans="1:10" x14ac:dyDescent="0.25">
      <c r="B18">
        <v>22.5</v>
      </c>
      <c r="C18" s="57">
        <v>45413</v>
      </c>
      <c r="D18" s="38">
        <f>'Data Collection Sheet'!AK155</f>
        <v>8</v>
      </c>
      <c r="G18" s="38"/>
      <c r="H18" s="38">
        <f t="shared" si="2"/>
        <v>35.555555555555557</v>
      </c>
      <c r="I18" s="38"/>
      <c r="J18">
        <v>75</v>
      </c>
    </row>
    <row r="19" spans="1:10" x14ac:dyDescent="0.25">
      <c r="B19">
        <v>22.5</v>
      </c>
      <c r="C19" s="57">
        <v>45444</v>
      </c>
      <c r="D19" s="38">
        <f>'Data Collection Sheet'!AL155</f>
        <v>7.9</v>
      </c>
      <c r="G19" s="38"/>
      <c r="H19" s="38">
        <f t="shared" si="2"/>
        <v>35.111111111111114</v>
      </c>
      <c r="I19" s="38"/>
      <c r="J19">
        <v>75</v>
      </c>
    </row>
    <row r="20" spans="1:10" x14ac:dyDescent="0.25">
      <c r="B20">
        <v>22.5</v>
      </c>
      <c r="C20" s="57">
        <v>45474</v>
      </c>
      <c r="D20" s="38">
        <f>'Data Collection Sheet'!AM155</f>
        <v>8.1999999999999993</v>
      </c>
      <c r="G20" s="38"/>
      <c r="H20" s="38">
        <f t="shared" ref="H20" si="3">(D20/B20)*100</f>
        <v>36.444444444444443</v>
      </c>
      <c r="I20" s="38"/>
      <c r="J20">
        <v>75</v>
      </c>
    </row>
    <row r="21" spans="1:10" x14ac:dyDescent="0.25">
      <c r="B21">
        <v>22.5</v>
      </c>
      <c r="C21" s="57">
        <v>45505</v>
      </c>
      <c r="D21" s="38">
        <f>'Data Collection Sheet'!AN155</f>
        <v>8.3000000000000007</v>
      </c>
      <c r="G21" s="38"/>
      <c r="H21" s="38">
        <f t="shared" ref="H21" si="4">(D21/B21)*100</f>
        <v>36.888888888888893</v>
      </c>
      <c r="I21" s="38"/>
      <c r="J21">
        <v>75</v>
      </c>
    </row>
    <row r="22" spans="1:10" x14ac:dyDescent="0.25">
      <c r="B22">
        <v>22.5</v>
      </c>
      <c r="C22" s="57">
        <v>45536</v>
      </c>
      <c r="D22" s="38">
        <f>'Data Collection Sheet'!AO155</f>
        <v>8.4</v>
      </c>
      <c r="G22" s="38"/>
      <c r="H22" s="38">
        <f t="shared" ref="H22" si="5">(D22/B22)*100</f>
        <v>37.333333333333336</v>
      </c>
      <c r="I22" s="38"/>
      <c r="J22">
        <v>75</v>
      </c>
    </row>
    <row r="23" spans="1:10" x14ac:dyDescent="0.25">
      <c r="B23">
        <v>22.5</v>
      </c>
      <c r="C23" s="57">
        <v>45566</v>
      </c>
      <c r="D23" s="38">
        <f>'Data Collection Sheet'!AP155</f>
        <v>8.4</v>
      </c>
      <c r="G23" s="38"/>
      <c r="H23" s="38">
        <f t="shared" ref="H23" si="6">(D23/B23)*100</f>
        <v>37.333333333333336</v>
      </c>
      <c r="I23" s="38"/>
      <c r="J23">
        <v>75</v>
      </c>
    </row>
    <row r="24" spans="1:10" x14ac:dyDescent="0.25">
      <c r="B24">
        <v>22.5</v>
      </c>
      <c r="C24" s="57">
        <v>45597</v>
      </c>
      <c r="D24" s="38">
        <f>'Data Collection Sheet'!AQ155</f>
        <v>8.5</v>
      </c>
      <c r="G24" s="38"/>
      <c r="H24" s="38">
        <f t="shared" ref="H24" si="7">(D24/B24)*100</f>
        <v>37.777777777777779</v>
      </c>
      <c r="I24" s="38"/>
      <c r="J24">
        <v>75</v>
      </c>
    </row>
    <row r="25" spans="1:10" x14ac:dyDescent="0.25">
      <c r="B25">
        <v>22.5</v>
      </c>
      <c r="C25" s="57">
        <v>45627</v>
      </c>
      <c r="D25" s="38">
        <f>'Data Collection Sheet'!AR155</f>
        <v>8.5</v>
      </c>
      <c r="G25" s="38"/>
      <c r="H25" s="38">
        <f>(D25/B25)*100</f>
        <v>37.777777777777779</v>
      </c>
      <c r="I25" s="38"/>
      <c r="J25">
        <v>75</v>
      </c>
    </row>
    <row r="26" spans="1:10" x14ac:dyDescent="0.25">
      <c r="B26">
        <v>22.5</v>
      </c>
      <c r="C26" s="57">
        <v>45658</v>
      </c>
      <c r="D26" s="38">
        <f>'Data Collection Sheet'!AS155</f>
        <v>8.6</v>
      </c>
      <c r="G26" s="38"/>
      <c r="H26" s="38">
        <f>(D26/B26)*100</f>
        <v>38.222222222222221</v>
      </c>
      <c r="I26" s="38"/>
      <c r="J26">
        <v>75</v>
      </c>
    </row>
    <row r="27" spans="1:10" x14ac:dyDescent="0.25">
      <c r="B27">
        <v>22.5</v>
      </c>
      <c r="C27" s="57">
        <v>45689</v>
      </c>
      <c r="D27" s="38">
        <f>'Data Collection Sheet'!AT$155</f>
        <v>8.6</v>
      </c>
      <c r="G27" s="38"/>
      <c r="H27" s="38">
        <f>(D27/B27)*100</f>
        <v>38.222222222222221</v>
      </c>
      <c r="I27" s="38"/>
      <c r="J27">
        <v>75</v>
      </c>
    </row>
    <row r="28" spans="1:10" x14ac:dyDescent="0.25">
      <c r="B28">
        <v>22.5</v>
      </c>
      <c r="C28" s="57">
        <v>45717</v>
      </c>
      <c r="D28" s="38">
        <f>'Data Collection Sheet'!AU$155</f>
        <v>8.8000000000000007</v>
      </c>
      <c r="G28" s="38"/>
      <c r="H28" s="38">
        <f t="shared" ref="H28:H29" si="8">(D28/B28)*100</f>
        <v>39.111111111111114</v>
      </c>
      <c r="I28" s="38"/>
      <c r="J28">
        <v>75</v>
      </c>
    </row>
    <row r="29" spans="1:10" x14ac:dyDescent="0.25">
      <c r="A29" t="s">
        <v>220</v>
      </c>
      <c r="B29">
        <v>22.5</v>
      </c>
      <c r="C29" s="57">
        <v>45748</v>
      </c>
      <c r="D29" s="38">
        <f>'Data Collection Sheet'!AV$155</f>
        <v>9.8000000000000007</v>
      </c>
      <c r="G29" s="38"/>
      <c r="H29" s="38">
        <f t="shared" si="8"/>
        <v>43.555555555555557</v>
      </c>
      <c r="I29" s="38"/>
      <c r="J29">
        <v>75</v>
      </c>
    </row>
    <row r="30" spans="1:10" x14ac:dyDescent="0.25">
      <c r="B30">
        <v>22.5</v>
      </c>
      <c r="C30" s="57">
        <v>45778</v>
      </c>
      <c r="D30" s="38">
        <f>'Data Collection Sheet'!AW$155</f>
        <v>9.9</v>
      </c>
      <c r="G30" s="38"/>
      <c r="H30" s="38">
        <f t="shared" ref="H30" si="9">(D30/B30)*100</f>
        <v>44</v>
      </c>
      <c r="I30" s="38"/>
      <c r="J30">
        <v>75</v>
      </c>
    </row>
    <row r="31" spans="1:10" x14ac:dyDescent="0.25">
      <c r="B31">
        <v>22.5</v>
      </c>
      <c r="C31" s="57">
        <v>45809</v>
      </c>
      <c r="D31" s="38">
        <f>'Data Collection Sheet'!AX$155</f>
        <v>9.8000000000000007</v>
      </c>
      <c r="G31" s="38"/>
      <c r="H31" s="38">
        <f t="shared" ref="H31" si="10">(D31/B31)*100</f>
        <v>43.555555555555557</v>
      </c>
      <c r="I31" s="38"/>
      <c r="J31">
        <v>75</v>
      </c>
    </row>
    <row r="32" spans="1:10" x14ac:dyDescent="0.25">
      <c r="B32">
        <v>22.5</v>
      </c>
      <c r="C32" s="57">
        <v>45839</v>
      </c>
      <c r="D32" s="38">
        <f>'Data Collection Sheet'!AY$155</f>
        <v>9</v>
      </c>
      <c r="G32" s="38"/>
      <c r="H32" s="38">
        <f t="shared" ref="H32" si="11">(D32/B32)*100</f>
        <v>40</v>
      </c>
      <c r="I32" s="38"/>
      <c r="J32">
        <v>75</v>
      </c>
    </row>
    <row r="33" spans="1:10" x14ac:dyDescent="0.25">
      <c r="B33">
        <v>22.5</v>
      </c>
      <c r="C33" s="57">
        <v>45870</v>
      </c>
      <c r="D33" s="38">
        <f>'Data Collection Sheet'!AZ$155</f>
        <v>8.9</v>
      </c>
      <c r="G33" s="38"/>
      <c r="H33" s="38">
        <f t="shared" ref="H33" si="12">(D33/B33)*100</f>
        <v>39.555555555555557</v>
      </c>
      <c r="I33" s="38"/>
      <c r="J33">
        <v>75</v>
      </c>
    </row>
    <row r="34" spans="1:10" x14ac:dyDescent="0.25">
      <c r="A34" t="s">
        <v>210</v>
      </c>
      <c r="B34">
        <v>22.5</v>
      </c>
      <c r="C34" s="57">
        <v>45901</v>
      </c>
      <c r="D34" s="38">
        <f>'Data Collection Sheet'!BA$155</f>
        <v>8.8000000000000007</v>
      </c>
      <c r="G34" s="38"/>
      <c r="H34" s="38">
        <f t="shared" ref="H34" si="13">(D34/B34)*100</f>
        <v>39.111111111111114</v>
      </c>
      <c r="I34" s="38"/>
      <c r="J34">
        <v>75</v>
      </c>
    </row>
    <row r="35" spans="1:10" x14ac:dyDescent="0.25">
      <c r="B35">
        <v>22.5</v>
      </c>
      <c r="C35" s="57">
        <v>45931</v>
      </c>
      <c r="D35" s="38">
        <f>'Data Collection Sheet'!BB$155</f>
        <v>9.1</v>
      </c>
      <c r="G35" s="38"/>
      <c r="H35" s="38">
        <f t="shared" ref="H35" si="14">(D35/B35)*100</f>
        <v>40.444444444444443</v>
      </c>
      <c r="I35" s="38"/>
      <c r="J35">
        <v>75</v>
      </c>
    </row>
    <row r="36" spans="1:10" x14ac:dyDescent="0.25">
      <c r="B36">
        <v>22.5</v>
      </c>
      <c r="C36" s="57">
        <v>45962</v>
      </c>
      <c r="D36" s="38">
        <f>'Data Collection Sheet'!BC$155</f>
        <v>9.1</v>
      </c>
      <c r="G36" s="38"/>
      <c r="H36" s="38">
        <f t="shared" ref="H36" si="15">(D36/B36)*100</f>
        <v>40.444444444444443</v>
      </c>
      <c r="I36" s="38"/>
      <c r="J36">
        <v>75</v>
      </c>
    </row>
    <row r="37" spans="1:10" x14ac:dyDescent="0.25">
      <c r="B37">
        <v>22.5</v>
      </c>
      <c r="C37" s="57">
        <v>45992</v>
      </c>
      <c r="D37" s="38">
        <f>'Data Collection Sheet'!BD$155</f>
        <v>9.1999999999999993</v>
      </c>
      <c r="G37" s="38"/>
      <c r="H37" s="38">
        <f t="shared" ref="H37:H42" si="16">(D37/B37)*100</f>
        <v>40.888888888888886</v>
      </c>
      <c r="I37" s="38"/>
      <c r="J37">
        <v>75</v>
      </c>
    </row>
    <row r="38" spans="1:10" x14ac:dyDescent="0.25">
      <c r="B38">
        <v>22.5</v>
      </c>
      <c r="C38" s="57">
        <v>46023</v>
      </c>
      <c r="D38" s="38">
        <f>'Data Collection Sheet'!BE$155</f>
        <v>9.3000000000000007</v>
      </c>
      <c r="G38" s="38"/>
      <c r="H38" s="38">
        <f t="shared" si="16"/>
        <v>41.333333333333336</v>
      </c>
      <c r="I38" s="38"/>
      <c r="J38">
        <v>75</v>
      </c>
    </row>
    <row r="39" spans="1:10" x14ac:dyDescent="0.25">
      <c r="B39">
        <v>22.5</v>
      </c>
      <c r="C39" s="57">
        <v>46054</v>
      </c>
      <c r="D39" s="38">
        <f>'Data Collection Sheet'!BF$155</f>
        <v>9.5</v>
      </c>
      <c r="G39" s="38"/>
      <c r="H39" s="38">
        <f t="shared" si="16"/>
        <v>42.222222222222221</v>
      </c>
      <c r="I39" s="38"/>
      <c r="J39">
        <v>75</v>
      </c>
    </row>
    <row r="40" spans="1:10" x14ac:dyDescent="0.25">
      <c r="B40">
        <v>22.5</v>
      </c>
      <c r="C40" s="57">
        <v>46082</v>
      </c>
      <c r="D40" s="38">
        <f>'Data Collection Sheet'!BG$155</f>
        <v>9.9</v>
      </c>
      <c r="G40" s="38"/>
      <c r="H40" s="38">
        <f t="shared" si="16"/>
        <v>44</v>
      </c>
      <c r="I40" s="38"/>
      <c r="J40">
        <v>75</v>
      </c>
    </row>
    <row r="41" spans="1:10" x14ac:dyDescent="0.25">
      <c r="B41">
        <v>22.5</v>
      </c>
      <c r="C41" s="57">
        <v>46113</v>
      </c>
      <c r="D41" s="38">
        <f>'Data Collection Sheet'!BH$155</f>
        <v>10.1</v>
      </c>
      <c r="G41" s="38"/>
      <c r="H41" s="38">
        <f t="shared" si="16"/>
        <v>44.888888888888886</v>
      </c>
      <c r="I41" s="38"/>
      <c r="J41">
        <v>75</v>
      </c>
    </row>
    <row r="42" spans="1:10" x14ac:dyDescent="0.25">
      <c r="B42">
        <v>22.5</v>
      </c>
      <c r="C42" s="57">
        <v>46143</v>
      </c>
      <c r="D42" s="38">
        <f>'Data Collection Sheet'!BI$155</f>
        <v>10.4</v>
      </c>
      <c r="G42" s="38"/>
      <c r="H42" s="38">
        <f t="shared" si="16"/>
        <v>46.222222222222229</v>
      </c>
      <c r="I42" s="38"/>
      <c r="J42">
        <v>75</v>
      </c>
    </row>
    <row r="43" spans="1:10" x14ac:dyDescent="0.25">
      <c r="B43">
        <v>22.5</v>
      </c>
      <c r="C43" s="57">
        <v>46174</v>
      </c>
      <c r="D43" s="38">
        <f>'Data Collection Sheet'!BJ$155</f>
        <v>10.5</v>
      </c>
      <c r="G43" s="38"/>
      <c r="H43" s="38">
        <f>(D43/B43)*100</f>
        <v>46.666666666666664</v>
      </c>
      <c r="I43" s="38"/>
      <c r="J43">
        <v>75</v>
      </c>
    </row>
    <row r="44" spans="1:10" x14ac:dyDescent="0.25">
      <c r="B44">
        <v>22.5</v>
      </c>
      <c r="C44" s="57">
        <v>46204</v>
      </c>
      <c r="D44" s="38">
        <f>'Data Collection Sheet'!BK$155</f>
        <v>10</v>
      </c>
      <c r="G44" s="38"/>
      <c r="H44" s="38">
        <f>(D44/B44)*100</f>
        <v>44.444444444444443</v>
      </c>
      <c r="I44" s="38"/>
      <c r="J44">
        <v>75</v>
      </c>
    </row>
    <row r="45" spans="1:10" x14ac:dyDescent="0.25">
      <c r="B45">
        <v>22.5</v>
      </c>
      <c r="C45" s="57">
        <v>46235</v>
      </c>
      <c r="D45" s="38">
        <f>'Data Collection Sheet'!BL$155</f>
        <v>10.199999999999999</v>
      </c>
      <c r="F45">
        <v>8.08</v>
      </c>
      <c r="G45" s="38">
        <f>D45</f>
        <v>10.199999999999999</v>
      </c>
      <c r="H45" s="38">
        <f>(D45/B45)*100</f>
        <v>45.333333333333329</v>
      </c>
      <c r="I45" s="38">
        <f t="shared" ref="I45" si="17">(G45/B45)*100</f>
        <v>45.333333333333329</v>
      </c>
      <c r="J45">
        <v>75</v>
      </c>
    </row>
    <row r="46" spans="1:10" x14ac:dyDescent="0.25">
      <c r="B46">
        <v>22.5</v>
      </c>
      <c r="C46" s="57">
        <v>46266</v>
      </c>
      <c r="F46">
        <v>1.08</v>
      </c>
      <c r="G46" s="38">
        <f t="shared" ref="G46:G68" si="18">G45*(1+(F46^(1/12)-1))+E46</f>
        <v>10.265627107122034</v>
      </c>
      <c r="H46" s="38"/>
      <c r="I46" s="38">
        <f t="shared" ref="I46:I68" si="19">(G46/B46)*100</f>
        <v>45.625009364986816</v>
      </c>
      <c r="J46">
        <v>75</v>
      </c>
    </row>
    <row r="47" spans="1:10" x14ac:dyDescent="0.25">
      <c r="B47">
        <v>22.5</v>
      </c>
      <c r="C47" s="57">
        <v>46296</v>
      </c>
      <c r="F47">
        <v>1.08</v>
      </c>
      <c r="G47" s="38">
        <f>G46*(1+(F47^(1/12)-1))+E47</f>
        <v>10.331676461027325</v>
      </c>
      <c r="H47" s="38"/>
      <c r="I47" s="38">
        <f t="shared" si="19"/>
        <v>45.918562049010333</v>
      </c>
      <c r="J47">
        <v>75</v>
      </c>
    </row>
    <row r="48" spans="1:10" x14ac:dyDescent="0.25">
      <c r="B48">
        <v>22.5</v>
      </c>
      <c r="C48" s="57">
        <v>46327</v>
      </c>
      <c r="F48">
        <v>1.08</v>
      </c>
      <c r="G48" s="38">
        <f t="shared" si="18"/>
        <v>10.398150778464387</v>
      </c>
      <c r="H48" s="38"/>
      <c r="I48" s="38">
        <f t="shared" si="19"/>
        <v>46.21400345984172</v>
      </c>
      <c r="J48">
        <v>75</v>
      </c>
    </row>
    <row r="49" spans="2:13" x14ac:dyDescent="0.25">
      <c r="B49">
        <v>22.5</v>
      </c>
      <c r="C49" s="57">
        <v>46357</v>
      </c>
      <c r="F49">
        <v>1.08</v>
      </c>
      <c r="G49" s="38">
        <f t="shared" si="18"/>
        <v>10.465052793661384</v>
      </c>
      <c r="H49" s="38"/>
      <c r="I49" s="38">
        <f t="shared" si="19"/>
        <v>46.51134574960615</v>
      </c>
      <c r="J49">
        <v>75</v>
      </c>
      <c r="M49">
        <f>27*0.7</f>
        <v>18.899999999999999</v>
      </c>
    </row>
    <row r="50" spans="2:13" x14ac:dyDescent="0.25">
      <c r="B50">
        <v>22.5</v>
      </c>
      <c r="C50" s="57">
        <v>46388</v>
      </c>
      <c r="D50" s="38"/>
      <c r="F50">
        <v>1.08</v>
      </c>
      <c r="G50" s="38">
        <f t="shared" si="18"/>
        <v>10.532385258438577</v>
      </c>
      <c r="H50" s="38"/>
      <c r="I50" s="38">
        <f t="shared" si="19"/>
        <v>46.810601148615902</v>
      </c>
      <c r="J50">
        <v>75</v>
      </c>
    </row>
    <row r="51" spans="2:13" x14ac:dyDescent="0.25">
      <c r="B51">
        <v>22.5</v>
      </c>
      <c r="C51" s="57">
        <v>46419</v>
      </c>
      <c r="D51" s="38"/>
      <c r="F51">
        <v>1.08</v>
      </c>
      <c r="G51" s="38">
        <f t="shared" si="18"/>
        <v>10.600150942321527</v>
      </c>
      <c r="H51" s="38"/>
      <c r="I51" s="38">
        <f t="shared" si="19"/>
        <v>47.111781965873448</v>
      </c>
      <c r="J51">
        <v>75</v>
      </c>
    </row>
    <row r="52" spans="2:13" x14ac:dyDescent="0.25">
      <c r="B52">
        <v>22.5</v>
      </c>
      <c r="C52" s="57">
        <v>46447</v>
      </c>
      <c r="D52" s="38"/>
      <c r="F52">
        <v>1.08</v>
      </c>
      <c r="G52" s="38">
        <f t="shared" si="18"/>
        <v>10.668352632655004</v>
      </c>
      <c r="H52" s="38"/>
      <c r="I52" s="38">
        <f t="shared" si="19"/>
        <v>47.414900589577798</v>
      </c>
      <c r="J52">
        <v>75</v>
      </c>
    </row>
    <row r="53" spans="2:13" x14ac:dyDescent="0.25">
      <c r="B53">
        <v>22.5</v>
      </c>
      <c r="C53" s="57">
        <v>46478</v>
      </c>
      <c r="D53" s="38"/>
      <c r="F53">
        <v>1.08</v>
      </c>
      <c r="G53" s="38">
        <f t="shared" si="18"/>
        <v>10.736993134717641</v>
      </c>
      <c r="H53" s="38"/>
      <c r="I53" s="38">
        <f t="shared" si="19"/>
        <v>47.719969487633961</v>
      </c>
      <c r="J53">
        <v>75</v>
      </c>
    </row>
    <row r="54" spans="2:13" x14ac:dyDescent="0.25">
      <c r="B54">
        <v>22.5</v>
      </c>
      <c r="C54" s="57">
        <v>46508</v>
      </c>
      <c r="D54" s="38"/>
      <c r="F54">
        <v>1.08</v>
      </c>
      <c r="G54" s="38">
        <f t="shared" si="18"/>
        <v>10.806075271837315</v>
      </c>
      <c r="H54" s="38"/>
      <c r="I54" s="38">
        <f t="shared" si="19"/>
        <v>48.027001208165842</v>
      </c>
      <c r="J54">
        <v>75</v>
      </c>
    </row>
    <row r="55" spans="2:13" x14ac:dyDescent="0.25">
      <c r="B55">
        <v>22.5</v>
      </c>
      <c r="C55" s="57">
        <v>46539</v>
      </c>
      <c r="D55" s="38"/>
      <c r="F55">
        <v>1.08</v>
      </c>
      <c r="G55" s="38">
        <f t="shared" si="18"/>
        <v>10.87560188550728</v>
      </c>
      <c r="H55" s="38"/>
      <c r="I55" s="38">
        <f t="shared" si="19"/>
        <v>48.336008380032354</v>
      </c>
      <c r="J55">
        <v>75</v>
      </c>
    </row>
    <row r="56" spans="2:13" x14ac:dyDescent="0.25">
      <c r="B56">
        <v>22.5</v>
      </c>
      <c r="C56" s="57">
        <v>46569</v>
      </c>
      <c r="F56">
        <v>1.08</v>
      </c>
      <c r="G56" s="38">
        <f t="shared" si="18"/>
        <v>10.945575835503044</v>
      </c>
      <c r="H56" s="38"/>
      <c r="I56" s="38">
        <f t="shared" si="19"/>
        <v>48.647003713346862</v>
      </c>
      <c r="J56">
        <v>75</v>
      </c>
    </row>
    <row r="57" spans="2:13" x14ac:dyDescent="0.25">
      <c r="B57">
        <v>22.5</v>
      </c>
      <c r="C57" s="57">
        <v>46600</v>
      </c>
      <c r="F57">
        <v>1.08</v>
      </c>
      <c r="G57" s="38">
        <f t="shared" si="18"/>
        <v>11.015999999999996</v>
      </c>
      <c r="H57" s="38"/>
      <c r="I57" s="38">
        <f t="shared" si="19"/>
        <v>48.959999999999987</v>
      </c>
      <c r="J57">
        <v>75</v>
      </c>
    </row>
    <row r="58" spans="2:13" x14ac:dyDescent="0.25">
      <c r="B58">
        <v>22.5</v>
      </c>
      <c r="C58" s="57">
        <v>46631</v>
      </c>
      <c r="F58">
        <v>1.08</v>
      </c>
      <c r="G58" s="38">
        <f t="shared" si="18"/>
        <v>11.086877275691794</v>
      </c>
      <c r="H58" s="38"/>
      <c r="I58" s="38">
        <f t="shared" si="19"/>
        <v>49.275010114185754</v>
      </c>
      <c r="J58">
        <v>75</v>
      </c>
    </row>
    <row r="59" spans="2:13" x14ac:dyDescent="0.25">
      <c r="B59">
        <v>22.5</v>
      </c>
      <c r="C59" s="57">
        <v>46661</v>
      </c>
      <c r="F59">
        <v>1.08</v>
      </c>
      <c r="G59" s="38">
        <f t="shared" si="18"/>
        <v>11.158210577909507</v>
      </c>
      <c r="H59" s="38"/>
      <c r="I59" s="38">
        <f t="shared" si="19"/>
        <v>49.592047012931147</v>
      </c>
      <c r="J59">
        <v>75</v>
      </c>
    </row>
    <row r="60" spans="2:13" x14ac:dyDescent="0.25">
      <c r="B60">
        <v>22.5</v>
      </c>
      <c r="C60" s="57">
        <v>46692</v>
      </c>
      <c r="E60" s="38"/>
      <c r="F60">
        <v>1.08</v>
      </c>
      <c r="G60" s="38">
        <f t="shared" si="18"/>
        <v>11.230002840741536</v>
      </c>
      <c r="H60" s="38"/>
      <c r="I60" s="38">
        <f t="shared" si="19"/>
        <v>49.911123736629051</v>
      </c>
      <c r="J60">
        <v>75</v>
      </c>
    </row>
    <row r="61" spans="2:13" x14ac:dyDescent="0.25">
      <c r="B61">
        <v>22.5</v>
      </c>
      <c r="C61" s="57">
        <v>46722</v>
      </c>
      <c r="E61" s="38"/>
      <c r="F61">
        <v>1.08</v>
      </c>
      <c r="G61" s="38">
        <f t="shared" si="18"/>
        <v>11.302257017154291</v>
      </c>
      <c r="H61" s="38"/>
      <c r="I61" s="38">
        <f t="shared" si="19"/>
        <v>50.232253409574625</v>
      </c>
      <c r="J61">
        <v>75</v>
      </c>
    </row>
    <row r="62" spans="2:13" x14ac:dyDescent="0.25">
      <c r="B62">
        <v>22.5</v>
      </c>
      <c r="C62" s="57">
        <v>46753</v>
      </c>
      <c r="E62" s="38"/>
      <c r="F62">
        <v>1.08</v>
      </c>
      <c r="G62" s="38">
        <f t="shared" si="18"/>
        <v>11.37497607911366</v>
      </c>
      <c r="H62" s="38"/>
      <c r="I62" s="38">
        <f t="shared" si="19"/>
        <v>50.555449240505155</v>
      </c>
      <c r="J62">
        <v>75</v>
      </c>
    </row>
    <row r="63" spans="2:13" x14ac:dyDescent="0.25">
      <c r="B63">
        <v>22.5</v>
      </c>
      <c r="C63" s="57">
        <v>46784</v>
      </c>
      <c r="F63">
        <v>1.08</v>
      </c>
      <c r="G63" s="38">
        <f t="shared" si="18"/>
        <v>11.448163017707246</v>
      </c>
      <c r="H63" s="38"/>
      <c r="I63" s="38">
        <f t="shared" si="19"/>
        <v>50.880724523143314</v>
      </c>
      <c r="J63">
        <v>75</v>
      </c>
    </row>
    <row r="64" spans="2:13" x14ac:dyDescent="0.25">
      <c r="B64">
        <v>22.5</v>
      </c>
      <c r="C64" s="57">
        <v>46813</v>
      </c>
      <c r="F64">
        <v>1.08</v>
      </c>
      <c r="G64" s="38">
        <f t="shared" si="18"/>
        <v>11.521820843267403</v>
      </c>
      <c r="H64" s="38"/>
      <c r="I64" s="38">
        <f t="shared" si="19"/>
        <v>51.208092636744006</v>
      </c>
      <c r="J64">
        <v>75</v>
      </c>
    </row>
    <row r="65" spans="2:10" x14ac:dyDescent="0.25">
      <c r="B65">
        <v>22.5</v>
      </c>
      <c r="C65" s="57">
        <v>46844</v>
      </c>
      <c r="F65">
        <v>1.08</v>
      </c>
      <c r="G65" s="38">
        <f t="shared" si="18"/>
        <v>11.59595258549505</v>
      </c>
      <c r="H65" s="38"/>
      <c r="I65" s="38">
        <f t="shared" si="19"/>
        <v>51.537567046644675</v>
      </c>
      <c r="J65">
        <v>75</v>
      </c>
    </row>
    <row r="66" spans="2:10" x14ac:dyDescent="0.25">
      <c r="B66">
        <v>22.5</v>
      </c>
      <c r="C66" s="57">
        <v>46874</v>
      </c>
      <c r="F66">
        <v>1.08</v>
      </c>
      <c r="G66" s="38">
        <f t="shared" si="18"/>
        <v>11.670561293584298</v>
      </c>
      <c r="H66" s="38"/>
      <c r="I66" s="38">
        <f t="shared" si="19"/>
        <v>51.869161304819102</v>
      </c>
      <c r="J66">
        <v>75</v>
      </c>
    </row>
    <row r="67" spans="2:10" x14ac:dyDescent="0.25">
      <c r="B67">
        <v>22.5</v>
      </c>
      <c r="C67" s="57">
        <v>46905</v>
      </c>
      <c r="F67">
        <v>1.08</v>
      </c>
      <c r="G67" s="38">
        <f t="shared" si="18"/>
        <v>11.745650036347859</v>
      </c>
      <c r="H67" s="38"/>
      <c r="I67" s="38">
        <f t="shared" si="19"/>
        <v>52.202889050434933</v>
      </c>
      <c r="J67">
        <v>75</v>
      </c>
    </row>
    <row r="68" spans="2:10" x14ac:dyDescent="0.25">
      <c r="B68">
        <v>22.5</v>
      </c>
      <c r="C68" s="57">
        <v>46935</v>
      </c>
      <c r="F68">
        <v>1.08</v>
      </c>
      <c r="G68" s="38">
        <f t="shared" si="18"/>
        <v>11.821221902343284</v>
      </c>
      <c r="H68" s="38"/>
      <c r="I68" s="38">
        <f t="shared" si="19"/>
        <v>52.538764010414596</v>
      </c>
      <c r="J68">
        <v>75</v>
      </c>
    </row>
    <row r="69" spans="2:10" x14ac:dyDescent="0.25">
      <c r="B69">
        <v>22.5</v>
      </c>
      <c r="C69" s="57">
        <v>46966</v>
      </c>
      <c r="F69">
        <v>1.08</v>
      </c>
      <c r="G69" s="38">
        <f t="shared" ref="G69:G97" si="20">G68*(1+(F69^(1/12)-1))+E69</f>
        <v>11.897279999999993</v>
      </c>
      <c r="H69" s="38"/>
      <c r="I69" s="38">
        <f t="shared" ref="I69:I97" si="21">(G69/B69)*100</f>
        <v>52.876799999999967</v>
      </c>
      <c r="J69">
        <v>75</v>
      </c>
    </row>
    <row r="70" spans="2:10" x14ac:dyDescent="0.25">
      <c r="B70">
        <v>22.5</v>
      </c>
      <c r="C70" s="57">
        <v>46997</v>
      </c>
      <c r="F70">
        <v>1.08</v>
      </c>
      <c r="G70" s="38">
        <f t="shared" si="20"/>
        <v>11.973827457747134</v>
      </c>
      <c r="H70" s="38"/>
      <c r="I70" s="38">
        <f t="shared" si="21"/>
        <v>53.217010923320593</v>
      </c>
      <c r="J70">
        <v>75</v>
      </c>
    </row>
    <row r="71" spans="2:10" x14ac:dyDescent="0.25">
      <c r="B71">
        <v>22.5</v>
      </c>
      <c r="C71" s="57">
        <v>47027</v>
      </c>
      <c r="F71">
        <v>1.08</v>
      </c>
      <c r="G71" s="38">
        <f t="shared" si="20"/>
        <v>12.050867424142265</v>
      </c>
      <c r="H71" s="38"/>
      <c r="I71" s="38">
        <f t="shared" si="21"/>
        <v>53.559410773965624</v>
      </c>
      <c r="J71">
        <v>75</v>
      </c>
    </row>
    <row r="72" spans="2:10" x14ac:dyDescent="0.25">
      <c r="B72">
        <v>22.5</v>
      </c>
      <c r="C72" s="57">
        <v>47058</v>
      </c>
      <c r="F72">
        <v>1.08</v>
      </c>
      <c r="G72" s="38">
        <f t="shared" si="20"/>
        <v>12.128403068000855</v>
      </c>
      <c r="H72" s="38"/>
      <c r="I72" s="38">
        <f t="shared" si="21"/>
        <v>53.904013635559359</v>
      </c>
      <c r="J72">
        <v>75</v>
      </c>
    </row>
    <row r="73" spans="2:10" x14ac:dyDescent="0.25">
      <c r="B73">
        <v>22.5</v>
      </c>
      <c r="C73" s="57">
        <v>47088</v>
      </c>
      <c r="F73">
        <v>1.08</v>
      </c>
      <c r="G73" s="38">
        <f t="shared" si="20"/>
        <v>12.20643757852663</v>
      </c>
      <c r="H73" s="38"/>
      <c r="I73" s="38">
        <f t="shared" si="21"/>
        <v>54.250833682340584</v>
      </c>
      <c r="J73">
        <v>75</v>
      </c>
    </row>
    <row r="74" spans="2:10" x14ac:dyDescent="0.25">
      <c r="B74">
        <v>22.5</v>
      </c>
      <c r="C74" s="57">
        <v>47119</v>
      </c>
      <c r="D74" s="38"/>
      <c r="F74">
        <v>1.08</v>
      </c>
      <c r="G74" s="38">
        <f t="shared" si="20"/>
        <v>12.284974165442748</v>
      </c>
      <c r="H74" s="38"/>
      <c r="I74" s="38">
        <f t="shared" si="21"/>
        <v>54.599885179745542</v>
      </c>
      <c r="J74">
        <v>75</v>
      </c>
    </row>
    <row r="75" spans="2:10" x14ac:dyDescent="0.25">
      <c r="B75">
        <v>22.5</v>
      </c>
      <c r="C75" s="57">
        <v>47150</v>
      </c>
      <c r="D75" s="38"/>
      <c r="F75">
        <v>1.08</v>
      </c>
      <c r="G75" s="38">
        <f t="shared" si="20"/>
        <v>12.36401605912382</v>
      </c>
      <c r="H75" s="38"/>
      <c r="I75" s="38">
        <f t="shared" si="21"/>
        <v>54.951182484994753</v>
      </c>
      <c r="J75">
        <v>75</v>
      </c>
    </row>
    <row r="76" spans="2:10" x14ac:dyDescent="0.25">
      <c r="B76">
        <v>22.5</v>
      </c>
      <c r="C76" s="57">
        <v>47178</v>
      </c>
      <c r="D76" s="38"/>
      <c r="F76">
        <v>1.08</v>
      </c>
      <c r="G76" s="38">
        <f t="shared" si="20"/>
        <v>12.443566510728788</v>
      </c>
      <c r="H76" s="38"/>
      <c r="I76" s="38">
        <f t="shared" si="21"/>
        <v>55.304740047683495</v>
      </c>
      <c r="J76">
        <v>75</v>
      </c>
    </row>
    <row r="77" spans="2:10" x14ac:dyDescent="0.25">
      <c r="B77">
        <v>22.5</v>
      </c>
      <c r="C77" s="57">
        <v>47209</v>
      </c>
      <c r="D77" s="38"/>
      <c r="F77">
        <v>1.08</v>
      </c>
      <c r="G77" s="38">
        <f t="shared" si="20"/>
        <v>12.523628792334646</v>
      </c>
      <c r="H77" s="38"/>
      <c r="I77" s="38">
        <f t="shared" si="21"/>
        <v>55.660572410376204</v>
      </c>
      <c r="J77">
        <v>75</v>
      </c>
    </row>
    <row r="78" spans="2:10" x14ac:dyDescent="0.25">
      <c r="B78">
        <v>22.5</v>
      </c>
      <c r="C78" s="57">
        <v>47239</v>
      </c>
      <c r="D78" s="38"/>
      <c r="F78">
        <v>1.08</v>
      </c>
      <c r="G78" s="38">
        <f t="shared" si="20"/>
        <v>12.604206197071033</v>
      </c>
      <c r="H78" s="38"/>
      <c r="I78" s="38">
        <f t="shared" si="21"/>
        <v>56.01869420920459</v>
      </c>
      <c r="J78">
        <v>75</v>
      </c>
    </row>
    <row r="79" spans="2:10" x14ac:dyDescent="0.25">
      <c r="B79">
        <v>22.5</v>
      </c>
      <c r="C79" s="57">
        <v>47270</v>
      </c>
      <c r="D79" s="38"/>
      <c r="F79">
        <v>1.08</v>
      </c>
      <c r="G79" s="38">
        <f t="shared" si="20"/>
        <v>12.68530203925568</v>
      </c>
      <c r="H79" s="38"/>
      <c r="I79" s="38">
        <f t="shared" si="21"/>
        <v>56.379120174469691</v>
      </c>
      <c r="J79">
        <v>75</v>
      </c>
    </row>
    <row r="80" spans="2:10" x14ac:dyDescent="0.25">
      <c r="B80">
        <v>22.5</v>
      </c>
      <c r="C80" s="57">
        <v>47300</v>
      </c>
      <c r="F80">
        <v>1.08</v>
      </c>
      <c r="G80" s="38">
        <f t="shared" si="20"/>
        <v>12.766919654530739</v>
      </c>
      <c r="H80" s="38"/>
      <c r="I80" s="38">
        <f t="shared" si="21"/>
        <v>56.741865131247728</v>
      </c>
      <c r="J80">
        <v>75</v>
      </c>
    </row>
    <row r="81" spans="2:10" x14ac:dyDescent="0.25">
      <c r="B81">
        <v>22.5</v>
      </c>
      <c r="C81" s="57">
        <v>47331</v>
      </c>
      <c r="F81">
        <v>1.08</v>
      </c>
      <c r="G81" s="38">
        <f t="shared" si="20"/>
        <v>12.849062399999983</v>
      </c>
      <c r="H81" s="38"/>
      <c r="I81" s="38">
        <f t="shared" si="21"/>
        <v>57.106943999999928</v>
      </c>
      <c r="J81">
        <v>75</v>
      </c>
    </row>
    <row r="82" spans="2:10" x14ac:dyDescent="0.25">
      <c r="B82">
        <v>22.5</v>
      </c>
      <c r="C82" s="57">
        <v>47362</v>
      </c>
      <c r="F82">
        <v>1.08</v>
      </c>
      <c r="G82" s="38">
        <f t="shared" si="20"/>
        <v>12.931733654366896</v>
      </c>
      <c r="H82" s="38"/>
      <c r="I82" s="38">
        <f t="shared" si="21"/>
        <v>57.474371797186208</v>
      </c>
      <c r="J82">
        <v>75</v>
      </c>
    </row>
    <row r="83" spans="2:10" x14ac:dyDescent="0.25">
      <c r="B83">
        <v>22.5</v>
      </c>
      <c r="C83" s="57">
        <v>47392</v>
      </c>
      <c r="F83">
        <v>1.08</v>
      </c>
      <c r="G83" s="38">
        <f t="shared" si="20"/>
        <v>13.014936818073638</v>
      </c>
      <c r="H83" s="38"/>
      <c r="I83" s="38">
        <f t="shared" si="21"/>
        <v>57.844163635882836</v>
      </c>
      <c r="J83">
        <v>75</v>
      </c>
    </row>
    <row r="84" spans="2:10" x14ac:dyDescent="0.25">
      <c r="B84">
        <v>22.5</v>
      </c>
      <c r="C84" s="57">
        <v>47423</v>
      </c>
      <c r="F84">
        <v>1.08</v>
      </c>
      <c r="G84" s="38">
        <f t="shared" si="20"/>
        <v>13.098675313440916</v>
      </c>
      <c r="H84" s="38"/>
      <c r="I84" s="38">
        <f t="shared" si="21"/>
        <v>58.216334726404071</v>
      </c>
      <c r="J84">
        <v>75</v>
      </c>
    </row>
    <row r="85" spans="2:10" x14ac:dyDescent="0.25">
      <c r="B85">
        <v>22.5</v>
      </c>
      <c r="C85" s="57">
        <v>47453</v>
      </c>
      <c r="F85">
        <v>1.08</v>
      </c>
      <c r="G85" s="38">
        <f t="shared" si="20"/>
        <v>13.182952584808753</v>
      </c>
      <c r="H85" s="38"/>
      <c r="I85" s="38">
        <f t="shared" si="21"/>
        <v>58.590900376927792</v>
      </c>
      <c r="J85">
        <v>75</v>
      </c>
    </row>
    <row r="86" spans="2:10" x14ac:dyDescent="0.25">
      <c r="B86">
        <v>22.5</v>
      </c>
      <c r="C86" s="57">
        <v>47484</v>
      </c>
      <c r="F86">
        <v>1.08</v>
      </c>
      <c r="G86" s="38">
        <f t="shared" si="20"/>
        <v>13.26777209867816</v>
      </c>
      <c r="H86" s="38"/>
      <c r="I86" s="38">
        <f t="shared" si="21"/>
        <v>58.967875994125151</v>
      </c>
      <c r="J86">
        <v>75</v>
      </c>
    </row>
    <row r="87" spans="2:10" x14ac:dyDescent="0.25">
      <c r="B87">
        <v>22.5</v>
      </c>
      <c r="C87" s="57">
        <v>47515</v>
      </c>
      <c r="F87">
        <v>1.08</v>
      </c>
      <c r="G87" s="38">
        <f t="shared" si="20"/>
        <v>13.353137343853719</v>
      </c>
      <c r="H87" s="38"/>
      <c r="I87" s="38">
        <f t="shared" si="21"/>
        <v>59.347277083794303</v>
      </c>
      <c r="J87">
        <v>75</v>
      </c>
    </row>
    <row r="88" spans="2:10" x14ac:dyDescent="0.25">
      <c r="B88">
        <v>22.5</v>
      </c>
      <c r="C88" s="57">
        <v>47543</v>
      </c>
      <c r="F88">
        <v>1.08</v>
      </c>
      <c r="G88" s="38">
        <f t="shared" si="20"/>
        <v>13.439051831587085</v>
      </c>
      <c r="H88" s="38"/>
      <c r="I88" s="38">
        <f t="shared" si="21"/>
        <v>59.729119251498155</v>
      </c>
      <c r="J88">
        <v>75</v>
      </c>
    </row>
    <row r="89" spans="2:10" x14ac:dyDescent="0.25">
      <c r="B89">
        <v>22.5</v>
      </c>
      <c r="C89" s="57">
        <v>47574</v>
      </c>
      <c r="F89">
        <v>1.08</v>
      </c>
      <c r="G89" s="38">
        <f t="shared" si="20"/>
        <v>13.525519095721412</v>
      </c>
      <c r="H89" s="38"/>
      <c r="I89" s="38">
        <f t="shared" si="21"/>
        <v>60.11341820320628</v>
      </c>
      <c r="J89">
        <v>75</v>
      </c>
    </row>
    <row r="90" spans="2:10" x14ac:dyDescent="0.25">
      <c r="B90">
        <v>22.5</v>
      </c>
      <c r="C90" s="57">
        <v>47604</v>
      </c>
      <c r="F90">
        <v>1.08</v>
      </c>
      <c r="G90" s="38">
        <f t="shared" si="20"/>
        <v>13.61254269283671</v>
      </c>
      <c r="H90" s="38"/>
      <c r="I90" s="38">
        <f t="shared" si="21"/>
        <v>60.500189745940936</v>
      </c>
      <c r="J90">
        <v>75</v>
      </c>
    </row>
    <row r="91" spans="2:10" x14ac:dyDescent="0.25">
      <c r="B91">
        <v>22.5</v>
      </c>
      <c r="C91" s="57">
        <v>47635</v>
      </c>
      <c r="F91">
        <v>1.08</v>
      </c>
      <c r="G91" s="38">
        <f t="shared" si="20"/>
        <v>13.700126202396129</v>
      </c>
      <c r="H91" s="38"/>
      <c r="I91" s="38">
        <f t="shared" si="21"/>
        <v>60.889449788427243</v>
      </c>
      <c r="J91">
        <v>75</v>
      </c>
    </row>
    <row r="92" spans="2:10" x14ac:dyDescent="0.25">
      <c r="B92">
        <v>22.5</v>
      </c>
      <c r="C92" s="57">
        <v>47665</v>
      </c>
      <c r="E92" s="38"/>
      <c r="F92">
        <v>1.08</v>
      </c>
      <c r="G92" s="38">
        <f t="shared" si="20"/>
        <v>13.788273226893192</v>
      </c>
      <c r="H92" s="38"/>
      <c r="I92" s="38">
        <f t="shared" si="21"/>
        <v>61.281214341747528</v>
      </c>
      <c r="J92">
        <v>75</v>
      </c>
    </row>
    <row r="93" spans="2:10" x14ac:dyDescent="0.25">
      <c r="B93">
        <v>22.5</v>
      </c>
      <c r="C93" s="57">
        <v>47696</v>
      </c>
      <c r="F93">
        <v>1.08</v>
      </c>
      <c r="G93" s="38">
        <f t="shared" si="20"/>
        <v>13.876987391999977</v>
      </c>
      <c r="I93" s="38">
        <f t="shared" si="21"/>
        <v>61.675499519999896</v>
      </c>
      <c r="J93">
        <v>75</v>
      </c>
    </row>
    <row r="94" spans="2:10" x14ac:dyDescent="0.25">
      <c r="B94">
        <v>22.5</v>
      </c>
      <c r="C94" s="57">
        <v>47727</v>
      </c>
      <c r="F94">
        <v>1.08</v>
      </c>
      <c r="G94" s="38">
        <f t="shared" si="20"/>
        <v>13.966272346716243</v>
      </c>
      <c r="I94" s="38">
        <f t="shared" si="21"/>
        <v>62.072321540961084</v>
      </c>
      <c r="J94">
        <v>75</v>
      </c>
    </row>
    <row r="95" spans="2:10" x14ac:dyDescent="0.25">
      <c r="B95">
        <v>22.5</v>
      </c>
      <c r="C95" s="57">
        <v>47757</v>
      </c>
      <c r="F95">
        <v>1.08</v>
      </c>
      <c r="G95" s="38">
        <f t="shared" si="20"/>
        <v>14.056131763519524</v>
      </c>
      <c r="I95" s="38">
        <f t="shared" si="21"/>
        <v>62.471696726753436</v>
      </c>
      <c r="J95">
        <v>75</v>
      </c>
    </row>
    <row r="96" spans="2:10" x14ac:dyDescent="0.25">
      <c r="B96">
        <v>22.5</v>
      </c>
      <c r="C96" s="57">
        <v>47788</v>
      </c>
      <c r="F96">
        <v>1.08</v>
      </c>
      <c r="G96" s="38">
        <f t="shared" si="20"/>
        <v>14.146569338516183</v>
      </c>
      <c r="I96" s="38">
        <f t="shared" si="21"/>
        <v>62.873641504516378</v>
      </c>
      <c r="J96">
        <v>75</v>
      </c>
    </row>
    <row r="97" spans="2:10" x14ac:dyDescent="0.25">
      <c r="B97">
        <v>22.5</v>
      </c>
      <c r="C97" s="57">
        <v>47818</v>
      </c>
      <c r="F97">
        <v>1.08</v>
      </c>
      <c r="G97" s="38">
        <f t="shared" si="20"/>
        <v>14.237588791593447</v>
      </c>
      <c r="I97" s="38">
        <f t="shared" si="21"/>
        <v>63.278172407081989</v>
      </c>
      <c r="J97">
        <v>75</v>
      </c>
    </row>
    <row r="98" spans="2:10" x14ac:dyDescent="0.25">
      <c r="C98" s="57"/>
      <c r="G98" s="38"/>
      <c r="I98" s="38"/>
    </row>
    <row r="99" spans="2:10" x14ac:dyDescent="0.25">
      <c r="C99" s="57"/>
      <c r="G99" s="38"/>
      <c r="I99" s="38"/>
    </row>
    <row r="100" spans="2:10" x14ac:dyDescent="0.25">
      <c r="C100" s="57"/>
      <c r="G100" s="38"/>
      <c r="I100" s="38"/>
    </row>
    <row r="101" spans="2:10" x14ac:dyDescent="0.25">
      <c r="C101" s="57"/>
      <c r="G101" s="38"/>
      <c r="I101" s="38"/>
    </row>
    <row r="102" spans="2:10" x14ac:dyDescent="0.25">
      <c r="C102" s="57"/>
      <c r="G102" s="38"/>
      <c r="I102" s="38"/>
    </row>
    <row r="103" spans="2:10" x14ac:dyDescent="0.25">
      <c r="C103" s="57"/>
      <c r="G103" s="38"/>
      <c r="I103" s="38"/>
    </row>
    <row r="104" spans="2:10" x14ac:dyDescent="0.25">
      <c r="C104" s="57"/>
      <c r="G104" s="38"/>
      <c r="I104" s="38"/>
    </row>
    <row r="105" spans="2:10" x14ac:dyDescent="0.25">
      <c r="C105" s="57"/>
      <c r="G105" s="38"/>
      <c r="I105" s="38"/>
    </row>
  </sheetData>
  <conditionalFormatting sqref="I2:I105">
    <cfRule type="cellIs" dxfId="17" priority="1" operator="greaterThan">
      <formula>75</formula>
    </cfRule>
  </conditionalFormatting>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410897-8009-4466-95DC-2980BD25FEF8}">
  <sheetPr codeName="Sheet9"/>
  <dimension ref="A1:J105"/>
  <sheetViews>
    <sheetView topLeftCell="A28" zoomScale="81" zoomScaleNormal="80" workbookViewId="0">
      <selection activeCell="I44" sqref="I44"/>
    </sheetView>
  </sheetViews>
  <sheetFormatPr defaultRowHeight="15" x14ac:dyDescent="0.25"/>
  <cols>
    <col min="1" max="1" width="39.5703125" customWidth="1"/>
    <col min="2" max="2" width="13.7109375" bestFit="1" customWidth="1"/>
    <col min="5" max="5" width="11.140625" bestFit="1" customWidth="1"/>
    <col min="6" max="6" width="10.7109375" bestFit="1" customWidth="1"/>
    <col min="7" max="7" width="12.42578125" customWidth="1"/>
    <col min="8" max="8" width="10.140625" bestFit="1" customWidth="1"/>
    <col min="9" max="9" width="13.140625" bestFit="1" customWidth="1"/>
    <col min="12" max="12" width="17.7109375" bestFit="1" customWidth="1"/>
    <col min="13" max="13" width="31.7109375" bestFit="1" customWidth="1"/>
    <col min="14" max="14" width="45.7109375" bestFit="1" customWidth="1"/>
  </cols>
  <sheetData>
    <row r="1" spans="1:10" x14ac:dyDescent="0.25">
      <c r="A1" s="61" t="s">
        <v>223</v>
      </c>
      <c r="B1" s="61" t="s">
        <v>119</v>
      </c>
      <c r="C1" s="61" t="s">
        <v>2</v>
      </c>
      <c r="D1" s="61" t="s">
        <v>120</v>
      </c>
      <c r="E1" s="61" t="s">
        <v>121</v>
      </c>
      <c r="F1" s="61" t="s">
        <v>122</v>
      </c>
      <c r="G1" s="61" t="s">
        <v>123</v>
      </c>
      <c r="H1" s="61" t="s">
        <v>124</v>
      </c>
      <c r="I1" s="61" t="s">
        <v>125</v>
      </c>
      <c r="J1" s="61" t="s">
        <v>126</v>
      </c>
    </row>
    <row r="2" spans="1:10" x14ac:dyDescent="0.25">
      <c r="A2" t="s">
        <v>108</v>
      </c>
      <c r="B2">
        <v>28.9</v>
      </c>
      <c r="C2" s="57">
        <v>44927</v>
      </c>
      <c r="D2" s="38">
        <f>'Data Collection Sheet'!U159</f>
        <v>5.2</v>
      </c>
      <c r="E2" s="38"/>
      <c r="F2" s="38"/>
      <c r="G2" s="38"/>
      <c r="H2" s="38">
        <f t="shared" ref="H2:H7" si="0">(D2/B2)*100</f>
        <v>17.993079584775089</v>
      </c>
      <c r="I2" s="38"/>
      <c r="J2">
        <v>75</v>
      </c>
    </row>
    <row r="3" spans="1:10" x14ac:dyDescent="0.25">
      <c r="B3">
        <v>28.9</v>
      </c>
      <c r="C3" s="57">
        <v>44958</v>
      </c>
      <c r="D3" s="38">
        <f>'Data Collection Sheet'!V159</f>
        <v>5.2</v>
      </c>
      <c r="E3" s="38"/>
      <c r="F3" s="38"/>
      <c r="G3" s="38"/>
      <c r="H3" s="38">
        <f t="shared" si="0"/>
        <v>17.993079584775089</v>
      </c>
      <c r="I3" s="38"/>
      <c r="J3">
        <v>75</v>
      </c>
    </row>
    <row r="4" spans="1:10" x14ac:dyDescent="0.25">
      <c r="B4">
        <v>28.9</v>
      </c>
      <c r="C4" s="57">
        <v>44986</v>
      </c>
      <c r="D4" s="38">
        <f>'Data Collection Sheet'!W159</f>
        <v>5.2</v>
      </c>
      <c r="E4" s="38"/>
      <c r="G4" s="38"/>
      <c r="H4" s="38">
        <f t="shared" si="0"/>
        <v>17.993079584775089</v>
      </c>
      <c r="I4" s="38"/>
      <c r="J4">
        <v>75</v>
      </c>
    </row>
    <row r="5" spans="1:10" x14ac:dyDescent="0.25">
      <c r="B5">
        <v>28.9</v>
      </c>
      <c r="C5" s="57">
        <v>45017</v>
      </c>
      <c r="D5" s="38">
        <f>'Data Collection Sheet'!X159</f>
        <v>5.6</v>
      </c>
      <c r="G5" s="38"/>
      <c r="H5" s="38">
        <f t="shared" si="0"/>
        <v>19.377162629757784</v>
      </c>
      <c r="I5" s="38"/>
      <c r="J5">
        <v>75</v>
      </c>
    </row>
    <row r="6" spans="1:10" x14ac:dyDescent="0.25">
      <c r="B6">
        <v>28.9</v>
      </c>
      <c r="C6" s="57">
        <v>45047</v>
      </c>
      <c r="D6" s="38">
        <f>'Data Collection Sheet'!Y159</f>
        <v>5.4</v>
      </c>
      <c r="G6" s="38"/>
      <c r="H6" s="38">
        <f t="shared" si="0"/>
        <v>18.68512110726644</v>
      </c>
      <c r="I6" s="38"/>
      <c r="J6">
        <v>75</v>
      </c>
    </row>
    <row r="7" spans="1:10" x14ac:dyDescent="0.25">
      <c r="B7">
        <v>28.9</v>
      </c>
      <c r="C7" s="57">
        <v>45078</v>
      </c>
      <c r="D7" s="38">
        <f>'Data Collection Sheet'!Z159</f>
        <v>5.3</v>
      </c>
      <c r="G7" s="38"/>
      <c r="H7" s="38">
        <f t="shared" si="0"/>
        <v>18.339100346020761</v>
      </c>
      <c r="I7" s="38"/>
      <c r="J7">
        <v>75</v>
      </c>
    </row>
    <row r="8" spans="1:10" x14ac:dyDescent="0.25">
      <c r="B8">
        <v>28.9</v>
      </c>
      <c r="C8" s="57">
        <v>45108</v>
      </c>
      <c r="D8" s="38">
        <f>'Data Collection Sheet'!AA161</f>
        <v>5.6</v>
      </c>
      <c r="G8" s="38"/>
      <c r="H8" s="38">
        <f t="shared" ref="H8:H13" si="1">(D8/B8)*100</f>
        <v>19.377162629757784</v>
      </c>
      <c r="I8" s="38"/>
      <c r="J8">
        <v>75</v>
      </c>
    </row>
    <row r="9" spans="1:10" x14ac:dyDescent="0.25">
      <c r="B9">
        <v>28.9</v>
      </c>
      <c r="C9" s="57">
        <v>45139</v>
      </c>
      <c r="D9" s="38">
        <f>'Data Collection Sheet'!AB161</f>
        <v>5.8</v>
      </c>
      <c r="G9" s="38"/>
      <c r="H9" s="38">
        <f t="shared" si="1"/>
        <v>20.069204152249135</v>
      </c>
      <c r="I9" s="38"/>
      <c r="J9">
        <v>75</v>
      </c>
    </row>
    <row r="10" spans="1:10" x14ac:dyDescent="0.25">
      <c r="B10">
        <v>28.9</v>
      </c>
      <c r="C10" s="57">
        <v>45170</v>
      </c>
      <c r="D10" s="38">
        <f>'Data Collection Sheet'!AC161</f>
        <v>5.8</v>
      </c>
      <c r="G10" s="38"/>
      <c r="H10" s="38">
        <f t="shared" si="1"/>
        <v>20.069204152249135</v>
      </c>
      <c r="I10" s="38"/>
      <c r="J10">
        <v>75</v>
      </c>
    </row>
    <row r="11" spans="1:10" x14ac:dyDescent="0.25">
      <c r="B11">
        <v>28.9</v>
      </c>
      <c r="C11" s="57">
        <v>45200</v>
      </c>
      <c r="D11" s="38">
        <f>'Data Collection Sheet'!AD161</f>
        <v>5.9</v>
      </c>
      <c r="G11" s="38"/>
      <c r="H11" s="38">
        <f t="shared" si="1"/>
        <v>20.415224913494811</v>
      </c>
      <c r="I11" s="38"/>
      <c r="J11">
        <v>75</v>
      </c>
    </row>
    <row r="12" spans="1:10" x14ac:dyDescent="0.25">
      <c r="B12">
        <v>28.9</v>
      </c>
      <c r="C12" s="57">
        <v>45231</v>
      </c>
      <c r="D12" s="38">
        <f>'Data Collection Sheet'!AE161</f>
        <v>5.9</v>
      </c>
      <c r="G12" s="38"/>
      <c r="H12" s="38">
        <f t="shared" si="1"/>
        <v>20.415224913494811</v>
      </c>
      <c r="I12" s="38"/>
      <c r="J12">
        <v>75</v>
      </c>
    </row>
    <row r="13" spans="1:10" x14ac:dyDescent="0.25">
      <c r="B13">
        <v>28.9</v>
      </c>
      <c r="C13" s="57">
        <v>45261</v>
      </c>
      <c r="D13" s="38">
        <f>'Data Collection Sheet'!AF161</f>
        <v>7.1</v>
      </c>
      <c r="G13" s="38"/>
      <c r="H13" s="38">
        <f t="shared" si="1"/>
        <v>24.567474048442904</v>
      </c>
      <c r="I13" s="38"/>
      <c r="J13">
        <v>75</v>
      </c>
    </row>
    <row r="14" spans="1:10" x14ac:dyDescent="0.25">
      <c r="B14">
        <v>28.9</v>
      </c>
      <c r="C14" s="57">
        <v>45292</v>
      </c>
      <c r="D14" s="38">
        <f>'Data Collection Sheet'!AG161</f>
        <v>6.5</v>
      </c>
      <c r="G14" s="38"/>
      <c r="H14" s="38">
        <f t="shared" ref="H14:H19" si="2">(D14/B14)*100</f>
        <v>22.491349480968857</v>
      </c>
      <c r="I14" s="38"/>
      <c r="J14">
        <v>75</v>
      </c>
    </row>
    <row r="15" spans="1:10" x14ac:dyDescent="0.25">
      <c r="B15">
        <v>28.9</v>
      </c>
      <c r="C15" s="57">
        <v>45323</v>
      </c>
      <c r="D15" s="38">
        <f>'Data Collection Sheet'!AH161</f>
        <v>6.7</v>
      </c>
      <c r="G15" s="38"/>
      <c r="H15" s="38">
        <f t="shared" si="2"/>
        <v>23.183391003460212</v>
      </c>
      <c r="I15" s="38"/>
      <c r="J15">
        <v>75</v>
      </c>
    </row>
    <row r="16" spans="1:10" x14ac:dyDescent="0.25">
      <c r="B16">
        <v>28.9</v>
      </c>
      <c r="C16" s="57">
        <v>45352</v>
      </c>
      <c r="D16" s="38">
        <f>'Data Collection Sheet'!AI161</f>
        <v>7.1</v>
      </c>
      <c r="G16" s="38"/>
      <c r="H16" s="38">
        <f t="shared" si="2"/>
        <v>24.567474048442904</v>
      </c>
      <c r="I16" s="38"/>
      <c r="J16">
        <v>75</v>
      </c>
    </row>
    <row r="17" spans="1:10" x14ac:dyDescent="0.25">
      <c r="B17">
        <v>28.9</v>
      </c>
      <c r="C17" s="57">
        <v>45383</v>
      </c>
      <c r="D17" s="38">
        <f>'Data Collection Sheet'!AJ161</f>
        <v>7</v>
      </c>
      <c r="G17" s="38"/>
      <c r="H17" s="38">
        <f t="shared" si="2"/>
        <v>24.221453287197235</v>
      </c>
      <c r="I17" s="38"/>
      <c r="J17">
        <v>75</v>
      </c>
    </row>
    <row r="18" spans="1:10" x14ac:dyDescent="0.25">
      <c r="B18">
        <v>28.9</v>
      </c>
      <c r="C18" s="57">
        <v>45413</v>
      </c>
      <c r="D18" s="38">
        <f>'Data Collection Sheet'!AK161</f>
        <v>7.1</v>
      </c>
      <c r="G18" s="38"/>
      <c r="H18" s="38">
        <f t="shared" si="2"/>
        <v>24.567474048442904</v>
      </c>
      <c r="I18" s="38"/>
      <c r="J18">
        <v>75</v>
      </c>
    </row>
    <row r="19" spans="1:10" x14ac:dyDescent="0.25">
      <c r="B19">
        <v>28.9</v>
      </c>
      <c r="C19" s="57">
        <v>45444</v>
      </c>
      <c r="D19" s="38">
        <f>'Data Collection Sheet'!AL161</f>
        <v>7</v>
      </c>
      <c r="G19" s="38"/>
      <c r="H19" s="38">
        <f t="shared" si="2"/>
        <v>24.221453287197235</v>
      </c>
      <c r="I19" s="38"/>
      <c r="J19">
        <v>75</v>
      </c>
    </row>
    <row r="20" spans="1:10" x14ac:dyDescent="0.25">
      <c r="B20">
        <v>28.9</v>
      </c>
      <c r="C20" s="57">
        <v>45474</v>
      </c>
      <c r="D20" s="38">
        <f>'Data Collection Sheet'!AM161</f>
        <v>7.1</v>
      </c>
      <c r="G20" s="38"/>
      <c r="H20" s="38">
        <f t="shared" ref="H20" si="3">(D20/B20)*100</f>
        <v>24.567474048442904</v>
      </c>
      <c r="I20" s="38"/>
      <c r="J20">
        <v>75</v>
      </c>
    </row>
    <row r="21" spans="1:10" x14ac:dyDescent="0.25">
      <c r="B21">
        <v>28.9</v>
      </c>
      <c r="C21" s="57">
        <v>45505</v>
      </c>
      <c r="D21" s="38">
        <f>'Data Collection Sheet'!AN161</f>
        <v>7.3</v>
      </c>
      <c r="G21" s="38"/>
      <c r="H21" s="38">
        <f t="shared" ref="H21" si="4">(D21/B21)*100</f>
        <v>25.259515570934255</v>
      </c>
      <c r="I21" s="38"/>
      <c r="J21">
        <v>75</v>
      </c>
    </row>
    <row r="22" spans="1:10" x14ac:dyDescent="0.25">
      <c r="B22">
        <v>28.9</v>
      </c>
      <c r="C22" s="57">
        <v>45536</v>
      </c>
      <c r="D22" s="38">
        <f>'Data Collection Sheet'!AO161</f>
        <v>7.4</v>
      </c>
      <c r="G22" s="38"/>
      <c r="H22" s="38">
        <f t="shared" ref="H22" si="5">(D22/B22)*100</f>
        <v>25.605536332179934</v>
      </c>
      <c r="I22" s="38"/>
      <c r="J22">
        <v>75</v>
      </c>
    </row>
    <row r="23" spans="1:10" x14ac:dyDescent="0.25">
      <c r="B23">
        <v>28.9</v>
      </c>
      <c r="C23" s="57">
        <v>45566</v>
      </c>
      <c r="D23" s="38">
        <f>'Data Collection Sheet'!AP161</f>
        <v>7.2</v>
      </c>
      <c r="G23" s="38"/>
      <c r="H23" s="38">
        <f t="shared" ref="H23" si="6">(D23/B23)*100</f>
        <v>24.913494809688583</v>
      </c>
      <c r="I23" s="38"/>
      <c r="J23">
        <v>75</v>
      </c>
    </row>
    <row r="24" spans="1:10" x14ac:dyDescent="0.25">
      <c r="B24">
        <v>28.9</v>
      </c>
      <c r="C24" s="57">
        <v>45597</v>
      </c>
      <c r="D24" s="38">
        <f>'Data Collection Sheet'!AQ161</f>
        <v>7.3</v>
      </c>
      <c r="G24" s="38"/>
      <c r="H24" s="38">
        <f t="shared" ref="H24" si="7">(D24/B24)*100</f>
        <v>25.259515570934255</v>
      </c>
      <c r="I24" s="38"/>
      <c r="J24">
        <v>75</v>
      </c>
    </row>
    <row r="25" spans="1:10" x14ac:dyDescent="0.25">
      <c r="B25">
        <v>28.9</v>
      </c>
      <c r="C25" s="57">
        <v>45627</v>
      </c>
      <c r="D25" s="38">
        <f>'Data Collection Sheet'!AR161</f>
        <v>7.4</v>
      </c>
      <c r="G25" s="38"/>
      <c r="H25" s="38">
        <f>(D25/B25)*100</f>
        <v>25.605536332179934</v>
      </c>
      <c r="I25" s="38"/>
      <c r="J25">
        <v>75</v>
      </c>
    </row>
    <row r="26" spans="1:10" x14ac:dyDescent="0.25">
      <c r="B26">
        <v>28.9</v>
      </c>
      <c r="C26" s="57">
        <v>45658</v>
      </c>
      <c r="D26" s="38">
        <f>'Data Collection Sheet'!AS161</f>
        <v>7.4</v>
      </c>
      <c r="G26" s="38"/>
      <c r="H26" s="38">
        <f>(D26/B26)*100</f>
        <v>25.605536332179934</v>
      </c>
      <c r="I26" s="38"/>
      <c r="J26">
        <v>75</v>
      </c>
    </row>
    <row r="27" spans="1:10" x14ac:dyDescent="0.25">
      <c r="B27">
        <v>28.9</v>
      </c>
      <c r="C27" s="57">
        <v>45689</v>
      </c>
      <c r="D27" s="38">
        <f>'Data Collection Sheet'!AT$161</f>
        <v>7.5</v>
      </c>
      <c r="G27" s="38"/>
      <c r="H27" s="38">
        <f>(D27/B27)*100</f>
        <v>25.95155709342561</v>
      </c>
      <c r="I27" s="38"/>
      <c r="J27">
        <v>75</v>
      </c>
    </row>
    <row r="28" spans="1:10" x14ac:dyDescent="0.25">
      <c r="B28">
        <v>28.9</v>
      </c>
      <c r="C28" s="57">
        <v>45717</v>
      </c>
      <c r="D28" s="38">
        <f>'Data Collection Sheet'!AU$161</f>
        <v>7.6</v>
      </c>
      <c r="G28" s="38"/>
      <c r="H28" s="38">
        <f t="shared" ref="H28:H29" si="8">(D28/B28)*100</f>
        <v>26.297577854671278</v>
      </c>
      <c r="I28" s="38"/>
      <c r="J28">
        <v>75</v>
      </c>
    </row>
    <row r="29" spans="1:10" x14ac:dyDescent="0.25">
      <c r="A29" t="s">
        <v>220</v>
      </c>
      <c r="B29">
        <v>28.9</v>
      </c>
      <c r="C29" s="57">
        <v>45748</v>
      </c>
      <c r="D29" s="38">
        <f>'Data Collection Sheet'!AV$161</f>
        <v>7.7</v>
      </c>
      <c r="G29" s="38"/>
      <c r="H29" s="38">
        <f t="shared" si="8"/>
        <v>26.643598615916957</v>
      </c>
      <c r="I29" s="38"/>
      <c r="J29">
        <v>75</v>
      </c>
    </row>
    <row r="30" spans="1:10" x14ac:dyDescent="0.25">
      <c r="B30">
        <v>28.9</v>
      </c>
      <c r="C30" s="57">
        <v>45778</v>
      </c>
      <c r="D30" s="38">
        <f>'Data Collection Sheet'!AW$161</f>
        <v>7.8</v>
      </c>
      <c r="G30" s="38"/>
      <c r="H30" s="38">
        <f t="shared" ref="H30" si="9">(D30/B30)*100</f>
        <v>26.989619377162633</v>
      </c>
      <c r="I30" s="38"/>
      <c r="J30">
        <v>75</v>
      </c>
    </row>
    <row r="31" spans="1:10" x14ac:dyDescent="0.25">
      <c r="B31">
        <v>28.9</v>
      </c>
      <c r="C31" s="57">
        <v>45809</v>
      </c>
      <c r="D31" s="38">
        <f>'Data Collection Sheet'!AX$161</f>
        <v>7.8</v>
      </c>
      <c r="G31" s="38"/>
      <c r="H31" s="38">
        <f t="shared" ref="H31" si="10">(D31/B31)*100</f>
        <v>26.989619377162633</v>
      </c>
      <c r="I31" s="38"/>
      <c r="J31">
        <v>75</v>
      </c>
    </row>
    <row r="32" spans="1:10" x14ac:dyDescent="0.25">
      <c r="B32">
        <v>28.9</v>
      </c>
      <c r="C32" s="57">
        <v>45839</v>
      </c>
      <c r="D32" s="38">
        <f>'Data Collection Sheet'!AY$161</f>
        <v>7.9</v>
      </c>
      <c r="G32" s="38"/>
      <c r="H32" s="38">
        <f t="shared" ref="H32" si="11">(D32/B32)*100</f>
        <v>27.335640138408309</v>
      </c>
      <c r="I32" s="38"/>
      <c r="J32">
        <v>75</v>
      </c>
    </row>
    <row r="33" spans="1:10" x14ac:dyDescent="0.25">
      <c r="B33">
        <v>28.9</v>
      </c>
      <c r="C33" s="57">
        <v>45870</v>
      </c>
      <c r="D33" s="38">
        <f>'Data Collection Sheet'!AZ$161</f>
        <v>8</v>
      </c>
      <c r="G33" s="38"/>
      <c r="H33" s="38">
        <f t="shared" ref="H33" si="12">(D33/B33)*100</f>
        <v>27.681660899653981</v>
      </c>
      <c r="I33" s="38"/>
      <c r="J33">
        <v>75</v>
      </c>
    </row>
    <row r="34" spans="1:10" x14ac:dyDescent="0.25">
      <c r="A34" t="s">
        <v>210</v>
      </c>
      <c r="B34">
        <v>28.9</v>
      </c>
      <c r="C34" s="57">
        <v>45901</v>
      </c>
      <c r="D34" s="38">
        <f>'Data Collection Sheet'!BA$161</f>
        <v>8</v>
      </c>
      <c r="G34" s="38"/>
      <c r="H34" s="38">
        <f t="shared" ref="H34" si="13">(D34/B34)*100</f>
        <v>27.681660899653981</v>
      </c>
      <c r="I34" s="38"/>
      <c r="J34">
        <v>75</v>
      </c>
    </row>
    <row r="35" spans="1:10" x14ac:dyDescent="0.25">
      <c r="B35">
        <v>28.9</v>
      </c>
      <c r="C35" s="57">
        <v>45931</v>
      </c>
      <c r="D35" s="38">
        <f>'Data Collection Sheet'!BB$161</f>
        <v>8.1</v>
      </c>
      <c r="G35" s="38"/>
      <c r="H35" s="38">
        <f t="shared" ref="H35" si="14">(D35/B35)*100</f>
        <v>28.027681660899656</v>
      </c>
      <c r="I35" s="38"/>
      <c r="J35">
        <v>75</v>
      </c>
    </row>
    <row r="36" spans="1:10" x14ac:dyDescent="0.25">
      <c r="B36">
        <v>28.9</v>
      </c>
      <c r="C36" s="57">
        <v>45962</v>
      </c>
      <c r="D36" s="38">
        <f>'Data Collection Sheet'!BC$161</f>
        <v>8.1999999999999993</v>
      </c>
      <c r="G36" s="38"/>
      <c r="H36" s="38">
        <f t="shared" ref="H36" si="15">(D36/B36)*100</f>
        <v>28.373702422145325</v>
      </c>
      <c r="I36" s="38"/>
      <c r="J36">
        <v>75</v>
      </c>
    </row>
    <row r="37" spans="1:10" x14ac:dyDescent="0.25">
      <c r="B37">
        <v>28.9</v>
      </c>
      <c r="C37" s="57">
        <v>45992</v>
      </c>
      <c r="D37" s="38">
        <f>'Data Collection Sheet'!BD$161</f>
        <v>8.1999999999999993</v>
      </c>
      <c r="G37" s="38"/>
      <c r="H37" s="38">
        <f t="shared" ref="H37:H42" si="16">(D37/B37)*100</f>
        <v>28.373702422145325</v>
      </c>
      <c r="I37" s="38"/>
      <c r="J37">
        <v>75</v>
      </c>
    </row>
    <row r="38" spans="1:10" x14ac:dyDescent="0.25">
      <c r="B38">
        <v>28.9</v>
      </c>
      <c r="C38" s="57">
        <v>46023</v>
      </c>
      <c r="D38" s="38">
        <f>'Data Collection Sheet'!BE$161</f>
        <v>8.4</v>
      </c>
      <c r="G38" s="38"/>
      <c r="H38" s="38">
        <f t="shared" si="16"/>
        <v>29.065743944636679</v>
      </c>
      <c r="I38" s="38"/>
      <c r="J38">
        <v>75</v>
      </c>
    </row>
    <row r="39" spans="1:10" x14ac:dyDescent="0.25">
      <c r="B39">
        <v>28.9</v>
      </c>
      <c r="C39" s="57">
        <v>46054</v>
      </c>
      <c r="D39" s="38">
        <f>'Data Collection Sheet'!BF$161</f>
        <v>8.5</v>
      </c>
      <c r="G39" s="38"/>
      <c r="H39" s="38">
        <f t="shared" si="16"/>
        <v>29.411764705882355</v>
      </c>
      <c r="I39" s="38"/>
      <c r="J39">
        <v>75</v>
      </c>
    </row>
    <row r="40" spans="1:10" x14ac:dyDescent="0.25">
      <c r="B40">
        <v>28.9</v>
      </c>
      <c r="C40" s="57">
        <v>46082</v>
      </c>
      <c r="D40" s="38">
        <f>'Data Collection Sheet'!BG$161</f>
        <v>8.6</v>
      </c>
      <c r="G40" s="38"/>
      <c r="H40" s="38">
        <f t="shared" si="16"/>
        <v>29.757785467128027</v>
      </c>
      <c r="I40" s="38"/>
      <c r="J40">
        <v>75</v>
      </c>
    </row>
    <row r="41" spans="1:10" x14ac:dyDescent="0.25">
      <c r="B41">
        <v>28.9</v>
      </c>
      <c r="C41" s="57">
        <v>46113</v>
      </c>
      <c r="D41" s="38">
        <f>'Data Collection Sheet'!BH$161</f>
        <v>8.6999999999999993</v>
      </c>
      <c r="G41" s="38"/>
      <c r="H41" s="38">
        <f t="shared" si="16"/>
        <v>30.103806228373703</v>
      </c>
      <c r="I41" s="38"/>
      <c r="J41">
        <v>75</v>
      </c>
    </row>
    <row r="42" spans="1:10" x14ac:dyDescent="0.25">
      <c r="B42">
        <v>28.9</v>
      </c>
      <c r="C42" s="57">
        <v>46143</v>
      </c>
      <c r="D42" s="38">
        <f>'Data Collection Sheet'!BI$161</f>
        <v>10.1</v>
      </c>
      <c r="G42" s="38"/>
      <c r="H42" s="38">
        <f t="shared" si="16"/>
        <v>34.94809688581315</v>
      </c>
      <c r="I42" s="38"/>
      <c r="J42">
        <v>75</v>
      </c>
    </row>
    <row r="43" spans="1:10" x14ac:dyDescent="0.25">
      <c r="B43">
        <v>28.9</v>
      </c>
      <c r="C43" s="57">
        <v>46174</v>
      </c>
      <c r="D43" s="38">
        <f>'Data Collection Sheet'!BJ$161</f>
        <v>9.1</v>
      </c>
      <c r="G43" s="38"/>
      <c r="H43" s="38">
        <f>(D43/B43)*100</f>
        <v>31.487889273356402</v>
      </c>
      <c r="I43" s="38"/>
      <c r="J43">
        <v>75</v>
      </c>
    </row>
    <row r="44" spans="1:10" x14ac:dyDescent="0.25">
      <c r="B44">
        <v>28.9</v>
      </c>
      <c r="C44" s="57">
        <v>46204</v>
      </c>
      <c r="D44" s="38">
        <f>'Data Collection Sheet'!BK$161</f>
        <v>8.9</v>
      </c>
      <c r="G44" s="38"/>
      <c r="H44" s="38">
        <f>(D44/B44)*100</f>
        <v>30.79584775086505</v>
      </c>
      <c r="I44" s="38"/>
      <c r="J44">
        <v>75</v>
      </c>
    </row>
    <row r="45" spans="1:10" x14ac:dyDescent="0.25">
      <c r="B45">
        <v>28.9</v>
      </c>
      <c r="C45" s="57">
        <v>46235</v>
      </c>
      <c r="D45" s="38">
        <f>'Data Collection Sheet'!BL$161</f>
        <v>9.1</v>
      </c>
      <c r="F45">
        <v>8.08</v>
      </c>
      <c r="G45" s="38">
        <f>D45</f>
        <v>9.1</v>
      </c>
      <c r="H45" s="38">
        <f>(D45/B45)*100</f>
        <v>31.487889273356402</v>
      </c>
      <c r="I45" s="38">
        <f t="shared" ref="I45" si="17">(G45/B45)*100</f>
        <v>31.487889273356402</v>
      </c>
      <c r="J45">
        <v>75</v>
      </c>
    </row>
    <row r="46" spans="1:10" x14ac:dyDescent="0.25">
      <c r="B46">
        <v>28.9</v>
      </c>
      <c r="C46" s="57">
        <v>46266</v>
      </c>
      <c r="F46">
        <v>1.08</v>
      </c>
      <c r="G46" s="38">
        <f t="shared" ref="G46:G68" si="18">G45*(1+(F46^(1/12)-1))+E46</f>
        <v>9.1585496740010317</v>
      </c>
      <c r="H46" s="38"/>
      <c r="I46" s="38">
        <f t="shared" ref="I46:I68" si="19">(G46/B46)*100</f>
        <v>31.690483301041635</v>
      </c>
      <c r="J46">
        <v>75</v>
      </c>
    </row>
    <row r="47" spans="1:10" x14ac:dyDescent="0.25">
      <c r="B47">
        <v>28.9</v>
      </c>
      <c r="C47" s="57">
        <v>46296</v>
      </c>
      <c r="F47">
        <v>1.08</v>
      </c>
      <c r="G47" s="38">
        <f>G46*(1+(F47^(1/12)-1))+E47</f>
        <v>9.2174760583675166</v>
      </c>
      <c r="H47" s="38"/>
      <c r="I47" s="38">
        <f t="shared" si="19"/>
        <v>31.8943808248011</v>
      </c>
      <c r="J47">
        <v>75</v>
      </c>
    </row>
    <row r="48" spans="1:10" x14ac:dyDescent="0.25">
      <c r="B48">
        <v>28.9</v>
      </c>
      <c r="C48" s="57">
        <v>46327</v>
      </c>
      <c r="F48">
        <v>1.08</v>
      </c>
      <c r="G48" s="38">
        <f t="shared" si="18"/>
        <v>9.2767815768652895</v>
      </c>
      <c r="H48" s="38"/>
      <c r="I48" s="38">
        <f t="shared" si="19"/>
        <v>32.099590231367785</v>
      </c>
      <c r="J48">
        <v>75</v>
      </c>
    </row>
    <row r="49" spans="2:10" x14ac:dyDescent="0.25">
      <c r="B49">
        <v>28.9</v>
      </c>
      <c r="C49" s="57">
        <v>46357</v>
      </c>
      <c r="F49">
        <v>1.08</v>
      </c>
      <c r="G49" s="38">
        <f t="shared" si="18"/>
        <v>9.3364686688547653</v>
      </c>
      <c r="H49" s="38"/>
      <c r="I49" s="38">
        <f t="shared" si="19"/>
        <v>32.306119961435172</v>
      </c>
      <c r="J49">
        <v>75</v>
      </c>
    </row>
    <row r="50" spans="2:10" x14ac:dyDescent="0.25">
      <c r="B50">
        <v>28.9</v>
      </c>
      <c r="C50" s="57">
        <v>46388</v>
      </c>
      <c r="D50" s="38"/>
      <c r="F50">
        <v>1.08</v>
      </c>
      <c r="G50" s="38">
        <f t="shared" si="18"/>
        <v>9.3965397893912801</v>
      </c>
      <c r="H50" s="38"/>
      <c r="I50" s="38">
        <f t="shared" si="19"/>
        <v>32.513978510004435</v>
      </c>
      <c r="J50">
        <v>75</v>
      </c>
    </row>
    <row r="51" spans="2:10" x14ac:dyDescent="0.25">
      <c r="B51">
        <v>28.9</v>
      </c>
      <c r="C51" s="57">
        <v>46419</v>
      </c>
      <c r="D51" s="38"/>
      <c r="F51">
        <v>1.08</v>
      </c>
      <c r="G51" s="38">
        <f t="shared" si="18"/>
        <v>9.4569974093260694</v>
      </c>
      <c r="H51" s="38"/>
      <c r="I51" s="38">
        <f t="shared" si="19"/>
        <v>32.723174426733806</v>
      </c>
      <c r="J51">
        <v>75</v>
      </c>
    </row>
    <row r="52" spans="2:10" x14ac:dyDescent="0.25">
      <c r="B52">
        <v>28.9</v>
      </c>
      <c r="C52" s="57">
        <v>46447</v>
      </c>
      <c r="D52" s="38"/>
      <c r="F52">
        <v>1.08</v>
      </c>
      <c r="G52" s="38">
        <f t="shared" si="18"/>
        <v>9.5178440154078974</v>
      </c>
      <c r="H52" s="38"/>
      <c r="I52" s="38">
        <f t="shared" si="19"/>
        <v>32.933716316290301</v>
      </c>
      <c r="J52">
        <v>75</v>
      </c>
    </row>
    <row r="53" spans="2:10" x14ac:dyDescent="0.25">
      <c r="B53">
        <v>28.9</v>
      </c>
      <c r="C53" s="57">
        <v>46478</v>
      </c>
      <c r="D53" s="38"/>
      <c r="F53">
        <v>1.08</v>
      </c>
      <c r="G53" s="38">
        <f t="shared" si="18"/>
        <v>9.5790821103853485</v>
      </c>
      <c r="H53" s="38"/>
      <c r="I53" s="38">
        <f t="shared" si="19"/>
        <v>33.145612838703627</v>
      </c>
      <c r="J53">
        <v>75</v>
      </c>
    </row>
    <row r="54" spans="2:10" x14ac:dyDescent="0.25">
      <c r="B54">
        <v>28.9</v>
      </c>
      <c r="C54" s="57">
        <v>46508</v>
      </c>
      <c r="D54" s="38"/>
      <c r="F54">
        <v>1.08</v>
      </c>
      <c r="G54" s="38">
        <f t="shared" si="18"/>
        <v>9.6407142131097636</v>
      </c>
      <c r="H54" s="38"/>
      <c r="I54" s="38">
        <f t="shared" si="19"/>
        <v>33.358872709722363</v>
      </c>
      <c r="J54">
        <v>75</v>
      </c>
    </row>
    <row r="55" spans="2:10" x14ac:dyDescent="0.25">
      <c r="B55">
        <v>28.9</v>
      </c>
      <c r="C55" s="57">
        <v>46539</v>
      </c>
      <c r="D55" s="38"/>
      <c r="F55">
        <v>1.08</v>
      </c>
      <c r="G55" s="38">
        <f t="shared" si="18"/>
        <v>9.7027428586388496</v>
      </c>
      <c r="H55" s="38"/>
      <c r="I55" s="38">
        <f t="shared" si="19"/>
        <v>33.573504701172489</v>
      </c>
      <c r="J55">
        <v>75</v>
      </c>
    </row>
    <row r="56" spans="2:10" x14ac:dyDescent="0.25">
      <c r="B56">
        <v>28.9</v>
      </c>
      <c r="C56" s="57">
        <v>46569</v>
      </c>
      <c r="F56">
        <v>1.08</v>
      </c>
      <c r="G56" s="38">
        <f t="shared" si="18"/>
        <v>9.7651705983409531</v>
      </c>
      <c r="H56" s="38"/>
      <c r="I56" s="38">
        <f t="shared" si="19"/>
        <v>33.789517641318177</v>
      </c>
      <c r="J56">
        <v>75</v>
      </c>
    </row>
    <row r="57" spans="2:10" x14ac:dyDescent="0.25">
      <c r="B57">
        <v>28.9</v>
      </c>
      <c r="C57" s="57">
        <v>46600</v>
      </c>
      <c r="F57">
        <v>1.08</v>
      </c>
      <c r="G57" s="38">
        <f t="shared" si="18"/>
        <v>9.8279999999999994</v>
      </c>
      <c r="H57" s="38"/>
      <c r="I57" s="38">
        <f t="shared" si="19"/>
        <v>34.006920415224911</v>
      </c>
      <c r="J57">
        <v>75</v>
      </c>
    </row>
    <row r="58" spans="2:10" x14ac:dyDescent="0.25">
      <c r="B58">
        <v>28.9</v>
      </c>
      <c r="C58" s="57">
        <v>46631</v>
      </c>
      <c r="F58">
        <v>1.08</v>
      </c>
      <c r="G58" s="38">
        <f t="shared" si="18"/>
        <v>9.8912336479211138</v>
      </c>
      <c r="H58" s="38"/>
      <c r="I58" s="38">
        <f t="shared" si="19"/>
        <v>34.225721965124961</v>
      </c>
      <c r="J58">
        <v>75</v>
      </c>
    </row>
    <row r="59" spans="2:10" x14ac:dyDescent="0.25">
      <c r="B59">
        <v>28.9</v>
      </c>
      <c r="C59" s="57">
        <v>46661</v>
      </c>
      <c r="F59">
        <v>1.08</v>
      </c>
      <c r="G59" s="38">
        <f t="shared" si="18"/>
        <v>9.9548741430369176</v>
      </c>
      <c r="H59" s="38"/>
      <c r="I59" s="38">
        <f t="shared" si="19"/>
        <v>34.445931290785182</v>
      </c>
      <c r="J59">
        <v>75</v>
      </c>
    </row>
    <row r="60" spans="2:10" x14ac:dyDescent="0.25">
      <c r="B60">
        <v>28.9</v>
      </c>
      <c r="C60" s="57">
        <v>46692</v>
      </c>
      <c r="E60" s="38"/>
      <c r="F60">
        <v>1.08</v>
      </c>
      <c r="G60" s="38">
        <f t="shared" si="18"/>
        <v>10.018924103014513</v>
      </c>
      <c r="H60" s="38"/>
      <c r="I60" s="38">
        <f t="shared" si="19"/>
        <v>34.667557449877208</v>
      </c>
      <c r="J60">
        <v>75</v>
      </c>
    </row>
    <row r="61" spans="2:10" x14ac:dyDescent="0.25">
      <c r="B61">
        <v>28.9</v>
      </c>
      <c r="C61" s="57">
        <v>46722</v>
      </c>
      <c r="E61" s="38"/>
      <c r="F61">
        <v>1.08</v>
      </c>
      <c r="G61" s="38">
        <f t="shared" si="18"/>
        <v>10.083386162363148</v>
      </c>
      <c r="H61" s="38"/>
      <c r="I61" s="38">
        <f t="shared" si="19"/>
        <v>34.890609558349993</v>
      </c>
      <c r="J61">
        <v>75</v>
      </c>
    </row>
    <row r="62" spans="2:10" x14ac:dyDescent="0.25">
      <c r="B62">
        <v>28.9</v>
      </c>
      <c r="C62" s="57">
        <v>46753</v>
      </c>
      <c r="E62" s="38"/>
      <c r="F62">
        <v>1.08</v>
      </c>
      <c r="G62" s="38">
        <f t="shared" si="18"/>
        <v>10.148262972542584</v>
      </c>
      <c r="H62" s="38"/>
      <c r="I62" s="38">
        <f t="shared" si="19"/>
        <v>35.115096790804792</v>
      </c>
      <c r="J62">
        <v>75</v>
      </c>
    </row>
    <row r="63" spans="2:10" x14ac:dyDescent="0.25">
      <c r="B63">
        <v>28.9</v>
      </c>
      <c r="C63" s="57">
        <v>46784</v>
      </c>
      <c r="F63">
        <v>1.08</v>
      </c>
      <c r="G63" s="38">
        <f t="shared" si="18"/>
        <v>10.213557202072156</v>
      </c>
      <c r="H63" s="38"/>
      <c r="I63" s="38">
        <f t="shared" si="19"/>
        <v>35.341028380872515</v>
      </c>
      <c r="J63">
        <v>75</v>
      </c>
    </row>
    <row r="64" spans="2:10" x14ac:dyDescent="0.25">
      <c r="B64">
        <v>28.9</v>
      </c>
      <c r="C64" s="57">
        <v>46813</v>
      </c>
      <c r="F64">
        <v>1.08</v>
      </c>
      <c r="G64" s="38">
        <f t="shared" si="18"/>
        <v>10.279271536640531</v>
      </c>
      <c r="H64" s="38"/>
      <c r="I64" s="38">
        <f t="shared" si="19"/>
        <v>35.568413621593528</v>
      </c>
      <c r="J64">
        <v>75</v>
      </c>
    </row>
    <row r="65" spans="2:10" x14ac:dyDescent="0.25">
      <c r="B65">
        <v>28.9</v>
      </c>
      <c r="C65" s="57">
        <v>46844</v>
      </c>
      <c r="F65">
        <v>1.08</v>
      </c>
      <c r="G65" s="38">
        <f t="shared" si="18"/>
        <v>10.345408679216177</v>
      </c>
      <c r="H65" s="38"/>
      <c r="I65" s="38">
        <f t="shared" si="19"/>
        <v>35.797261865799925</v>
      </c>
      <c r="J65">
        <v>75</v>
      </c>
    </row>
    <row r="66" spans="2:10" x14ac:dyDescent="0.25">
      <c r="B66">
        <v>28.9</v>
      </c>
      <c r="C66" s="57">
        <v>46874</v>
      </c>
      <c r="F66">
        <v>1.08</v>
      </c>
      <c r="G66" s="38">
        <f t="shared" si="18"/>
        <v>10.411971350158545</v>
      </c>
      <c r="H66" s="38"/>
      <c r="I66" s="38">
        <f t="shared" si="19"/>
        <v>36.027582526500154</v>
      </c>
      <c r="J66">
        <v>75</v>
      </c>
    </row>
    <row r="67" spans="2:10" x14ac:dyDescent="0.25">
      <c r="B67">
        <v>28.9</v>
      </c>
      <c r="C67" s="57">
        <v>46905</v>
      </c>
      <c r="F67">
        <v>1.08</v>
      </c>
      <c r="G67" s="38">
        <f t="shared" si="18"/>
        <v>10.478962287329958</v>
      </c>
      <c r="H67" s="38"/>
      <c r="I67" s="38">
        <f t="shared" si="19"/>
        <v>36.259385077266295</v>
      </c>
      <c r="J67">
        <v>75</v>
      </c>
    </row>
    <row r="68" spans="2:10" x14ac:dyDescent="0.25">
      <c r="B68">
        <v>28.9</v>
      </c>
      <c r="C68" s="57">
        <v>46935</v>
      </c>
      <c r="F68">
        <v>1.08</v>
      </c>
      <c r="G68" s="38">
        <f t="shared" si="18"/>
        <v>10.546384246208229</v>
      </c>
      <c r="H68" s="38"/>
      <c r="I68" s="38">
        <f t="shared" si="19"/>
        <v>36.492679052623629</v>
      </c>
      <c r="J68">
        <v>75</v>
      </c>
    </row>
    <row r="69" spans="2:10" x14ac:dyDescent="0.25">
      <c r="B69">
        <v>28.9</v>
      </c>
      <c r="C69" s="57">
        <v>46966</v>
      </c>
      <c r="F69">
        <v>1.08</v>
      </c>
      <c r="G69" s="38">
        <f t="shared" ref="G69:G97" si="20">G68*(1+(F69^(1/12)-1))+E69</f>
        <v>10.614239999999999</v>
      </c>
      <c r="H69" s="38"/>
      <c r="I69" s="38">
        <f t="shared" ref="I69:I97" si="21">(G69/B69)*100</f>
        <v>36.727474048442907</v>
      </c>
      <c r="J69">
        <v>75</v>
      </c>
    </row>
    <row r="70" spans="2:10" x14ac:dyDescent="0.25">
      <c r="B70">
        <v>28.9</v>
      </c>
      <c r="C70" s="57">
        <v>46997</v>
      </c>
      <c r="F70">
        <v>1.08</v>
      </c>
      <c r="G70" s="38">
        <f t="shared" si="20"/>
        <v>10.682532339754802</v>
      </c>
      <c r="H70" s="38"/>
      <c r="I70" s="38">
        <f t="shared" si="21"/>
        <v>36.963779722334955</v>
      </c>
      <c r="J70">
        <v>75</v>
      </c>
    </row>
    <row r="71" spans="2:10" x14ac:dyDescent="0.25">
      <c r="B71">
        <v>28.9</v>
      </c>
      <c r="C71" s="57">
        <v>47027</v>
      </c>
      <c r="F71">
        <v>1.08</v>
      </c>
      <c r="G71" s="38">
        <f t="shared" si="20"/>
        <v>10.75126407447987</v>
      </c>
      <c r="H71" s="38"/>
      <c r="I71" s="38">
        <f t="shared" si="21"/>
        <v>37.201605794048</v>
      </c>
      <c r="J71">
        <v>75</v>
      </c>
    </row>
    <row r="72" spans="2:10" x14ac:dyDescent="0.25">
      <c r="B72">
        <v>28.9</v>
      </c>
      <c r="C72" s="57">
        <v>47058</v>
      </c>
      <c r="F72">
        <v>1.08</v>
      </c>
      <c r="G72" s="38">
        <f t="shared" si="20"/>
        <v>10.820438031255671</v>
      </c>
      <c r="H72" s="38"/>
      <c r="I72" s="38">
        <f t="shared" si="21"/>
        <v>37.44096204586738</v>
      </c>
      <c r="J72">
        <v>75</v>
      </c>
    </row>
    <row r="73" spans="2:10" x14ac:dyDescent="0.25">
      <c r="B73">
        <v>28.9</v>
      </c>
      <c r="C73" s="57">
        <v>47088</v>
      </c>
      <c r="F73">
        <v>1.08</v>
      </c>
      <c r="G73" s="38">
        <f t="shared" si="20"/>
        <v>10.890057055352196</v>
      </c>
      <c r="H73" s="38"/>
      <c r="I73" s="38">
        <f t="shared" si="21"/>
        <v>37.681858323017977</v>
      </c>
      <c r="J73">
        <v>75</v>
      </c>
    </row>
    <row r="74" spans="2:10" x14ac:dyDescent="0.25">
      <c r="B74">
        <v>28.9</v>
      </c>
      <c r="C74" s="57">
        <v>47119</v>
      </c>
      <c r="D74" s="38"/>
      <c r="F74">
        <v>1.08</v>
      </c>
      <c r="G74" s="38">
        <f t="shared" si="20"/>
        <v>10.960124010345988</v>
      </c>
      <c r="H74" s="38"/>
      <c r="I74" s="38">
        <f t="shared" si="21"/>
        <v>37.924304534069165</v>
      </c>
      <c r="J74">
        <v>75</v>
      </c>
    </row>
    <row r="75" spans="2:10" x14ac:dyDescent="0.25">
      <c r="B75">
        <v>28.9</v>
      </c>
      <c r="C75" s="57">
        <v>47150</v>
      </c>
      <c r="D75" s="38"/>
      <c r="F75">
        <v>1.08</v>
      </c>
      <c r="G75" s="38">
        <f t="shared" si="20"/>
        <v>11.030641778237925</v>
      </c>
      <c r="H75" s="38"/>
      <c r="I75" s="38">
        <f t="shared" si="21"/>
        <v>38.168310651342303</v>
      </c>
      <c r="J75">
        <v>75</v>
      </c>
    </row>
    <row r="76" spans="2:10" x14ac:dyDescent="0.25">
      <c r="B76">
        <v>28.9</v>
      </c>
      <c r="C76" s="57">
        <v>47178</v>
      </c>
      <c r="D76" s="38"/>
      <c r="F76">
        <v>1.08</v>
      </c>
      <c r="G76" s="38">
        <f t="shared" si="20"/>
        <v>11.101613259571769</v>
      </c>
      <c r="H76" s="38"/>
      <c r="I76" s="38">
        <f t="shared" si="21"/>
        <v>38.413886711320998</v>
      </c>
      <c r="J76">
        <v>75</v>
      </c>
    </row>
    <row r="77" spans="2:10" x14ac:dyDescent="0.25">
      <c r="B77">
        <v>28.9</v>
      </c>
      <c r="C77" s="57">
        <v>47209</v>
      </c>
      <c r="D77" s="38"/>
      <c r="F77">
        <v>1.08</v>
      </c>
      <c r="G77" s="38">
        <f t="shared" si="20"/>
        <v>11.173041373553467</v>
      </c>
      <c r="H77" s="38"/>
      <c r="I77" s="38">
        <f t="shared" si="21"/>
        <v>38.661042815063901</v>
      </c>
      <c r="J77">
        <v>75</v>
      </c>
    </row>
    <row r="78" spans="2:10" x14ac:dyDescent="0.25">
      <c r="B78">
        <v>28.9</v>
      </c>
      <c r="C78" s="57">
        <v>47239</v>
      </c>
      <c r="D78" s="38"/>
      <c r="F78">
        <v>1.08</v>
      </c>
      <c r="G78" s="38">
        <f t="shared" si="20"/>
        <v>11.244929058171223</v>
      </c>
      <c r="H78" s="38"/>
      <c r="I78" s="38">
        <f t="shared" si="21"/>
        <v>38.909789128620154</v>
      </c>
      <c r="J78">
        <v>75</v>
      </c>
    </row>
    <row r="79" spans="2:10" x14ac:dyDescent="0.25">
      <c r="B79">
        <v>28.9</v>
      </c>
      <c r="C79" s="57">
        <v>47270</v>
      </c>
      <c r="D79" s="38"/>
      <c r="F79">
        <v>1.08</v>
      </c>
      <c r="G79" s="38">
        <f t="shared" si="20"/>
        <v>11.31727927031635</v>
      </c>
      <c r="H79" s="38"/>
      <c r="I79" s="38">
        <f t="shared" si="21"/>
        <v>39.16013588344758</v>
      </c>
      <c r="J79">
        <v>75</v>
      </c>
    </row>
    <row r="80" spans="2:10" x14ac:dyDescent="0.25">
      <c r="B80">
        <v>28.9</v>
      </c>
      <c r="C80" s="57">
        <v>47300</v>
      </c>
      <c r="F80">
        <v>1.08</v>
      </c>
      <c r="G80" s="38">
        <f t="shared" si="20"/>
        <v>11.390094985904883</v>
      </c>
      <c r="H80" s="38"/>
      <c r="I80" s="38">
        <f t="shared" si="21"/>
        <v>39.412093376833504</v>
      </c>
      <c r="J80">
        <v>75</v>
      </c>
    </row>
    <row r="81" spans="2:10" x14ac:dyDescent="0.25">
      <c r="B81">
        <v>28.9</v>
      </c>
      <c r="C81" s="57">
        <v>47331</v>
      </c>
      <c r="F81">
        <v>1.08</v>
      </c>
      <c r="G81" s="38">
        <f t="shared" si="20"/>
        <v>11.463379199999993</v>
      </c>
      <c r="H81" s="38"/>
      <c r="I81" s="38">
        <f t="shared" si="21"/>
        <v>39.665671972318314</v>
      </c>
      <c r="J81">
        <v>75</v>
      </c>
    </row>
    <row r="82" spans="2:10" x14ac:dyDescent="0.25">
      <c r="B82">
        <v>28.9</v>
      </c>
      <c r="C82" s="57">
        <v>47362</v>
      </c>
      <c r="F82">
        <v>1.08</v>
      </c>
      <c r="G82" s="38">
        <f t="shared" si="20"/>
        <v>11.537134926935181</v>
      </c>
      <c r="H82" s="38"/>
      <c r="I82" s="38">
        <f t="shared" si="21"/>
        <v>39.920882100121737</v>
      </c>
      <c r="J82">
        <v>75</v>
      </c>
    </row>
    <row r="83" spans="2:10" x14ac:dyDescent="0.25">
      <c r="B83">
        <v>28.9</v>
      </c>
      <c r="C83" s="57">
        <v>47392</v>
      </c>
      <c r="F83">
        <v>1.08</v>
      </c>
      <c r="G83" s="38">
        <f t="shared" si="20"/>
        <v>11.611365200438254</v>
      </c>
      <c r="H83" s="38"/>
      <c r="I83" s="38">
        <f t="shared" si="21"/>
        <v>40.177734257571814</v>
      </c>
      <c r="J83">
        <v>75</v>
      </c>
    </row>
    <row r="84" spans="2:10" x14ac:dyDescent="0.25">
      <c r="B84">
        <v>28.9</v>
      </c>
      <c r="C84" s="57">
        <v>47423</v>
      </c>
      <c r="F84">
        <v>1.08</v>
      </c>
      <c r="G84" s="38">
        <f t="shared" si="20"/>
        <v>11.68607307375612</v>
      </c>
      <c r="H84" s="38"/>
      <c r="I84" s="38">
        <f t="shared" si="21"/>
        <v>40.436239009536749</v>
      </c>
      <c r="J84">
        <v>75</v>
      </c>
    </row>
    <row r="85" spans="2:10" x14ac:dyDescent="0.25">
      <c r="B85">
        <v>28.9</v>
      </c>
      <c r="C85" s="57">
        <v>47453</v>
      </c>
      <c r="F85">
        <v>1.08</v>
      </c>
      <c r="G85" s="38">
        <f t="shared" si="20"/>
        <v>11.761261619780367</v>
      </c>
      <c r="H85" s="38"/>
      <c r="I85" s="38">
        <f t="shared" si="21"/>
        <v>40.696406988859401</v>
      </c>
      <c r="J85">
        <v>75</v>
      </c>
    </row>
    <row r="86" spans="2:10" x14ac:dyDescent="0.25">
      <c r="B86">
        <v>28.9</v>
      </c>
      <c r="C86" s="57">
        <v>47484</v>
      </c>
      <c r="F86">
        <v>1.08</v>
      </c>
      <c r="G86" s="38">
        <f t="shared" si="20"/>
        <v>11.836933931173661</v>
      </c>
      <c r="H86" s="38"/>
      <c r="I86" s="38">
        <f t="shared" si="21"/>
        <v>40.958248896794672</v>
      </c>
      <c r="J86">
        <v>75</v>
      </c>
    </row>
    <row r="87" spans="2:10" x14ac:dyDescent="0.25">
      <c r="B87">
        <v>28.9</v>
      </c>
      <c r="C87" s="57">
        <v>47515</v>
      </c>
      <c r="F87">
        <v>1.08</v>
      </c>
      <c r="G87" s="38">
        <f t="shared" si="20"/>
        <v>11.913093120496953</v>
      </c>
      <c r="H87" s="38"/>
      <c r="I87" s="38">
        <f t="shared" si="21"/>
        <v>41.221775503449663</v>
      </c>
      <c r="J87">
        <v>75</v>
      </c>
    </row>
    <row r="88" spans="2:10" x14ac:dyDescent="0.25">
      <c r="B88">
        <v>28.9</v>
      </c>
      <c r="C88" s="57">
        <v>47543</v>
      </c>
      <c r="F88">
        <v>1.08</v>
      </c>
      <c r="G88" s="38">
        <f t="shared" si="20"/>
        <v>11.989742320337506</v>
      </c>
      <c r="H88" s="38"/>
      <c r="I88" s="38">
        <f t="shared" si="21"/>
        <v>41.486997648226662</v>
      </c>
      <c r="J88">
        <v>75</v>
      </c>
    </row>
    <row r="89" spans="2:10" x14ac:dyDescent="0.25">
      <c r="B89">
        <v>28.9</v>
      </c>
      <c r="C89" s="57">
        <v>47574</v>
      </c>
      <c r="F89">
        <v>1.08</v>
      </c>
      <c r="G89" s="38">
        <f t="shared" si="20"/>
        <v>12.06688468343774</v>
      </c>
      <c r="H89" s="38"/>
      <c r="I89" s="38">
        <f t="shared" si="21"/>
        <v>41.753926240269003</v>
      </c>
      <c r="J89">
        <v>75</v>
      </c>
    </row>
    <row r="90" spans="2:10" x14ac:dyDescent="0.25">
      <c r="B90">
        <v>28.9</v>
      </c>
      <c r="C90" s="57">
        <v>47604</v>
      </c>
      <c r="F90">
        <v>1.08</v>
      </c>
      <c r="G90" s="38">
        <f t="shared" si="20"/>
        <v>12.144523382824918</v>
      </c>
      <c r="H90" s="38"/>
      <c r="I90" s="38">
        <f t="shared" si="21"/>
        <v>42.022572258909754</v>
      </c>
      <c r="J90">
        <v>75</v>
      </c>
    </row>
    <row r="91" spans="2:10" x14ac:dyDescent="0.25">
      <c r="B91">
        <v>28.9</v>
      </c>
      <c r="C91" s="57">
        <v>47635</v>
      </c>
      <c r="F91">
        <v>1.08</v>
      </c>
      <c r="G91" s="38">
        <f t="shared" si="20"/>
        <v>12.222661611941653</v>
      </c>
      <c r="H91" s="38"/>
      <c r="I91" s="38">
        <f t="shared" si="21"/>
        <v>42.292946754123371</v>
      </c>
      <c r="J91">
        <v>75</v>
      </c>
    </row>
    <row r="92" spans="2:10" x14ac:dyDescent="0.25">
      <c r="B92">
        <v>28.9</v>
      </c>
      <c r="C92" s="57">
        <v>47665</v>
      </c>
      <c r="E92" s="38"/>
      <c r="F92">
        <v>1.08</v>
      </c>
      <c r="G92" s="38">
        <f t="shared" si="20"/>
        <v>12.301302584777268</v>
      </c>
      <c r="H92" s="38"/>
      <c r="I92" s="38">
        <f t="shared" si="21"/>
        <v>42.565060846980167</v>
      </c>
      <c r="J92">
        <v>75</v>
      </c>
    </row>
    <row r="93" spans="2:10" x14ac:dyDescent="0.25">
      <c r="B93">
        <v>28.9</v>
      </c>
      <c r="C93" s="57">
        <v>47696</v>
      </c>
      <c r="F93">
        <v>1.08</v>
      </c>
      <c r="G93" s="38">
        <f t="shared" si="20"/>
        <v>12.380449535999988</v>
      </c>
      <c r="I93" s="38">
        <f t="shared" si="21"/>
        <v>42.838925730103767</v>
      </c>
      <c r="J93">
        <v>75</v>
      </c>
    </row>
    <row r="94" spans="2:10" x14ac:dyDescent="0.25">
      <c r="B94">
        <v>28.9</v>
      </c>
      <c r="C94" s="57">
        <v>47727</v>
      </c>
      <c r="F94">
        <v>1.08</v>
      </c>
      <c r="G94" s="38">
        <f t="shared" si="20"/>
        <v>12.46010572108999</v>
      </c>
      <c r="I94" s="38">
        <f t="shared" si="21"/>
        <v>43.114552668131459</v>
      </c>
      <c r="J94">
        <v>75</v>
      </c>
    </row>
    <row r="95" spans="2:10" x14ac:dyDescent="0.25">
      <c r="B95">
        <v>28.9</v>
      </c>
      <c r="C95" s="57">
        <v>47757</v>
      </c>
      <c r="F95">
        <v>1.08</v>
      </c>
      <c r="G95" s="38">
        <f t="shared" si="20"/>
        <v>12.540274416473309</v>
      </c>
      <c r="I95" s="38">
        <f t="shared" si="21"/>
        <v>43.391952998177544</v>
      </c>
      <c r="J95">
        <v>75</v>
      </c>
    </row>
    <row r="96" spans="2:10" x14ac:dyDescent="0.25">
      <c r="B96">
        <v>28.9</v>
      </c>
      <c r="C96" s="57">
        <v>47788</v>
      </c>
      <c r="F96">
        <v>1.08</v>
      </c>
      <c r="G96" s="38">
        <f t="shared" si="20"/>
        <v>12.620958919656605</v>
      </c>
      <c r="I96" s="38">
        <f t="shared" si="21"/>
        <v>43.671138130299674</v>
      </c>
      <c r="J96">
        <v>75</v>
      </c>
    </row>
    <row r="97" spans="2:10" x14ac:dyDescent="0.25">
      <c r="B97">
        <v>28.9</v>
      </c>
      <c r="C97" s="57">
        <v>47818</v>
      </c>
      <c r="F97">
        <v>1.08</v>
      </c>
      <c r="G97" s="38">
        <f t="shared" si="20"/>
        <v>12.702162549362791</v>
      </c>
      <c r="I97" s="38">
        <f t="shared" si="21"/>
        <v>43.952119547968138</v>
      </c>
      <c r="J97">
        <v>75</v>
      </c>
    </row>
    <row r="98" spans="2:10" x14ac:dyDescent="0.25">
      <c r="C98" s="57"/>
      <c r="G98" s="38"/>
      <c r="I98" s="38"/>
    </row>
    <row r="99" spans="2:10" x14ac:dyDescent="0.25">
      <c r="C99" s="57"/>
      <c r="G99" s="38"/>
      <c r="I99" s="38"/>
    </row>
    <row r="100" spans="2:10" x14ac:dyDescent="0.25">
      <c r="C100" s="57"/>
      <c r="G100" s="38"/>
      <c r="I100" s="38"/>
    </row>
    <row r="101" spans="2:10" x14ac:dyDescent="0.25">
      <c r="C101" s="57"/>
      <c r="G101" s="38"/>
      <c r="I101" s="38"/>
    </row>
    <row r="102" spans="2:10" x14ac:dyDescent="0.25">
      <c r="C102" s="57"/>
      <c r="G102" s="38"/>
      <c r="I102" s="38"/>
    </row>
    <row r="103" spans="2:10" x14ac:dyDescent="0.25">
      <c r="C103" s="57"/>
      <c r="G103" s="38"/>
      <c r="I103" s="38"/>
    </row>
    <row r="104" spans="2:10" x14ac:dyDescent="0.25">
      <c r="C104" s="57"/>
      <c r="G104" s="38"/>
      <c r="I104" s="38"/>
    </row>
    <row r="105" spans="2:10" x14ac:dyDescent="0.25">
      <c r="C105" s="57"/>
      <c r="G105" s="38"/>
      <c r="I105" s="38"/>
    </row>
  </sheetData>
  <conditionalFormatting sqref="I2:I105">
    <cfRule type="cellIs" dxfId="16" priority="1" operator="greaterThan">
      <formula>75</formula>
    </cfRule>
  </conditionalFormatting>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C3006-F805-410E-9B60-C79C322EDA5F}">
  <sheetPr codeName="Sheet12"/>
  <dimension ref="A1:J105"/>
  <sheetViews>
    <sheetView topLeftCell="A13" zoomScale="80" zoomScaleNormal="80" workbookViewId="0">
      <selection activeCell="I44" sqref="I44"/>
    </sheetView>
  </sheetViews>
  <sheetFormatPr defaultRowHeight="15" x14ac:dyDescent="0.25"/>
  <cols>
    <col min="1" max="1" width="39.5703125" customWidth="1"/>
    <col min="2" max="2" width="13.7109375" bestFit="1" customWidth="1"/>
    <col min="5" max="5" width="11.140625" bestFit="1" customWidth="1"/>
    <col min="6" max="6" width="10.7109375" bestFit="1" customWidth="1"/>
    <col min="7" max="7" width="12.42578125" customWidth="1"/>
    <col min="8" max="8" width="10.140625" bestFit="1" customWidth="1"/>
    <col min="9" max="9" width="13.140625" bestFit="1" customWidth="1"/>
    <col min="12" max="12" width="17.7109375" bestFit="1" customWidth="1"/>
    <col min="13" max="13" width="31.7109375" bestFit="1" customWidth="1"/>
    <col min="14" max="14" width="45.7109375" bestFit="1" customWidth="1"/>
  </cols>
  <sheetData>
    <row r="1" spans="1:10" x14ac:dyDescent="0.25">
      <c r="A1" s="61" t="s">
        <v>224</v>
      </c>
      <c r="B1" s="61" t="s">
        <v>119</v>
      </c>
      <c r="C1" s="61" t="s">
        <v>2</v>
      </c>
      <c r="D1" s="61" t="s">
        <v>120</v>
      </c>
      <c r="E1" s="61" t="s">
        <v>121</v>
      </c>
      <c r="F1" s="61" t="s">
        <v>122</v>
      </c>
      <c r="G1" s="61" t="s">
        <v>123</v>
      </c>
      <c r="H1" s="61" t="s">
        <v>124</v>
      </c>
      <c r="I1" s="61" t="s">
        <v>125</v>
      </c>
      <c r="J1" s="61" t="s">
        <v>126</v>
      </c>
    </row>
    <row r="2" spans="1:10" x14ac:dyDescent="0.25">
      <c r="A2" t="s">
        <v>108</v>
      </c>
      <c r="B2">
        <v>16.100000000000001</v>
      </c>
      <c r="C2" s="57">
        <v>44927</v>
      </c>
      <c r="D2" s="38">
        <f>'Data Collection Sheet'!U147</f>
        <v>6.6</v>
      </c>
      <c r="E2" s="38"/>
      <c r="F2" s="38"/>
      <c r="G2" s="38"/>
      <c r="H2" s="38">
        <f t="shared" ref="H2:H7" si="0">(D2/B2)*100</f>
        <v>40.993788819875768</v>
      </c>
      <c r="I2" s="38"/>
      <c r="J2">
        <v>75</v>
      </c>
    </row>
    <row r="3" spans="1:10" x14ac:dyDescent="0.25">
      <c r="B3">
        <v>16.100000000000001</v>
      </c>
      <c r="C3" s="57">
        <v>44958</v>
      </c>
      <c r="D3" s="38">
        <f>'Data Collection Sheet'!V147</f>
        <v>6.6</v>
      </c>
      <c r="E3" s="38"/>
      <c r="F3" s="38"/>
      <c r="G3" s="38"/>
      <c r="H3" s="38">
        <f t="shared" si="0"/>
        <v>40.993788819875768</v>
      </c>
      <c r="I3" s="38"/>
      <c r="J3">
        <v>75</v>
      </c>
    </row>
    <row r="4" spans="1:10" x14ac:dyDescent="0.25">
      <c r="B4">
        <v>16.100000000000001</v>
      </c>
      <c r="C4" s="57">
        <v>44986</v>
      </c>
      <c r="D4" s="38">
        <f>'Data Collection Sheet'!W147</f>
        <v>7.1</v>
      </c>
      <c r="E4" s="38"/>
      <c r="G4" s="38"/>
      <c r="H4" s="38">
        <f t="shared" si="0"/>
        <v>44.099378881987569</v>
      </c>
      <c r="I4" s="38"/>
      <c r="J4">
        <v>75</v>
      </c>
    </row>
    <row r="5" spans="1:10" x14ac:dyDescent="0.25">
      <c r="B5">
        <v>16.100000000000001</v>
      </c>
      <c r="C5" s="57">
        <v>45017</v>
      </c>
      <c r="D5" s="38">
        <f>'Data Collection Sheet'!X147</f>
        <v>6.9</v>
      </c>
      <c r="G5" s="38"/>
      <c r="H5" s="38">
        <f t="shared" si="0"/>
        <v>42.857142857142854</v>
      </c>
      <c r="I5" s="38"/>
      <c r="J5">
        <v>75</v>
      </c>
    </row>
    <row r="6" spans="1:10" x14ac:dyDescent="0.25">
      <c r="B6">
        <v>16.100000000000001</v>
      </c>
      <c r="C6" s="57">
        <v>45047</v>
      </c>
      <c r="D6" s="38">
        <f>'Data Collection Sheet'!Y147</f>
        <v>6.9</v>
      </c>
      <c r="G6" s="38"/>
      <c r="H6" s="38">
        <f t="shared" si="0"/>
        <v>42.857142857142854</v>
      </c>
      <c r="I6" s="38"/>
      <c r="J6">
        <v>75</v>
      </c>
    </row>
    <row r="7" spans="1:10" x14ac:dyDescent="0.25">
      <c r="B7">
        <v>16.100000000000001</v>
      </c>
      <c r="C7" s="57">
        <v>45078</v>
      </c>
      <c r="D7" s="38">
        <f>'Data Collection Sheet'!Z147</f>
        <v>6.4</v>
      </c>
      <c r="G7" s="38"/>
      <c r="H7" s="38">
        <f t="shared" si="0"/>
        <v>39.751552795031053</v>
      </c>
      <c r="I7" s="38"/>
      <c r="J7">
        <v>75</v>
      </c>
    </row>
    <row r="8" spans="1:10" x14ac:dyDescent="0.25">
      <c r="B8">
        <v>16.100000000000001</v>
      </c>
      <c r="C8" s="57">
        <v>45108</v>
      </c>
      <c r="D8" s="38">
        <f>'Data Collection Sheet'!AA147</f>
        <v>6.7</v>
      </c>
      <c r="G8" s="38"/>
      <c r="H8" s="38">
        <f t="shared" ref="H8:H13" si="1">(D8/B8)*100</f>
        <v>41.614906832298132</v>
      </c>
      <c r="I8" s="38"/>
      <c r="J8">
        <v>75</v>
      </c>
    </row>
    <row r="9" spans="1:10" x14ac:dyDescent="0.25">
      <c r="B9">
        <v>16.100000000000001</v>
      </c>
      <c r="C9" s="57">
        <v>45139</v>
      </c>
      <c r="D9" s="38">
        <f>'Data Collection Sheet'!AB147</f>
        <v>6.7</v>
      </c>
      <c r="G9" s="38"/>
      <c r="H9" s="38">
        <f t="shared" si="1"/>
        <v>41.614906832298132</v>
      </c>
      <c r="I9" s="38"/>
      <c r="J9">
        <v>75</v>
      </c>
    </row>
    <row r="10" spans="1:10" x14ac:dyDescent="0.25">
      <c r="B10">
        <v>16.100000000000001</v>
      </c>
      <c r="C10" s="57">
        <v>45170</v>
      </c>
      <c r="D10" s="38">
        <f>'Data Collection Sheet'!AC147</f>
        <v>6.8</v>
      </c>
      <c r="G10" s="38"/>
      <c r="H10" s="38">
        <f t="shared" si="1"/>
        <v>42.236024844720497</v>
      </c>
      <c r="I10" s="38"/>
      <c r="J10">
        <v>75</v>
      </c>
    </row>
    <row r="11" spans="1:10" x14ac:dyDescent="0.25">
      <c r="B11">
        <v>16.100000000000001</v>
      </c>
      <c r="C11" s="57">
        <v>45200</v>
      </c>
      <c r="D11" s="38">
        <f>'Data Collection Sheet'!AD147</f>
        <v>6.7</v>
      </c>
      <c r="G11" s="38"/>
      <c r="H11" s="38">
        <f t="shared" si="1"/>
        <v>41.614906832298132</v>
      </c>
      <c r="I11" s="38"/>
      <c r="J11">
        <v>75</v>
      </c>
    </row>
    <row r="12" spans="1:10" x14ac:dyDescent="0.25">
      <c r="B12">
        <v>16.100000000000001</v>
      </c>
      <c r="C12" s="57">
        <v>45231</v>
      </c>
      <c r="D12" s="38">
        <f>'Data Collection Sheet'!AE147</f>
        <v>6.8</v>
      </c>
      <c r="G12" s="38"/>
      <c r="H12" s="38">
        <f t="shared" si="1"/>
        <v>42.236024844720497</v>
      </c>
      <c r="I12" s="38"/>
      <c r="J12">
        <v>75</v>
      </c>
    </row>
    <row r="13" spans="1:10" x14ac:dyDescent="0.25">
      <c r="B13">
        <v>16.100000000000001</v>
      </c>
      <c r="C13" s="57">
        <v>45261</v>
      </c>
      <c r="D13" s="38">
        <f>'Data Collection Sheet'!AF147</f>
        <v>6.3</v>
      </c>
      <c r="G13" s="38"/>
      <c r="H13" s="38">
        <f t="shared" si="1"/>
        <v>39.130434782608688</v>
      </c>
      <c r="I13" s="38"/>
      <c r="J13">
        <v>75</v>
      </c>
    </row>
    <row r="14" spans="1:10" x14ac:dyDescent="0.25">
      <c r="B14">
        <v>16.100000000000001</v>
      </c>
      <c r="C14" s="57">
        <v>45292</v>
      </c>
      <c r="D14" s="38">
        <f>'Data Collection Sheet'!AG147</f>
        <v>6.4</v>
      </c>
      <c r="G14" s="38"/>
      <c r="H14" s="38">
        <f t="shared" ref="H14:H19" si="2">(D14/B14)*100</f>
        <v>39.751552795031053</v>
      </c>
      <c r="I14" s="38"/>
      <c r="J14">
        <v>75</v>
      </c>
    </row>
    <row r="15" spans="1:10" x14ac:dyDescent="0.25">
      <c r="B15">
        <v>16.100000000000001</v>
      </c>
      <c r="C15" s="57">
        <v>45323</v>
      </c>
      <c r="D15" s="38">
        <f>'Data Collection Sheet'!AH147</f>
        <v>6.6</v>
      </c>
      <c r="G15" s="38"/>
      <c r="H15" s="38">
        <f t="shared" si="2"/>
        <v>40.993788819875768</v>
      </c>
      <c r="I15" s="38"/>
      <c r="J15">
        <v>75</v>
      </c>
    </row>
    <row r="16" spans="1:10" x14ac:dyDescent="0.25">
      <c r="B16">
        <v>16.100000000000001</v>
      </c>
      <c r="C16" s="57">
        <v>45352</v>
      </c>
      <c r="D16" s="38">
        <f>'Data Collection Sheet'!AI147</f>
        <v>6.6</v>
      </c>
      <c r="G16" s="38"/>
      <c r="H16" s="38">
        <f t="shared" si="2"/>
        <v>40.993788819875768</v>
      </c>
      <c r="I16" s="38"/>
      <c r="J16">
        <v>75</v>
      </c>
    </row>
    <row r="17" spans="1:10" x14ac:dyDescent="0.25">
      <c r="B17">
        <v>16.100000000000001</v>
      </c>
      <c r="C17" s="57">
        <v>45383</v>
      </c>
      <c r="D17" s="38">
        <f>'Data Collection Sheet'!AJ147</f>
        <v>6.6</v>
      </c>
      <c r="G17" s="38"/>
      <c r="H17" s="38">
        <f t="shared" si="2"/>
        <v>40.993788819875768</v>
      </c>
      <c r="I17" s="38"/>
      <c r="J17">
        <v>75</v>
      </c>
    </row>
    <row r="18" spans="1:10" x14ac:dyDescent="0.25">
      <c r="B18">
        <v>16.100000000000001</v>
      </c>
      <c r="C18" s="57">
        <v>45413</v>
      </c>
      <c r="D18" s="38">
        <f>'Data Collection Sheet'!AK147</f>
        <v>6.4</v>
      </c>
      <c r="G18" s="38"/>
      <c r="H18" s="38">
        <f t="shared" si="2"/>
        <v>39.751552795031053</v>
      </c>
      <c r="I18" s="38"/>
      <c r="J18">
        <v>75</v>
      </c>
    </row>
    <row r="19" spans="1:10" x14ac:dyDescent="0.25">
      <c r="B19">
        <v>16.100000000000001</v>
      </c>
      <c r="C19" s="57">
        <v>45444</v>
      </c>
      <c r="D19" s="38">
        <f>'Data Collection Sheet'!AL147</f>
        <v>6.6</v>
      </c>
      <c r="G19" s="38"/>
      <c r="H19" s="38">
        <f t="shared" si="2"/>
        <v>40.993788819875768</v>
      </c>
      <c r="I19" s="38"/>
      <c r="J19">
        <v>75</v>
      </c>
    </row>
    <row r="20" spans="1:10" x14ac:dyDescent="0.25">
      <c r="B20">
        <v>16.100000000000001</v>
      </c>
      <c r="C20" s="57">
        <v>45474</v>
      </c>
      <c r="D20" s="38">
        <f>'Data Collection Sheet'!AM147</f>
        <v>6.7</v>
      </c>
      <c r="G20" s="38"/>
      <c r="H20" s="38">
        <f t="shared" ref="H20" si="3">(D20/B20)*100</f>
        <v>41.614906832298132</v>
      </c>
      <c r="I20" s="38"/>
      <c r="J20">
        <v>75</v>
      </c>
    </row>
    <row r="21" spans="1:10" x14ac:dyDescent="0.25">
      <c r="B21">
        <v>16.100000000000001</v>
      </c>
      <c r="C21" s="57">
        <v>45505</v>
      </c>
      <c r="D21" s="38">
        <f>'Data Collection Sheet'!AN147</f>
        <v>7.2</v>
      </c>
      <c r="G21" s="38"/>
      <c r="H21" s="38">
        <f t="shared" ref="H21" si="4">(D21/B21)*100</f>
        <v>44.720496894409933</v>
      </c>
      <c r="I21" s="38"/>
      <c r="J21">
        <v>75</v>
      </c>
    </row>
    <row r="22" spans="1:10" x14ac:dyDescent="0.25">
      <c r="B22">
        <v>16.100000000000001</v>
      </c>
      <c r="C22" s="57">
        <v>45536</v>
      </c>
      <c r="D22" s="38">
        <f>'Data Collection Sheet'!AO147</f>
        <v>7.4</v>
      </c>
      <c r="G22" s="38"/>
      <c r="H22" s="38">
        <f t="shared" ref="H22" si="5">(D22/B22)*100</f>
        <v>45.962732919254655</v>
      </c>
      <c r="I22" s="38"/>
      <c r="J22">
        <v>75</v>
      </c>
    </row>
    <row r="23" spans="1:10" x14ac:dyDescent="0.25">
      <c r="B23">
        <v>16.100000000000001</v>
      </c>
      <c r="C23" s="57">
        <v>45566</v>
      </c>
      <c r="D23" s="38">
        <f>'Data Collection Sheet'!AP147</f>
        <v>7.7</v>
      </c>
      <c r="G23" s="38"/>
      <c r="H23" s="38">
        <f t="shared" ref="H23" si="6">(D23/B23)*100</f>
        <v>47.826086956521735</v>
      </c>
      <c r="I23" s="38"/>
      <c r="J23">
        <v>75</v>
      </c>
    </row>
    <row r="24" spans="1:10" x14ac:dyDescent="0.25">
      <c r="B24">
        <v>16.100000000000001</v>
      </c>
      <c r="C24" s="57">
        <v>45597</v>
      </c>
      <c r="D24" s="38">
        <f>'Data Collection Sheet'!AQ147</f>
        <v>7.7</v>
      </c>
      <c r="G24" s="38"/>
      <c r="H24" s="38">
        <f t="shared" ref="H24" si="7">(D24/B24)*100</f>
        <v>47.826086956521735</v>
      </c>
      <c r="I24" s="38"/>
      <c r="J24">
        <v>75</v>
      </c>
    </row>
    <row r="25" spans="1:10" x14ac:dyDescent="0.25">
      <c r="B25">
        <v>16.100000000000001</v>
      </c>
      <c r="C25" s="57">
        <v>45627</v>
      </c>
      <c r="D25" s="38">
        <f>'Data Collection Sheet'!AR147</f>
        <v>7.4</v>
      </c>
      <c r="G25" s="38"/>
      <c r="H25" s="38">
        <f>(D25/B25)*100</f>
        <v>45.962732919254655</v>
      </c>
      <c r="I25" s="38"/>
      <c r="J25">
        <v>75</v>
      </c>
    </row>
    <row r="26" spans="1:10" x14ac:dyDescent="0.25">
      <c r="B26">
        <v>16.100000000000001</v>
      </c>
      <c r="C26" s="57">
        <v>45658</v>
      </c>
      <c r="D26" s="38">
        <f>'Data Collection Sheet'!AS147</f>
        <v>7.6</v>
      </c>
      <c r="G26" s="38"/>
      <c r="H26" s="38">
        <f>(D26/B26)*100</f>
        <v>47.20496894409937</v>
      </c>
      <c r="I26" s="38"/>
      <c r="J26">
        <v>75</v>
      </c>
    </row>
    <row r="27" spans="1:10" x14ac:dyDescent="0.25">
      <c r="B27">
        <v>16.100000000000001</v>
      </c>
      <c r="C27" s="57">
        <v>45689</v>
      </c>
      <c r="D27" s="38">
        <f>'Data Collection Sheet'!AT$147</f>
        <v>7.4</v>
      </c>
      <c r="G27" s="38"/>
      <c r="H27" s="38">
        <f>(D27/B27)*100</f>
        <v>45.962732919254655</v>
      </c>
      <c r="I27" s="38"/>
      <c r="J27">
        <v>75</v>
      </c>
    </row>
    <row r="28" spans="1:10" x14ac:dyDescent="0.25">
      <c r="B28">
        <v>16.100000000000001</v>
      </c>
      <c r="C28" s="57">
        <v>45717</v>
      </c>
      <c r="D28" s="38">
        <f>'Data Collection Sheet'!AU$147</f>
        <v>7.5</v>
      </c>
      <c r="G28" s="38"/>
      <c r="H28" s="38">
        <f t="shared" ref="H28:H29" si="8">(D28/B28)*100</f>
        <v>46.583850931677013</v>
      </c>
      <c r="I28" s="38"/>
      <c r="J28">
        <v>75</v>
      </c>
    </row>
    <row r="29" spans="1:10" x14ac:dyDescent="0.25">
      <c r="A29" t="s">
        <v>220</v>
      </c>
      <c r="B29">
        <v>16.100000000000001</v>
      </c>
      <c r="C29" s="57">
        <v>45748</v>
      </c>
      <c r="D29" s="38">
        <f>'Data Collection Sheet'!AV$147</f>
        <v>7.7</v>
      </c>
      <c r="G29" s="38"/>
      <c r="H29" s="38">
        <f t="shared" si="8"/>
        <v>47.826086956521735</v>
      </c>
      <c r="I29" s="38"/>
      <c r="J29">
        <v>75</v>
      </c>
    </row>
    <row r="30" spans="1:10" x14ac:dyDescent="0.25">
      <c r="B30">
        <v>16.100000000000001</v>
      </c>
      <c r="C30" s="57">
        <v>45778</v>
      </c>
      <c r="D30" s="38">
        <f>'Data Collection Sheet'!AW$147</f>
        <v>7.7</v>
      </c>
      <c r="G30" s="38"/>
      <c r="H30" s="38">
        <f t="shared" ref="H30" si="9">(D30/B30)*100</f>
        <v>47.826086956521735</v>
      </c>
      <c r="I30" s="38"/>
      <c r="J30">
        <v>75</v>
      </c>
    </row>
    <row r="31" spans="1:10" x14ac:dyDescent="0.25">
      <c r="B31">
        <v>16.100000000000001</v>
      </c>
      <c r="C31" s="57">
        <v>45809</v>
      </c>
      <c r="D31" s="38">
        <f>'Data Collection Sheet'!AX$147</f>
        <v>7.7</v>
      </c>
      <c r="G31" s="38"/>
      <c r="H31" s="38">
        <f t="shared" ref="H31" si="10">(D31/B31)*100</f>
        <v>47.826086956521735</v>
      </c>
      <c r="I31" s="38"/>
      <c r="J31">
        <v>75</v>
      </c>
    </row>
    <row r="32" spans="1:10" x14ac:dyDescent="0.25">
      <c r="B32">
        <v>16.100000000000001</v>
      </c>
      <c r="C32" s="57">
        <v>45839</v>
      </c>
      <c r="D32" s="38">
        <f>'Data Collection Sheet'!AY$147</f>
        <v>7.8</v>
      </c>
      <c r="G32" s="38"/>
      <c r="H32" s="38">
        <f t="shared" ref="H32" si="11">(D32/B32)*100</f>
        <v>48.447204968944099</v>
      </c>
      <c r="I32" s="38"/>
      <c r="J32">
        <v>75</v>
      </c>
    </row>
    <row r="33" spans="1:10" x14ac:dyDescent="0.25">
      <c r="B33">
        <v>16.100000000000001</v>
      </c>
      <c r="C33" s="57">
        <v>45870</v>
      </c>
      <c r="D33" s="38">
        <f>'Data Collection Sheet'!AZ$147</f>
        <v>8</v>
      </c>
      <c r="G33" s="38"/>
      <c r="H33" s="38">
        <f t="shared" ref="H33" si="12">(D33/B33)*100</f>
        <v>49.689440993788814</v>
      </c>
      <c r="I33" s="38"/>
      <c r="J33">
        <v>75</v>
      </c>
    </row>
    <row r="34" spans="1:10" x14ac:dyDescent="0.25">
      <c r="A34" t="s">
        <v>210</v>
      </c>
      <c r="B34">
        <v>16.100000000000001</v>
      </c>
      <c r="C34" s="57">
        <v>45901</v>
      </c>
      <c r="D34" s="38">
        <f>'Data Collection Sheet'!BA$147</f>
        <v>8</v>
      </c>
      <c r="G34" s="38"/>
      <c r="H34" s="38">
        <f t="shared" ref="H34:H40" si="13">(D34/B34)*100</f>
        <v>49.689440993788814</v>
      </c>
      <c r="I34" s="38"/>
      <c r="J34">
        <v>75</v>
      </c>
    </row>
    <row r="35" spans="1:10" x14ac:dyDescent="0.25">
      <c r="B35">
        <v>16.100000000000001</v>
      </c>
      <c r="C35" s="57">
        <v>45931</v>
      </c>
      <c r="D35" s="38">
        <f>'Data Collection Sheet'!BB$147</f>
        <v>8</v>
      </c>
      <c r="G35" s="38"/>
      <c r="H35" s="38">
        <f t="shared" si="13"/>
        <v>49.689440993788814</v>
      </c>
      <c r="I35" s="38"/>
      <c r="J35">
        <v>75</v>
      </c>
    </row>
    <row r="36" spans="1:10" x14ac:dyDescent="0.25">
      <c r="B36">
        <v>16.100000000000001</v>
      </c>
      <c r="C36" s="57">
        <v>45962</v>
      </c>
      <c r="D36" s="38">
        <f>'Data Collection Sheet'!BC$147</f>
        <v>7.3</v>
      </c>
      <c r="G36" s="38"/>
      <c r="H36" s="38">
        <f t="shared" si="13"/>
        <v>45.341614906832298</v>
      </c>
      <c r="I36" s="38"/>
      <c r="J36">
        <v>75</v>
      </c>
    </row>
    <row r="37" spans="1:10" x14ac:dyDescent="0.25">
      <c r="B37">
        <v>16.100000000000001</v>
      </c>
      <c r="C37" s="57">
        <v>45992</v>
      </c>
      <c r="D37" s="38">
        <f>'Data Collection Sheet'!BD$147</f>
        <v>7.7</v>
      </c>
      <c r="G37" s="38"/>
      <c r="H37" s="38">
        <f t="shared" si="13"/>
        <v>47.826086956521735</v>
      </c>
      <c r="I37" s="38"/>
      <c r="J37">
        <v>75</v>
      </c>
    </row>
    <row r="38" spans="1:10" x14ac:dyDescent="0.25">
      <c r="B38">
        <v>16.100000000000001</v>
      </c>
      <c r="C38" s="57">
        <v>46023</v>
      </c>
      <c r="D38" s="38">
        <f>'Data Collection Sheet'!BE$147</f>
        <v>7.9</v>
      </c>
      <c r="G38" s="38"/>
      <c r="H38" s="38">
        <f t="shared" si="13"/>
        <v>49.068322981366457</v>
      </c>
      <c r="I38" s="38"/>
      <c r="J38">
        <v>75</v>
      </c>
    </row>
    <row r="39" spans="1:10" x14ac:dyDescent="0.25">
      <c r="B39">
        <v>16.100000000000001</v>
      </c>
      <c r="C39" s="57">
        <v>46054</v>
      </c>
      <c r="D39" s="38">
        <f>'Data Collection Sheet'!BF$147</f>
        <v>8</v>
      </c>
      <c r="G39" s="38"/>
      <c r="H39" s="38">
        <f t="shared" si="13"/>
        <v>49.689440993788814</v>
      </c>
      <c r="I39" s="38"/>
      <c r="J39">
        <v>75</v>
      </c>
    </row>
    <row r="40" spans="1:10" x14ac:dyDescent="0.25">
      <c r="B40">
        <v>16.100000000000001</v>
      </c>
      <c r="C40" s="57">
        <v>46082</v>
      </c>
      <c r="D40" s="38">
        <f>'Data Collection Sheet'!BG$147</f>
        <v>8</v>
      </c>
      <c r="G40" s="38"/>
      <c r="H40" s="38">
        <f t="shared" si="13"/>
        <v>49.689440993788814</v>
      </c>
      <c r="I40" s="38"/>
      <c r="J40">
        <v>75</v>
      </c>
    </row>
    <row r="41" spans="1:10" x14ac:dyDescent="0.25">
      <c r="B41">
        <v>16.100000000000001</v>
      </c>
      <c r="C41" s="57">
        <v>46113</v>
      </c>
      <c r="D41" s="38">
        <f>'Data Collection Sheet'!BH$147</f>
        <v>8</v>
      </c>
      <c r="G41" s="38"/>
      <c r="H41" s="38">
        <f t="shared" ref="H41" si="14">(D41/B41)*100</f>
        <v>49.689440993788814</v>
      </c>
      <c r="I41" s="38"/>
      <c r="J41">
        <v>75</v>
      </c>
    </row>
    <row r="42" spans="1:10" x14ac:dyDescent="0.25">
      <c r="B42">
        <v>16.100000000000001</v>
      </c>
      <c r="C42" s="57">
        <v>46143</v>
      </c>
      <c r="D42" s="38">
        <f>'Data Collection Sheet'!BI$147</f>
        <v>8</v>
      </c>
      <c r="G42" s="38"/>
      <c r="H42" s="38">
        <f t="shared" ref="H42" si="15">(D42/B42)*100</f>
        <v>49.689440993788814</v>
      </c>
      <c r="I42" s="38"/>
      <c r="J42">
        <v>75</v>
      </c>
    </row>
    <row r="43" spans="1:10" x14ac:dyDescent="0.25">
      <c r="B43">
        <v>16.100000000000001</v>
      </c>
      <c r="C43" s="57">
        <v>46174</v>
      </c>
      <c r="D43" s="38">
        <f>'Data Collection Sheet'!BJ$147</f>
        <v>8</v>
      </c>
      <c r="G43" s="38"/>
      <c r="H43" s="38">
        <f>(D43/B43)*100</f>
        <v>49.689440993788814</v>
      </c>
      <c r="I43" s="38"/>
      <c r="J43">
        <v>75</v>
      </c>
    </row>
    <row r="44" spans="1:10" x14ac:dyDescent="0.25">
      <c r="B44">
        <v>16.100000000000001</v>
      </c>
      <c r="C44" s="57">
        <v>46204</v>
      </c>
      <c r="D44" s="38">
        <f>'Data Collection Sheet'!BK$147</f>
        <v>8</v>
      </c>
      <c r="G44" s="38"/>
      <c r="H44" s="38">
        <f>(D44/B44)*100</f>
        <v>49.689440993788814</v>
      </c>
      <c r="I44" s="38"/>
      <c r="J44">
        <v>75</v>
      </c>
    </row>
    <row r="45" spans="1:10" x14ac:dyDescent="0.25">
      <c r="B45">
        <v>16.100000000000001</v>
      </c>
      <c r="C45" s="57">
        <v>46235</v>
      </c>
      <c r="D45" s="38">
        <f>'Data Collection Sheet'!BL$147</f>
        <v>7.3</v>
      </c>
      <c r="F45">
        <v>8.08</v>
      </c>
      <c r="G45" s="38">
        <f>D45</f>
        <v>7.3</v>
      </c>
      <c r="H45" s="38">
        <f>(D45/B45)*100</f>
        <v>45.341614906832298</v>
      </c>
      <c r="I45" s="38">
        <f t="shared" ref="I45" si="16">(G45/B45)*100</f>
        <v>45.341614906832298</v>
      </c>
      <c r="J45">
        <v>75</v>
      </c>
    </row>
    <row r="46" spans="1:10" x14ac:dyDescent="0.25">
      <c r="B46">
        <v>16.100000000000001</v>
      </c>
      <c r="C46" s="57">
        <v>46266</v>
      </c>
      <c r="F46">
        <v>1.08</v>
      </c>
      <c r="G46" s="38">
        <f t="shared" ref="G46:G68" si="17">G45*(1+(F46^(1/12)-1))+E46</f>
        <v>7.3469684198030247</v>
      </c>
      <c r="H46" s="38"/>
      <c r="I46" s="38">
        <f t="shared" ref="I46:I68" si="18">(G46/B46)*100</f>
        <v>45.63334422237903</v>
      </c>
      <c r="J46">
        <v>75</v>
      </c>
    </row>
    <row r="47" spans="1:10" x14ac:dyDescent="0.25">
      <c r="B47">
        <v>16.100000000000001</v>
      </c>
      <c r="C47" s="57">
        <v>46296</v>
      </c>
      <c r="F47">
        <v>1.08</v>
      </c>
      <c r="G47" s="38">
        <f>G46*(1+(F47^(1/12)-1))+E47</f>
        <v>7.3942390358332819</v>
      </c>
      <c r="H47" s="38"/>
      <c r="I47" s="38">
        <f t="shared" si="18"/>
        <v>45.926950533125968</v>
      </c>
      <c r="J47">
        <v>75</v>
      </c>
    </row>
    <row r="48" spans="1:10" x14ac:dyDescent="0.25">
      <c r="B48">
        <v>16.100000000000001</v>
      </c>
      <c r="C48" s="57">
        <v>46327</v>
      </c>
      <c r="F48">
        <v>1.08</v>
      </c>
      <c r="G48" s="38">
        <f t="shared" si="17"/>
        <v>7.4418137924303958</v>
      </c>
      <c r="H48" s="38"/>
      <c r="I48" s="38">
        <f t="shared" si="18"/>
        <v>46.22244591571674</v>
      </c>
      <c r="J48">
        <v>75</v>
      </c>
    </row>
    <row r="49" spans="2:10" x14ac:dyDescent="0.25">
      <c r="B49">
        <v>16.100000000000001</v>
      </c>
      <c r="C49" s="57">
        <v>46357</v>
      </c>
      <c r="F49">
        <v>1.08</v>
      </c>
      <c r="G49" s="38">
        <f t="shared" si="17"/>
        <v>7.4896946464439313</v>
      </c>
      <c r="H49" s="38"/>
      <c r="I49" s="38">
        <f t="shared" si="18"/>
        <v>46.519842524496461</v>
      </c>
      <c r="J49">
        <v>75</v>
      </c>
    </row>
    <row r="50" spans="2:10" x14ac:dyDescent="0.25">
      <c r="B50">
        <v>16.100000000000001</v>
      </c>
      <c r="C50" s="57">
        <v>46388</v>
      </c>
      <c r="D50" s="38"/>
      <c r="F50">
        <v>1.08</v>
      </c>
      <c r="G50" s="38">
        <f t="shared" si="17"/>
        <v>7.5378835673138829</v>
      </c>
      <c r="H50" s="38"/>
      <c r="I50" s="38">
        <f t="shared" si="18"/>
        <v>46.81915259201169</v>
      </c>
      <c r="J50">
        <v>75</v>
      </c>
    </row>
    <row r="51" spans="2:10" x14ac:dyDescent="0.25">
      <c r="B51">
        <v>16.100000000000001</v>
      </c>
      <c r="C51" s="57">
        <v>46419</v>
      </c>
      <c r="D51" s="38"/>
      <c r="F51">
        <v>1.08</v>
      </c>
      <c r="G51" s="38">
        <f t="shared" si="17"/>
        <v>7.5863825371516809</v>
      </c>
      <c r="H51" s="38"/>
      <c r="I51" s="38">
        <f t="shared" si="18"/>
        <v>47.120388429513547</v>
      </c>
      <c r="J51">
        <v>75</v>
      </c>
    </row>
    <row r="52" spans="2:10" x14ac:dyDescent="0.25">
      <c r="B52">
        <v>16.100000000000001</v>
      </c>
      <c r="C52" s="57">
        <v>46447</v>
      </c>
      <c r="D52" s="38"/>
      <c r="F52">
        <v>1.08</v>
      </c>
      <c r="G52" s="38">
        <f t="shared" si="17"/>
        <v>7.635193550821719</v>
      </c>
      <c r="H52" s="38"/>
      <c r="I52" s="38">
        <f t="shared" si="18"/>
        <v>47.423562427464091</v>
      </c>
      <c r="J52">
        <v>75</v>
      </c>
    </row>
    <row r="53" spans="2:10" x14ac:dyDescent="0.25">
      <c r="B53">
        <v>16.100000000000001</v>
      </c>
      <c r="C53" s="57">
        <v>46478</v>
      </c>
      <c r="D53" s="38"/>
      <c r="F53">
        <v>1.08</v>
      </c>
      <c r="G53" s="38">
        <f t="shared" si="17"/>
        <v>7.6843186160234103</v>
      </c>
      <c r="H53" s="38"/>
      <c r="I53" s="38">
        <f t="shared" si="18"/>
        <v>47.72868705604602</v>
      </c>
      <c r="J53">
        <v>75</v>
      </c>
    </row>
    <row r="54" spans="2:10" x14ac:dyDescent="0.25">
      <c r="B54">
        <v>16.100000000000001</v>
      </c>
      <c r="C54" s="57">
        <v>46508</v>
      </c>
      <c r="D54" s="38"/>
      <c r="F54">
        <v>1.08</v>
      </c>
      <c r="G54" s="38">
        <f t="shared" si="17"/>
        <v>7.7337597533737652</v>
      </c>
      <c r="H54" s="38"/>
      <c r="I54" s="38">
        <f t="shared" si="18"/>
        <v>48.035774865675556</v>
      </c>
      <c r="J54">
        <v>75</v>
      </c>
    </row>
    <row r="55" spans="2:10" x14ac:dyDescent="0.25">
      <c r="B55">
        <v>16.100000000000001</v>
      </c>
      <c r="C55" s="57">
        <v>46539</v>
      </c>
      <c r="D55" s="38"/>
      <c r="F55">
        <v>1.08</v>
      </c>
      <c r="G55" s="38">
        <f t="shared" si="17"/>
        <v>7.7835189964905043</v>
      </c>
      <c r="H55" s="38"/>
      <c r="I55" s="38">
        <f t="shared" si="18"/>
        <v>48.344838487518658</v>
      </c>
      <c r="J55">
        <v>75</v>
      </c>
    </row>
    <row r="56" spans="2:10" x14ac:dyDescent="0.25">
      <c r="B56">
        <v>16.100000000000001</v>
      </c>
      <c r="C56" s="57">
        <v>46569</v>
      </c>
      <c r="F56">
        <v>1.08</v>
      </c>
      <c r="G56" s="38">
        <f t="shared" si="17"/>
        <v>7.8335983920757082</v>
      </c>
      <c r="H56" s="38"/>
      <c r="I56" s="38">
        <f t="shared" si="18"/>
        <v>48.655890634010603</v>
      </c>
      <c r="J56">
        <v>75</v>
      </c>
    </row>
    <row r="57" spans="2:10" x14ac:dyDescent="0.25">
      <c r="B57">
        <v>16.100000000000001</v>
      </c>
      <c r="C57" s="57">
        <v>46600</v>
      </c>
      <c r="F57">
        <v>1.08</v>
      </c>
      <c r="G57" s="38">
        <f t="shared" si="17"/>
        <v>7.8839999999999977</v>
      </c>
      <c r="H57" s="38"/>
      <c r="I57" s="38">
        <f t="shared" si="18"/>
        <v>48.968944099378866</v>
      </c>
      <c r="J57">
        <v>75</v>
      </c>
    </row>
    <row r="58" spans="2:10" x14ac:dyDescent="0.25">
      <c r="B58">
        <v>16.100000000000001</v>
      </c>
      <c r="C58" s="57">
        <v>46631</v>
      </c>
      <c r="F58">
        <v>1.08</v>
      </c>
      <c r="G58" s="38">
        <f t="shared" si="17"/>
        <v>7.9347258933872649</v>
      </c>
      <c r="H58" s="38"/>
      <c r="I58" s="38">
        <f t="shared" si="18"/>
        <v>49.284011760169342</v>
      </c>
      <c r="J58">
        <v>75</v>
      </c>
    </row>
    <row r="59" spans="2:10" x14ac:dyDescent="0.25">
      <c r="B59">
        <v>16.100000000000001</v>
      </c>
      <c r="C59" s="57">
        <v>46661</v>
      </c>
      <c r="F59">
        <v>1.08</v>
      </c>
      <c r="G59" s="38">
        <f t="shared" si="17"/>
        <v>7.9857781586999428</v>
      </c>
      <c r="H59" s="38"/>
      <c r="I59" s="38">
        <f t="shared" si="18"/>
        <v>49.601106575776036</v>
      </c>
      <c r="J59">
        <v>75</v>
      </c>
    </row>
    <row r="60" spans="2:10" x14ac:dyDescent="0.25">
      <c r="B60">
        <v>16.100000000000001</v>
      </c>
      <c r="C60" s="57">
        <v>46692</v>
      </c>
      <c r="E60" s="38"/>
      <c r="F60">
        <v>1.08</v>
      </c>
      <c r="G60" s="38">
        <f t="shared" si="17"/>
        <v>8.0371588958248257</v>
      </c>
      <c r="H60" s="38"/>
      <c r="I60" s="38">
        <f t="shared" si="18"/>
        <v>49.920241588974065</v>
      </c>
      <c r="J60">
        <v>75</v>
      </c>
    </row>
    <row r="61" spans="2:10" x14ac:dyDescent="0.25">
      <c r="B61">
        <v>16.100000000000001</v>
      </c>
      <c r="C61" s="57">
        <v>46722</v>
      </c>
      <c r="E61" s="38"/>
      <c r="F61">
        <v>1.08</v>
      </c>
      <c r="G61" s="38">
        <f t="shared" si="17"/>
        <v>8.0888702181594443</v>
      </c>
      <c r="H61" s="38"/>
      <c r="I61" s="38">
        <f t="shared" si="18"/>
        <v>50.241429926456171</v>
      </c>
      <c r="J61">
        <v>75</v>
      </c>
    </row>
    <row r="62" spans="2:10" x14ac:dyDescent="0.25">
      <c r="B62">
        <v>16.100000000000001</v>
      </c>
      <c r="C62" s="57">
        <v>46753</v>
      </c>
      <c r="E62" s="38"/>
      <c r="F62">
        <v>1.08</v>
      </c>
      <c r="G62" s="38">
        <f t="shared" si="17"/>
        <v>8.1409142526989928</v>
      </c>
      <c r="H62" s="38"/>
      <c r="I62" s="38">
        <f t="shared" si="18"/>
        <v>50.564684799372614</v>
      </c>
      <c r="J62">
        <v>75</v>
      </c>
    </row>
    <row r="63" spans="2:10" x14ac:dyDescent="0.25">
      <c r="B63">
        <v>16.100000000000001</v>
      </c>
      <c r="C63" s="57">
        <v>46784</v>
      </c>
      <c r="F63">
        <v>1.08</v>
      </c>
      <c r="G63" s="38">
        <f t="shared" si="17"/>
        <v>8.1932931401238136</v>
      </c>
      <c r="H63" s="38"/>
      <c r="I63" s="38">
        <f t="shared" si="18"/>
        <v>50.890019503874619</v>
      </c>
      <c r="J63">
        <v>75</v>
      </c>
    </row>
    <row r="64" spans="2:10" x14ac:dyDescent="0.25">
      <c r="B64">
        <v>16.100000000000001</v>
      </c>
      <c r="C64" s="57">
        <v>46813</v>
      </c>
      <c r="F64">
        <v>1.08</v>
      </c>
      <c r="G64" s="38">
        <f t="shared" si="17"/>
        <v>8.2460090348874555</v>
      </c>
      <c r="H64" s="38"/>
      <c r="I64" s="38">
        <f t="shared" si="18"/>
        <v>51.217447421661213</v>
      </c>
      <c r="J64">
        <v>75</v>
      </c>
    </row>
    <row r="65" spans="2:10" x14ac:dyDescent="0.25">
      <c r="B65">
        <v>16.100000000000001</v>
      </c>
      <c r="C65" s="57">
        <v>46844</v>
      </c>
      <c r="F65">
        <v>1.08</v>
      </c>
      <c r="G65" s="38">
        <f t="shared" si="17"/>
        <v>8.2990641053052823</v>
      </c>
      <c r="H65" s="38"/>
      <c r="I65" s="38">
        <f t="shared" si="18"/>
        <v>51.546982020529697</v>
      </c>
      <c r="J65">
        <v>75</v>
      </c>
    </row>
    <row r="66" spans="2:10" x14ac:dyDescent="0.25">
      <c r="B66">
        <v>16.100000000000001</v>
      </c>
      <c r="C66" s="57">
        <v>46874</v>
      </c>
      <c r="F66">
        <v>1.08</v>
      </c>
      <c r="G66" s="38">
        <f t="shared" si="17"/>
        <v>8.352460533643665</v>
      </c>
      <c r="H66" s="38"/>
      <c r="I66" s="38">
        <f t="shared" si="18"/>
        <v>51.878636854929596</v>
      </c>
      <c r="J66">
        <v>75</v>
      </c>
    </row>
    <row r="67" spans="2:10" x14ac:dyDescent="0.25">
      <c r="B67">
        <v>16.100000000000001</v>
      </c>
      <c r="C67" s="57">
        <v>46905</v>
      </c>
      <c r="F67">
        <v>1.08</v>
      </c>
      <c r="G67" s="38">
        <f t="shared" si="17"/>
        <v>8.4062005162097435</v>
      </c>
      <c r="H67" s="38"/>
      <c r="I67" s="38">
        <f t="shared" si="18"/>
        <v>52.212425566520139</v>
      </c>
      <c r="J67">
        <v>75</v>
      </c>
    </row>
    <row r="68" spans="2:10" x14ac:dyDescent="0.25">
      <c r="B68">
        <v>16.100000000000001</v>
      </c>
      <c r="C68" s="57">
        <v>46935</v>
      </c>
      <c r="F68">
        <v>1.08</v>
      </c>
      <c r="G68" s="38">
        <f t="shared" si="17"/>
        <v>8.4602862634417626</v>
      </c>
      <c r="H68" s="38"/>
      <c r="I68" s="38">
        <f t="shared" si="18"/>
        <v>52.548361884731442</v>
      </c>
      <c r="J68">
        <v>75</v>
      </c>
    </row>
    <row r="69" spans="2:10" x14ac:dyDescent="0.25">
      <c r="B69">
        <v>16.100000000000001</v>
      </c>
      <c r="C69" s="57">
        <v>46966</v>
      </c>
      <c r="F69">
        <v>1.08</v>
      </c>
      <c r="G69" s="38">
        <f t="shared" ref="G69:G97" si="19">G68*(1+(F69^(1/12)-1))+E69</f>
        <v>8.5147199999999952</v>
      </c>
      <c r="H69" s="38"/>
      <c r="I69" s="38">
        <f t="shared" ref="I69:I97" si="20">(G69/B69)*100</f>
        <v>52.88645962732916</v>
      </c>
      <c r="J69">
        <v>75</v>
      </c>
    </row>
    <row r="70" spans="2:10" x14ac:dyDescent="0.25">
      <c r="B70">
        <v>16.100000000000001</v>
      </c>
      <c r="C70" s="57">
        <v>46997</v>
      </c>
      <c r="F70">
        <v>1.08</v>
      </c>
      <c r="G70" s="38">
        <f t="shared" si="19"/>
        <v>8.5695039648582441</v>
      </c>
      <c r="H70" s="38"/>
      <c r="I70" s="38">
        <f t="shared" si="20"/>
        <v>53.226732700982879</v>
      </c>
      <c r="J70">
        <v>75</v>
      </c>
    </row>
    <row r="71" spans="2:10" x14ac:dyDescent="0.25">
      <c r="B71">
        <v>16.100000000000001</v>
      </c>
      <c r="C71" s="57">
        <v>47027</v>
      </c>
      <c r="F71">
        <v>1.08</v>
      </c>
      <c r="G71" s="38">
        <f t="shared" si="19"/>
        <v>8.6246404113959354</v>
      </c>
      <c r="H71" s="38"/>
      <c r="I71" s="38">
        <f t="shared" si="20"/>
        <v>53.569195101838105</v>
      </c>
      <c r="J71">
        <v>75</v>
      </c>
    </row>
    <row r="72" spans="2:10" x14ac:dyDescent="0.25">
      <c r="B72">
        <v>16.100000000000001</v>
      </c>
      <c r="C72" s="57">
        <v>47058</v>
      </c>
      <c r="F72">
        <v>1.08</v>
      </c>
      <c r="G72" s="38">
        <f t="shared" si="19"/>
        <v>8.680131607490809</v>
      </c>
      <c r="H72" s="38"/>
      <c r="I72" s="38">
        <f t="shared" si="20"/>
        <v>53.91386091609197</v>
      </c>
      <c r="J72">
        <v>75</v>
      </c>
    </row>
    <row r="73" spans="2:10" x14ac:dyDescent="0.25">
      <c r="B73">
        <v>16.100000000000001</v>
      </c>
      <c r="C73" s="57">
        <v>47088</v>
      </c>
      <c r="F73">
        <v>1.08</v>
      </c>
      <c r="G73" s="38">
        <f t="shared" si="19"/>
        <v>8.7359798356121967</v>
      </c>
      <c r="H73" s="38"/>
      <c r="I73" s="38">
        <f t="shared" si="20"/>
        <v>54.260744320572641</v>
      </c>
      <c r="J73">
        <v>75</v>
      </c>
    </row>
    <row r="74" spans="2:10" x14ac:dyDescent="0.25">
      <c r="B74">
        <v>16.100000000000001</v>
      </c>
      <c r="C74" s="57">
        <v>47119</v>
      </c>
      <c r="D74" s="38"/>
      <c r="F74">
        <v>1.08</v>
      </c>
      <c r="G74" s="38">
        <f t="shared" si="19"/>
        <v>8.7921873929149079</v>
      </c>
      <c r="H74" s="38"/>
      <c r="I74" s="38">
        <f t="shared" si="20"/>
        <v>54.609859583322404</v>
      </c>
      <c r="J74">
        <v>75</v>
      </c>
    </row>
    <row r="75" spans="2:10" x14ac:dyDescent="0.25">
      <c r="B75">
        <v>16.100000000000001</v>
      </c>
      <c r="C75" s="57">
        <v>47150</v>
      </c>
      <c r="D75" s="38"/>
      <c r="F75">
        <v>1.08</v>
      </c>
      <c r="G75" s="38">
        <f t="shared" si="19"/>
        <v>8.8487565913337143</v>
      </c>
      <c r="H75" s="38"/>
      <c r="I75" s="38">
        <f t="shared" si="20"/>
        <v>54.961221064184549</v>
      </c>
      <c r="J75">
        <v>75</v>
      </c>
    </row>
    <row r="76" spans="2:10" x14ac:dyDescent="0.25">
      <c r="B76">
        <v>16.100000000000001</v>
      </c>
      <c r="C76" s="57">
        <v>47178</v>
      </c>
      <c r="D76" s="38"/>
      <c r="F76">
        <v>1.08</v>
      </c>
      <c r="G76" s="38">
        <f t="shared" si="19"/>
        <v>8.9056897576784468</v>
      </c>
      <c r="H76" s="38"/>
      <c r="I76" s="38">
        <f t="shared" si="20"/>
        <v>55.31484321539407</v>
      </c>
      <c r="J76">
        <v>75</v>
      </c>
    </row>
    <row r="77" spans="2:10" x14ac:dyDescent="0.25">
      <c r="B77">
        <v>16.100000000000001</v>
      </c>
      <c r="C77" s="57">
        <v>47209</v>
      </c>
      <c r="D77" s="38"/>
      <c r="F77">
        <v>1.08</v>
      </c>
      <c r="G77" s="38">
        <f t="shared" si="19"/>
        <v>8.962989233729699</v>
      </c>
      <c r="H77" s="38"/>
      <c r="I77" s="38">
        <f t="shared" si="20"/>
        <v>55.670740582172037</v>
      </c>
      <c r="J77">
        <v>75</v>
      </c>
    </row>
    <row r="78" spans="2:10" x14ac:dyDescent="0.25">
      <c r="B78">
        <v>16.100000000000001</v>
      </c>
      <c r="C78" s="57">
        <v>47239</v>
      </c>
      <c r="D78" s="38"/>
      <c r="F78">
        <v>1.08</v>
      </c>
      <c r="G78" s="38">
        <f t="shared" si="19"/>
        <v>9.0206573763351532</v>
      </c>
      <c r="H78" s="38"/>
      <c r="I78" s="38">
        <f t="shared" si="20"/>
        <v>56.028927803323924</v>
      </c>
      <c r="J78">
        <v>75</v>
      </c>
    </row>
    <row r="79" spans="2:10" x14ac:dyDescent="0.25">
      <c r="B79">
        <v>16.100000000000001</v>
      </c>
      <c r="C79" s="57">
        <v>47270</v>
      </c>
      <c r="D79" s="38"/>
      <c r="F79">
        <v>1.08</v>
      </c>
      <c r="G79" s="38">
        <f t="shared" si="19"/>
        <v>9.0786965575065182</v>
      </c>
      <c r="H79" s="38"/>
      <c r="I79" s="38">
        <f t="shared" si="20"/>
        <v>56.389419611841717</v>
      </c>
      <c r="J79">
        <v>75</v>
      </c>
    </row>
    <row r="80" spans="2:10" x14ac:dyDescent="0.25">
      <c r="B80">
        <v>16.100000000000001</v>
      </c>
      <c r="C80" s="57">
        <v>47300</v>
      </c>
      <c r="F80">
        <v>1.08</v>
      </c>
      <c r="G80" s="38">
        <f t="shared" si="19"/>
        <v>9.1371091645170992</v>
      </c>
      <c r="H80" s="38"/>
      <c r="I80" s="38">
        <f t="shared" si="20"/>
        <v>56.752230835509934</v>
      </c>
      <c r="J80">
        <v>75</v>
      </c>
    </row>
    <row r="81" spans="2:10" x14ac:dyDescent="0.25">
      <c r="B81">
        <v>16.100000000000001</v>
      </c>
      <c r="C81" s="57">
        <v>47331</v>
      </c>
      <c r="F81">
        <v>1.08</v>
      </c>
      <c r="G81" s="38">
        <f t="shared" si="19"/>
        <v>9.1958975999999897</v>
      </c>
      <c r="H81" s="38"/>
      <c r="I81" s="38">
        <f t="shared" si="20"/>
        <v>57.117376397515464</v>
      </c>
      <c r="J81">
        <v>75</v>
      </c>
    </row>
    <row r="82" spans="2:10" x14ac:dyDescent="0.25">
      <c r="B82">
        <v>16.100000000000001</v>
      </c>
      <c r="C82" s="57">
        <v>47362</v>
      </c>
      <c r="F82">
        <v>1.08</v>
      </c>
      <c r="G82" s="38">
        <f t="shared" si="19"/>
        <v>9.2550642820468987</v>
      </c>
      <c r="H82" s="38"/>
      <c r="I82" s="38">
        <f t="shared" si="20"/>
        <v>57.484871317061483</v>
      </c>
      <c r="J82">
        <v>75</v>
      </c>
    </row>
    <row r="83" spans="2:10" x14ac:dyDescent="0.25">
      <c r="B83">
        <v>16.100000000000001</v>
      </c>
      <c r="C83" s="57">
        <v>47392</v>
      </c>
      <c r="F83">
        <v>1.08</v>
      </c>
      <c r="G83" s="38">
        <f t="shared" si="19"/>
        <v>9.3146116443076057</v>
      </c>
      <c r="H83" s="38"/>
      <c r="I83" s="38">
        <f t="shared" si="20"/>
        <v>57.854730709985127</v>
      </c>
      <c r="J83">
        <v>75</v>
      </c>
    </row>
    <row r="84" spans="2:10" x14ac:dyDescent="0.25">
      <c r="B84">
        <v>16.100000000000001</v>
      </c>
      <c r="C84" s="57">
        <v>47423</v>
      </c>
      <c r="F84">
        <v>1.08</v>
      </c>
      <c r="G84" s="38">
        <f t="shared" si="19"/>
        <v>9.3745421360900689</v>
      </c>
      <c r="H84" s="38"/>
      <c r="I84" s="38">
        <f t="shared" si="20"/>
        <v>58.226969789379304</v>
      </c>
      <c r="J84">
        <v>75</v>
      </c>
    </row>
    <row r="85" spans="2:10" x14ac:dyDescent="0.25">
      <c r="B85">
        <v>16.100000000000001</v>
      </c>
      <c r="C85" s="57">
        <v>47453</v>
      </c>
      <c r="F85">
        <v>1.08</v>
      </c>
      <c r="G85" s="38">
        <f t="shared" si="19"/>
        <v>9.4348582224611679</v>
      </c>
      <c r="H85" s="38"/>
      <c r="I85" s="38">
        <f t="shared" si="20"/>
        <v>58.601603866218433</v>
      </c>
      <c r="J85">
        <v>75</v>
      </c>
    </row>
    <row r="86" spans="2:10" x14ac:dyDescent="0.25">
      <c r="B86">
        <v>16.100000000000001</v>
      </c>
      <c r="C86" s="57">
        <v>47484</v>
      </c>
      <c r="F86">
        <v>1.08</v>
      </c>
      <c r="G86" s="38">
        <f t="shared" si="19"/>
        <v>9.4955623843480961</v>
      </c>
      <c r="H86" s="38"/>
      <c r="I86" s="38">
        <f t="shared" si="20"/>
        <v>58.97864834998817</v>
      </c>
      <c r="J86">
        <v>75</v>
      </c>
    </row>
    <row r="87" spans="2:10" x14ac:dyDescent="0.25">
      <c r="B87">
        <v>16.100000000000001</v>
      </c>
      <c r="C87" s="57">
        <v>47515</v>
      </c>
      <c r="F87">
        <v>1.08</v>
      </c>
      <c r="G87" s="38">
        <f t="shared" si="19"/>
        <v>9.5566571186404072</v>
      </c>
      <c r="H87" s="38"/>
      <c r="I87" s="38">
        <f t="shared" si="20"/>
        <v>59.358118749319303</v>
      </c>
      <c r="J87">
        <v>75</v>
      </c>
    </row>
    <row r="88" spans="2:10" x14ac:dyDescent="0.25">
      <c r="B88">
        <v>16.100000000000001</v>
      </c>
      <c r="C88" s="57">
        <v>47543</v>
      </c>
      <c r="F88">
        <v>1.08</v>
      </c>
      <c r="G88" s="38">
        <f t="shared" si="19"/>
        <v>9.6181449382927191</v>
      </c>
      <c r="H88" s="38"/>
      <c r="I88" s="38">
        <f t="shared" si="20"/>
        <v>59.740030672625579</v>
      </c>
      <c r="J88">
        <v>75</v>
      </c>
    </row>
    <row r="89" spans="2:10" x14ac:dyDescent="0.25">
      <c r="B89">
        <v>16.100000000000001</v>
      </c>
      <c r="C89" s="57">
        <v>47574</v>
      </c>
      <c r="F89">
        <v>1.08</v>
      </c>
      <c r="G89" s="38">
        <f t="shared" si="19"/>
        <v>9.6800283724280707</v>
      </c>
      <c r="H89" s="38"/>
      <c r="I89" s="38">
        <f t="shared" si="20"/>
        <v>60.12439982874578</v>
      </c>
      <c r="J89">
        <v>75</v>
      </c>
    </row>
    <row r="90" spans="2:10" x14ac:dyDescent="0.25">
      <c r="B90">
        <v>16.100000000000001</v>
      </c>
      <c r="C90" s="57">
        <v>47604</v>
      </c>
      <c r="F90">
        <v>1.08</v>
      </c>
      <c r="G90" s="38">
        <f t="shared" si="19"/>
        <v>9.7423099664419599</v>
      </c>
      <c r="H90" s="38"/>
      <c r="I90" s="38">
        <f t="shared" si="20"/>
        <v>60.511242027589809</v>
      </c>
      <c r="J90">
        <v>75</v>
      </c>
    </row>
    <row r="91" spans="2:10" x14ac:dyDescent="0.25">
      <c r="B91">
        <v>16.100000000000001</v>
      </c>
      <c r="C91" s="57">
        <v>47635</v>
      </c>
      <c r="F91">
        <v>1.08</v>
      </c>
      <c r="G91" s="38">
        <f t="shared" si="19"/>
        <v>9.8049922821070332</v>
      </c>
      <c r="H91" s="38"/>
      <c r="I91" s="38">
        <f t="shared" si="20"/>
        <v>60.900573180789017</v>
      </c>
      <c r="J91">
        <v>75</v>
      </c>
    </row>
    <row r="92" spans="2:10" x14ac:dyDescent="0.25">
      <c r="B92">
        <v>16.100000000000001</v>
      </c>
      <c r="C92" s="57">
        <v>47665</v>
      </c>
      <c r="E92" s="38"/>
      <c r="F92">
        <v>1.08</v>
      </c>
      <c r="G92" s="38">
        <f t="shared" si="19"/>
        <v>9.8680778976784609</v>
      </c>
      <c r="H92" s="38"/>
      <c r="I92" s="38">
        <f t="shared" si="20"/>
        <v>61.292409302350684</v>
      </c>
      <c r="J92">
        <v>75</v>
      </c>
    </row>
    <row r="93" spans="2:10" x14ac:dyDescent="0.25">
      <c r="B93">
        <v>16.100000000000001</v>
      </c>
      <c r="C93" s="57">
        <v>47696</v>
      </c>
      <c r="F93">
        <v>1.08</v>
      </c>
      <c r="G93" s="38">
        <f t="shared" si="19"/>
        <v>9.9315694079999837</v>
      </c>
      <c r="I93" s="38">
        <f t="shared" si="20"/>
        <v>61.686766509316662</v>
      </c>
      <c r="J93">
        <v>75</v>
      </c>
    </row>
    <row r="94" spans="2:10" x14ac:dyDescent="0.25">
      <c r="B94">
        <v>16.100000000000001</v>
      </c>
      <c r="C94" s="57">
        <v>47727</v>
      </c>
      <c r="F94">
        <v>1.08</v>
      </c>
      <c r="G94" s="38">
        <f t="shared" si="19"/>
        <v>9.9954694246106452</v>
      </c>
      <c r="I94" s="38">
        <f t="shared" si="20"/>
        <v>62.083661022426362</v>
      </c>
      <c r="J94">
        <v>75</v>
      </c>
    </row>
    <row r="95" spans="2:10" x14ac:dyDescent="0.25">
      <c r="B95">
        <v>16.100000000000001</v>
      </c>
      <c r="C95" s="57">
        <v>47757</v>
      </c>
      <c r="F95">
        <v>1.08</v>
      </c>
      <c r="G95" s="38">
        <f t="shared" si="19"/>
        <v>10.059780575852209</v>
      </c>
      <c r="I95" s="38">
        <f t="shared" si="20"/>
        <v>62.483109166783905</v>
      </c>
      <c r="J95">
        <v>75</v>
      </c>
    </row>
    <row r="96" spans="2:10" x14ac:dyDescent="0.25">
      <c r="B96">
        <v>16.100000000000001</v>
      </c>
      <c r="C96" s="57">
        <v>47788</v>
      </c>
      <c r="F96">
        <v>1.08</v>
      </c>
      <c r="G96" s="38">
        <f t="shared" si="19"/>
        <v>10.12450550697727</v>
      </c>
      <c r="I96" s="38">
        <f t="shared" si="20"/>
        <v>62.885127372529624</v>
      </c>
      <c r="J96">
        <v>75</v>
      </c>
    </row>
    <row r="97" spans="2:10" x14ac:dyDescent="0.25">
      <c r="B97">
        <v>16.100000000000001</v>
      </c>
      <c r="C97" s="57">
        <v>47818</v>
      </c>
      <c r="F97">
        <v>1.08</v>
      </c>
      <c r="G97" s="38">
        <f t="shared" si="19"/>
        <v>10.189646880258058</v>
      </c>
      <c r="I97" s="38">
        <f t="shared" si="20"/>
        <v>63.289732175515887</v>
      </c>
      <c r="J97">
        <v>75</v>
      </c>
    </row>
    <row r="98" spans="2:10" x14ac:dyDescent="0.25">
      <c r="C98" s="57"/>
      <c r="G98" s="38"/>
      <c r="I98" s="38"/>
    </row>
    <row r="99" spans="2:10" x14ac:dyDescent="0.25">
      <c r="C99" s="57"/>
      <c r="G99" s="38"/>
      <c r="I99" s="38"/>
    </row>
    <row r="100" spans="2:10" x14ac:dyDescent="0.25">
      <c r="C100" s="57"/>
      <c r="G100" s="38"/>
      <c r="I100" s="38"/>
    </row>
    <row r="101" spans="2:10" x14ac:dyDescent="0.25">
      <c r="C101" s="57"/>
      <c r="G101" s="38"/>
      <c r="I101" s="38"/>
    </row>
    <row r="102" spans="2:10" x14ac:dyDescent="0.25">
      <c r="C102" s="57"/>
      <c r="G102" s="38"/>
      <c r="I102" s="38"/>
    </row>
    <row r="103" spans="2:10" x14ac:dyDescent="0.25">
      <c r="C103" s="57"/>
      <c r="G103" s="38"/>
      <c r="I103" s="38"/>
    </row>
    <row r="104" spans="2:10" x14ac:dyDescent="0.25">
      <c r="C104" s="57"/>
      <c r="G104" s="38"/>
      <c r="I104" s="38"/>
    </row>
    <row r="105" spans="2:10" x14ac:dyDescent="0.25">
      <c r="C105" s="57"/>
      <c r="G105" s="38"/>
      <c r="I105" s="38"/>
    </row>
  </sheetData>
  <conditionalFormatting sqref="I2:I105">
    <cfRule type="cellIs" dxfId="15" priority="1" operator="greaterThan">
      <formula>75</formula>
    </cfRule>
  </conditionalFormatting>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A1E1B-EF48-450C-94FC-DDCF01AFD8B1}">
  <sheetPr codeName="Sheet11"/>
  <dimension ref="A1:J105"/>
  <sheetViews>
    <sheetView topLeftCell="A26" zoomScale="80" zoomScaleNormal="80" workbookViewId="0">
      <selection activeCell="D46" sqref="D46"/>
    </sheetView>
  </sheetViews>
  <sheetFormatPr defaultRowHeight="15" x14ac:dyDescent="0.25"/>
  <cols>
    <col min="1" max="1" width="39.5703125" customWidth="1"/>
    <col min="2" max="2" width="13.7109375" bestFit="1" customWidth="1"/>
    <col min="5" max="5" width="11.140625" bestFit="1" customWidth="1"/>
    <col min="6" max="6" width="10.7109375" bestFit="1" customWidth="1"/>
    <col min="7" max="7" width="12.42578125" customWidth="1"/>
    <col min="8" max="8" width="10.140625" bestFit="1" customWidth="1"/>
    <col min="9" max="9" width="13.140625" bestFit="1" customWidth="1"/>
    <col min="12" max="12" width="17.7109375" bestFit="1" customWidth="1"/>
    <col min="13" max="13" width="31.7109375" bestFit="1" customWidth="1"/>
    <col min="14" max="14" width="45.7109375" bestFit="1" customWidth="1"/>
  </cols>
  <sheetData>
    <row r="1" spans="1:10" x14ac:dyDescent="0.25">
      <c r="A1" s="61" t="s">
        <v>217</v>
      </c>
      <c r="B1" s="61" t="s">
        <v>119</v>
      </c>
      <c r="C1" s="61" t="s">
        <v>2</v>
      </c>
      <c r="D1" s="61" t="s">
        <v>120</v>
      </c>
      <c r="E1" s="61" t="s">
        <v>121</v>
      </c>
      <c r="F1" s="61" t="s">
        <v>122</v>
      </c>
      <c r="G1" s="61" t="s">
        <v>123</v>
      </c>
      <c r="H1" s="61" t="s">
        <v>124</v>
      </c>
      <c r="I1" s="61" t="s">
        <v>125</v>
      </c>
      <c r="J1" s="61" t="s">
        <v>126</v>
      </c>
    </row>
    <row r="2" spans="1:10" x14ac:dyDescent="0.25">
      <c r="A2" t="s">
        <v>108</v>
      </c>
      <c r="B2">
        <v>51.4</v>
      </c>
      <c r="C2" s="57">
        <v>44927</v>
      </c>
      <c r="D2" s="38">
        <f>'Data Collection Sheet'!U137</f>
        <v>30</v>
      </c>
      <c r="E2" s="38"/>
      <c r="F2" s="38"/>
      <c r="G2" s="38"/>
      <c r="H2" s="38">
        <f t="shared" ref="H2:H7" si="0">(D2/B2)*100</f>
        <v>58.365758754863819</v>
      </c>
      <c r="I2" s="38"/>
      <c r="J2">
        <v>75</v>
      </c>
    </row>
    <row r="3" spans="1:10" x14ac:dyDescent="0.25">
      <c r="B3">
        <v>51.4</v>
      </c>
      <c r="C3" s="57">
        <v>44958</v>
      </c>
      <c r="D3" s="38">
        <f>'Data Collection Sheet'!V137</f>
        <v>30.2</v>
      </c>
      <c r="E3" s="38"/>
      <c r="F3" s="38"/>
      <c r="G3" s="38"/>
      <c r="H3" s="38">
        <f t="shared" si="0"/>
        <v>58.754863813229576</v>
      </c>
      <c r="I3" s="38"/>
      <c r="J3">
        <v>75</v>
      </c>
    </row>
    <row r="4" spans="1:10" x14ac:dyDescent="0.25">
      <c r="B4">
        <v>51.4</v>
      </c>
      <c r="C4" s="57">
        <v>44986</v>
      </c>
      <c r="D4" s="38">
        <f>'Data Collection Sheet'!W137</f>
        <v>30.8</v>
      </c>
      <c r="E4" s="38"/>
      <c r="G4" s="38"/>
      <c r="H4" s="38">
        <f t="shared" si="0"/>
        <v>59.922178988326849</v>
      </c>
      <c r="I4" s="38"/>
      <c r="J4">
        <v>75</v>
      </c>
    </row>
    <row r="5" spans="1:10" x14ac:dyDescent="0.25">
      <c r="B5">
        <v>51.4</v>
      </c>
      <c r="C5" s="57">
        <v>45017</v>
      </c>
      <c r="D5" s="38">
        <f>'Data Collection Sheet'!X137</f>
        <v>31</v>
      </c>
      <c r="G5" s="38"/>
      <c r="H5" s="38">
        <f t="shared" si="0"/>
        <v>60.311284046692606</v>
      </c>
      <c r="I5" s="38"/>
      <c r="J5">
        <v>75</v>
      </c>
    </row>
    <row r="6" spans="1:10" x14ac:dyDescent="0.25">
      <c r="B6">
        <v>51.4</v>
      </c>
      <c r="C6" s="57">
        <v>45047</v>
      </c>
      <c r="D6" s="38">
        <f>'Data Collection Sheet'!Y137</f>
        <v>31</v>
      </c>
      <c r="G6" s="38"/>
      <c r="H6" s="38">
        <f t="shared" si="0"/>
        <v>60.311284046692606</v>
      </c>
      <c r="I6" s="38"/>
      <c r="J6">
        <v>75</v>
      </c>
    </row>
    <row r="7" spans="1:10" x14ac:dyDescent="0.25">
      <c r="B7">
        <v>51.4</v>
      </c>
      <c r="C7" s="57">
        <v>45078</v>
      </c>
      <c r="D7" s="38">
        <f>'Data Collection Sheet'!Z137</f>
        <v>30.3</v>
      </c>
      <c r="G7" s="38"/>
      <c r="H7" s="38">
        <f t="shared" si="0"/>
        <v>58.949416342412455</v>
      </c>
      <c r="I7" s="38"/>
      <c r="J7">
        <v>75</v>
      </c>
    </row>
    <row r="8" spans="1:10" x14ac:dyDescent="0.25">
      <c r="B8">
        <v>51.4</v>
      </c>
      <c r="C8" s="57">
        <v>45108</v>
      </c>
      <c r="D8" s="38">
        <f>'Data Collection Sheet'!AA137</f>
        <v>30.6</v>
      </c>
      <c r="G8" s="38"/>
      <c r="H8" s="38">
        <f t="shared" ref="H8:H13" si="1">(D8/B8)*100</f>
        <v>59.533073929961091</v>
      </c>
      <c r="I8" s="38"/>
      <c r="J8">
        <v>75</v>
      </c>
    </row>
    <row r="9" spans="1:10" x14ac:dyDescent="0.25">
      <c r="B9">
        <v>51.4</v>
      </c>
      <c r="C9" s="57">
        <v>45139</v>
      </c>
      <c r="D9" s="38">
        <f>'Data Collection Sheet'!AB137</f>
        <v>30.8</v>
      </c>
      <c r="G9" s="38"/>
      <c r="H9" s="38">
        <f t="shared" si="1"/>
        <v>59.922178988326849</v>
      </c>
      <c r="I9" s="38"/>
      <c r="J9">
        <v>75</v>
      </c>
    </row>
    <row r="10" spans="1:10" x14ac:dyDescent="0.25">
      <c r="B10">
        <v>51.4</v>
      </c>
      <c r="C10" s="57">
        <v>45170</v>
      </c>
      <c r="D10" s="38">
        <f>'Data Collection Sheet'!AC137</f>
        <v>30.2</v>
      </c>
      <c r="G10" s="38"/>
      <c r="H10" s="38">
        <f t="shared" si="1"/>
        <v>58.754863813229576</v>
      </c>
      <c r="I10" s="38"/>
      <c r="J10">
        <v>75</v>
      </c>
    </row>
    <row r="11" spans="1:10" x14ac:dyDescent="0.25">
      <c r="B11">
        <v>51.4</v>
      </c>
      <c r="C11" s="57">
        <v>45200</v>
      </c>
      <c r="D11" s="38">
        <f>'Data Collection Sheet'!AD137</f>
        <v>30.4</v>
      </c>
      <c r="G11" s="38"/>
      <c r="H11" s="38">
        <f t="shared" si="1"/>
        <v>59.143968871595334</v>
      </c>
      <c r="I11" s="38"/>
      <c r="J11">
        <v>75</v>
      </c>
    </row>
    <row r="12" spans="1:10" x14ac:dyDescent="0.25">
      <c r="B12">
        <v>51.4</v>
      </c>
      <c r="C12" s="57">
        <v>45231</v>
      </c>
      <c r="D12" s="38">
        <f>'Data Collection Sheet'!AE137</f>
        <v>30.6</v>
      </c>
      <c r="G12" s="38"/>
      <c r="H12" s="38">
        <f t="shared" si="1"/>
        <v>59.533073929961091</v>
      </c>
      <c r="I12" s="38"/>
      <c r="J12">
        <v>75</v>
      </c>
    </row>
    <row r="13" spans="1:10" x14ac:dyDescent="0.25">
      <c r="B13">
        <v>51.4</v>
      </c>
      <c r="C13" s="57">
        <v>45261</v>
      </c>
      <c r="D13" s="38">
        <f>'Data Collection Sheet'!AF137</f>
        <v>30.6</v>
      </c>
      <c r="G13" s="38"/>
      <c r="H13" s="38">
        <f t="shared" si="1"/>
        <v>59.533073929961091</v>
      </c>
      <c r="I13" s="38"/>
      <c r="J13">
        <v>75</v>
      </c>
    </row>
    <row r="14" spans="1:10" x14ac:dyDescent="0.25">
      <c r="B14">
        <v>51.4</v>
      </c>
      <c r="C14" s="57">
        <v>45292</v>
      </c>
      <c r="D14" s="38">
        <f>'Data Collection Sheet'!AG137</f>
        <v>30.5</v>
      </c>
      <c r="G14" s="38"/>
      <c r="H14" s="38">
        <f t="shared" ref="H14:H19" si="2">(D14/B14)*100</f>
        <v>59.338521400778212</v>
      </c>
      <c r="I14" s="38"/>
      <c r="J14">
        <v>75</v>
      </c>
    </row>
    <row r="15" spans="1:10" x14ac:dyDescent="0.25">
      <c r="B15">
        <v>51.4</v>
      </c>
      <c r="C15" s="57">
        <v>45323</v>
      </c>
      <c r="D15" s="38">
        <f>'Data Collection Sheet'!AH137</f>
        <v>30.6</v>
      </c>
      <c r="G15" s="38"/>
      <c r="H15" s="38">
        <f t="shared" si="2"/>
        <v>59.533073929961091</v>
      </c>
      <c r="I15" s="38"/>
      <c r="J15">
        <v>75</v>
      </c>
    </row>
    <row r="16" spans="1:10" x14ac:dyDescent="0.25">
      <c r="B16">
        <v>51.4</v>
      </c>
      <c r="C16" s="57">
        <v>45352</v>
      </c>
      <c r="D16" s="38">
        <f>'Data Collection Sheet'!AI137</f>
        <v>30.9</v>
      </c>
      <c r="G16" s="38"/>
      <c r="H16" s="38">
        <f t="shared" si="2"/>
        <v>60.116731517509727</v>
      </c>
      <c r="I16" s="38"/>
      <c r="J16">
        <v>75</v>
      </c>
    </row>
    <row r="17" spans="1:10" x14ac:dyDescent="0.25">
      <c r="B17">
        <v>51.4</v>
      </c>
      <c r="C17" s="57">
        <v>45383</v>
      </c>
      <c r="D17" s="38">
        <f>'Data Collection Sheet'!AJ137</f>
        <v>31</v>
      </c>
      <c r="G17" s="38"/>
      <c r="H17" s="38">
        <f t="shared" si="2"/>
        <v>60.311284046692606</v>
      </c>
      <c r="I17" s="38"/>
      <c r="J17">
        <v>75</v>
      </c>
    </row>
    <row r="18" spans="1:10" x14ac:dyDescent="0.25">
      <c r="B18">
        <v>51.4</v>
      </c>
      <c r="C18" s="57">
        <v>45413</v>
      </c>
      <c r="D18" s="38">
        <f>'Data Collection Sheet'!AK137</f>
        <v>30.9</v>
      </c>
      <c r="G18" s="38"/>
      <c r="H18" s="38">
        <f t="shared" si="2"/>
        <v>60.116731517509727</v>
      </c>
      <c r="I18" s="38"/>
      <c r="J18">
        <v>75</v>
      </c>
    </row>
    <row r="19" spans="1:10" x14ac:dyDescent="0.25">
      <c r="B19">
        <v>51.4</v>
      </c>
      <c r="C19" s="57">
        <v>45444</v>
      </c>
      <c r="D19" s="38">
        <f>'Data Collection Sheet'!AL137</f>
        <v>30.8</v>
      </c>
      <c r="G19" s="38"/>
      <c r="H19" s="38">
        <f t="shared" si="2"/>
        <v>59.922178988326849</v>
      </c>
      <c r="I19" s="38"/>
      <c r="J19">
        <v>75</v>
      </c>
    </row>
    <row r="20" spans="1:10" x14ac:dyDescent="0.25">
      <c r="B20">
        <v>51.4</v>
      </c>
      <c r="C20" s="57">
        <v>45474</v>
      </c>
      <c r="D20" s="38">
        <f>'Data Collection Sheet'!AM137</f>
        <v>31.1</v>
      </c>
      <c r="G20" s="38"/>
      <c r="H20" s="38">
        <f t="shared" ref="H20" si="3">(D20/B20)*100</f>
        <v>60.505836575875492</v>
      </c>
      <c r="I20" s="38"/>
      <c r="J20">
        <v>75</v>
      </c>
    </row>
    <row r="21" spans="1:10" x14ac:dyDescent="0.25">
      <c r="B21">
        <v>51.4</v>
      </c>
      <c r="C21" s="57">
        <v>45505</v>
      </c>
      <c r="D21" s="38">
        <f>'Data Collection Sheet'!AN137</f>
        <v>30.8</v>
      </c>
      <c r="G21" s="38"/>
      <c r="H21" s="38">
        <f t="shared" ref="H21" si="4">(D21/B21)*100</f>
        <v>59.922178988326849</v>
      </c>
      <c r="I21" s="38"/>
      <c r="J21">
        <v>75</v>
      </c>
    </row>
    <row r="22" spans="1:10" x14ac:dyDescent="0.25">
      <c r="A22" t="s">
        <v>218</v>
      </c>
      <c r="B22">
        <v>51.4</v>
      </c>
      <c r="C22" s="57">
        <v>45536</v>
      </c>
      <c r="D22" s="38">
        <f>'Data Collection Sheet'!AO137</f>
        <v>31</v>
      </c>
      <c r="E22">
        <v>3</v>
      </c>
      <c r="G22" s="38"/>
      <c r="H22" s="38">
        <f t="shared" ref="H22" si="5">(D22/B22)*100</f>
        <v>60.311284046692606</v>
      </c>
      <c r="I22" s="38"/>
      <c r="J22">
        <v>75</v>
      </c>
    </row>
    <row r="23" spans="1:10" x14ac:dyDescent="0.25">
      <c r="B23">
        <v>51.4</v>
      </c>
      <c r="C23" s="57">
        <v>45566</v>
      </c>
      <c r="D23" s="38">
        <f>'Data Collection Sheet'!AP137</f>
        <v>31.1</v>
      </c>
      <c r="G23" s="38"/>
      <c r="H23" s="38">
        <f t="shared" ref="H23" si="6">(D23/B23)*100</f>
        <v>60.505836575875492</v>
      </c>
      <c r="I23" s="38"/>
      <c r="J23">
        <v>75</v>
      </c>
    </row>
    <row r="24" spans="1:10" x14ac:dyDescent="0.25">
      <c r="B24">
        <v>51.4</v>
      </c>
      <c r="C24" s="57">
        <v>45597</v>
      </c>
      <c r="D24" s="38">
        <f>'Data Collection Sheet'!AQ137</f>
        <v>31.2</v>
      </c>
      <c r="G24" s="38"/>
      <c r="H24" s="38">
        <f t="shared" ref="H24" si="7">(D24/B24)*100</f>
        <v>60.700389105058363</v>
      </c>
      <c r="I24" s="38"/>
      <c r="J24">
        <v>75</v>
      </c>
    </row>
    <row r="25" spans="1:10" x14ac:dyDescent="0.25">
      <c r="A25" t="s">
        <v>219</v>
      </c>
      <c r="B25">
        <v>51.4</v>
      </c>
      <c r="C25" s="57">
        <v>45627</v>
      </c>
      <c r="D25" s="38">
        <f>'Data Collection Sheet'!AR137</f>
        <v>31.4</v>
      </c>
      <c r="E25">
        <v>-10</v>
      </c>
      <c r="G25" s="38"/>
      <c r="H25" s="38">
        <f>(D25/B25)*100</f>
        <v>61.089494163424121</v>
      </c>
      <c r="I25" s="38"/>
      <c r="J25">
        <v>75</v>
      </c>
    </row>
    <row r="26" spans="1:10" x14ac:dyDescent="0.25">
      <c r="B26">
        <v>51.4</v>
      </c>
      <c r="C26" s="57">
        <v>45658</v>
      </c>
      <c r="D26" s="38">
        <f>'Data Collection Sheet'!AS137</f>
        <v>31.5</v>
      </c>
      <c r="G26" s="38"/>
      <c r="H26" s="38">
        <f>(D26/B26)*100</f>
        <v>61.284046692607006</v>
      </c>
      <c r="I26" s="38"/>
      <c r="J26">
        <v>75</v>
      </c>
    </row>
    <row r="27" spans="1:10" x14ac:dyDescent="0.25">
      <c r="B27">
        <v>51.4</v>
      </c>
      <c r="C27" s="57">
        <v>45689</v>
      </c>
      <c r="D27" s="38">
        <f>'Data Collection Sheet'!AT$137</f>
        <v>31.4</v>
      </c>
      <c r="G27" s="38"/>
      <c r="H27" s="38">
        <f>(D27/B27)*100</f>
        <v>61.089494163424121</v>
      </c>
      <c r="I27" s="38"/>
      <c r="J27">
        <v>75</v>
      </c>
    </row>
    <row r="28" spans="1:10" x14ac:dyDescent="0.25">
      <c r="B28">
        <v>51.4</v>
      </c>
      <c r="C28" s="57">
        <v>45717</v>
      </c>
      <c r="D28" s="38">
        <f>'Data Collection Sheet'!AU$137</f>
        <v>31.5</v>
      </c>
      <c r="G28" s="38"/>
      <c r="H28" s="38">
        <f t="shared" ref="H28:H29" si="8">(D28/B28)*100</f>
        <v>61.284046692607006</v>
      </c>
      <c r="I28" s="38"/>
      <c r="J28">
        <v>75</v>
      </c>
    </row>
    <row r="29" spans="1:10" x14ac:dyDescent="0.25">
      <c r="A29" t="s">
        <v>220</v>
      </c>
      <c r="B29">
        <v>51.4</v>
      </c>
      <c r="C29" s="57">
        <v>45748</v>
      </c>
      <c r="D29" s="38">
        <f>'Data Collection Sheet'!AV$137</f>
        <v>31.7</v>
      </c>
      <c r="G29" s="38"/>
      <c r="H29" s="38">
        <f t="shared" si="8"/>
        <v>61.673151750972764</v>
      </c>
      <c r="I29" s="38"/>
      <c r="J29">
        <v>75</v>
      </c>
    </row>
    <row r="30" spans="1:10" x14ac:dyDescent="0.25">
      <c r="B30">
        <v>51.4</v>
      </c>
      <c r="C30" s="57">
        <v>45778</v>
      </c>
      <c r="D30" s="38">
        <f>'Data Collection Sheet'!AW$137</f>
        <v>31.9</v>
      </c>
      <c r="G30" s="38"/>
      <c r="H30" s="38">
        <f t="shared" ref="H30" si="9">(D30/B30)*100</f>
        <v>62.062256809338521</v>
      </c>
      <c r="I30" s="38"/>
      <c r="J30">
        <v>75</v>
      </c>
    </row>
    <row r="31" spans="1:10" x14ac:dyDescent="0.25">
      <c r="B31">
        <v>51.4</v>
      </c>
      <c r="C31" s="57">
        <v>45809</v>
      </c>
      <c r="D31" s="38">
        <f>'Data Collection Sheet'!AX$137</f>
        <v>31.9</v>
      </c>
      <c r="G31" s="38"/>
      <c r="H31" s="38">
        <f t="shared" ref="H31" si="10">(D31/B31)*100</f>
        <v>62.062256809338521</v>
      </c>
      <c r="I31" s="38"/>
      <c r="J31">
        <v>75</v>
      </c>
    </row>
    <row r="32" spans="1:10" x14ac:dyDescent="0.25">
      <c r="B32">
        <v>51.4</v>
      </c>
      <c r="C32" s="57">
        <v>45839</v>
      </c>
      <c r="D32" s="38">
        <f>'Data Collection Sheet'!AY$137</f>
        <v>32.1</v>
      </c>
      <c r="G32" s="38"/>
      <c r="H32" s="38">
        <f t="shared" ref="H32" si="11">(D32/B32)*100</f>
        <v>62.451361867704279</v>
      </c>
      <c r="I32" s="38"/>
      <c r="J32">
        <v>75</v>
      </c>
    </row>
    <row r="33" spans="1:10" x14ac:dyDescent="0.25">
      <c r="B33">
        <v>51.4</v>
      </c>
      <c r="C33" s="57">
        <v>45870</v>
      </c>
      <c r="D33" s="38">
        <f>'Data Collection Sheet'!AZ$137</f>
        <v>31.3</v>
      </c>
      <c r="G33" s="38"/>
      <c r="H33" s="38">
        <f t="shared" ref="H33" si="12">(D33/B33)*100</f>
        <v>60.894941634241249</v>
      </c>
      <c r="I33" s="38"/>
      <c r="J33">
        <v>75</v>
      </c>
    </row>
    <row r="34" spans="1:10" x14ac:dyDescent="0.25">
      <c r="A34" t="s">
        <v>210</v>
      </c>
      <c r="B34">
        <v>51.4</v>
      </c>
      <c r="C34" s="57">
        <v>45901</v>
      </c>
      <c r="D34" s="38">
        <f>'Data Collection Sheet'!BA$137</f>
        <v>31.8</v>
      </c>
      <c r="G34" s="38"/>
      <c r="H34" s="38">
        <f t="shared" ref="H34" si="13">(D34/B34)*100</f>
        <v>61.867704280155642</v>
      </c>
      <c r="I34" s="38"/>
      <c r="J34">
        <v>75</v>
      </c>
    </row>
    <row r="35" spans="1:10" x14ac:dyDescent="0.25">
      <c r="B35">
        <v>51.4</v>
      </c>
      <c r="C35" s="57">
        <v>45931</v>
      </c>
      <c r="D35" s="38">
        <f>'Data Collection Sheet'!BB$137</f>
        <v>32.200000000000003</v>
      </c>
      <c r="G35" s="38"/>
      <c r="H35" s="38">
        <f t="shared" ref="H35" si="14">(D35/B35)*100</f>
        <v>62.645914396887171</v>
      </c>
      <c r="I35" s="38"/>
      <c r="J35">
        <v>75</v>
      </c>
    </row>
    <row r="36" spans="1:10" x14ac:dyDescent="0.25">
      <c r="B36">
        <v>51.4</v>
      </c>
      <c r="C36" s="57">
        <v>45962</v>
      </c>
      <c r="D36" s="38">
        <f>'Data Collection Sheet'!BC$137</f>
        <v>32.1</v>
      </c>
      <c r="G36" s="38"/>
      <c r="H36" s="38">
        <f t="shared" ref="H36" si="15">(D36/B36)*100</f>
        <v>62.451361867704279</v>
      </c>
      <c r="I36" s="38"/>
      <c r="J36">
        <v>75</v>
      </c>
    </row>
    <row r="37" spans="1:10" x14ac:dyDescent="0.25">
      <c r="B37">
        <v>51.4</v>
      </c>
      <c r="C37" s="57">
        <v>45992</v>
      </c>
      <c r="D37" s="38">
        <f>'Data Collection Sheet'!BD$137</f>
        <v>32.200000000000003</v>
      </c>
      <c r="G37" s="38"/>
      <c r="H37" s="38">
        <f t="shared" ref="H37:H42" si="16">(D37/B37)*100</f>
        <v>62.645914396887171</v>
      </c>
      <c r="I37" s="38"/>
      <c r="J37">
        <v>75</v>
      </c>
    </row>
    <row r="38" spans="1:10" x14ac:dyDescent="0.25">
      <c r="B38">
        <v>51.4</v>
      </c>
      <c r="C38" s="57">
        <v>46023</v>
      </c>
      <c r="D38" s="38">
        <f>'Data Collection Sheet'!BE$137</f>
        <v>32.299999999999997</v>
      </c>
      <c r="G38" s="38"/>
      <c r="H38" s="38">
        <f t="shared" si="16"/>
        <v>62.840466926070036</v>
      </c>
      <c r="I38" s="38"/>
      <c r="J38">
        <v>75</v>
      </c>
    </row>
    <row r="39" spans="1:10" x14ac:dyDescent="0.25">
      <c r="B39">
        <v>51.4</v>
      </c>
      <c r="C39" s="57">
        <v>46054</v>
      </c>
      <c r="D39" s="38">
        <f>'Data Collection Sheet'!BF$137</f>
        <v>31.9</v>
      </c>
      <c r="G39" s="38"/>
      <c r="H39" s="38">
        <f t="shared" si="16"/>
        <v>62.062256809338521</v>
      </c>
      <c r="I39" s="38"/>
      <c r="J39">
        <v>75</v>
      </c>
    </row>
    <row r="40" spans="1:10" x14ac:dyDescent="0.25">
      <c r="B40">
        <v>51.4</v>
      </c>
      <c r="C40" s="57">
        <v>46082</v>
      </c>
      <c r="D40" s="38">
        <f>'Data Collection Sheet'!BG$137</f>
        <v>31.4</v>
      </c>
      <c r="G40" s="38"/>
      <c r="H40" s="38">
        <f t="shared" si="16"/>
        <v>61.089494163424121</v>
      </c>
      <c r="I40" s="38"/>
      <c r="J40">
        <v>75</v>
      </c>
    </row>
    <row r="41" spans="1:10" x14ac:dyDescent="0.25">
      <c r="B41">
        <v>51.4</v>
      </c>
      <c r="C41" s="57">
        <v>46113</v>
      </c>
      <c r="D41" s="38">
        <f>'Data Collection Sheet'!BH$137</f>
        <v>31.4</v>
      </c>
      <c r="G41" s="38"/>
      <c r="H41" s="38">
        <f t="shared" si="16"/>
        <v>61.089494163424121</v>
      </c>
      <c r="I41" s="38"/>
      <c r="J41">
        <v>75</v>
      </c>
    </row>
    <row r="42" spans="1:10" x14ac:dyDescent="0.25">
      <c r="B42">
        <v>51.4</v>
      </c>
      <c r="C42" s="57">
        <v>46143</v>
      </c>
      <c r="D42" s="38">
        <f>'Data Collection Sheet'!BI$137</f>
        <v>31.8</v>
      </c>
      <c r="G42" s="38"/>
      <c r="H42" s="38">
        <f t="shared" si="16"/>
        <v>61.867704280155642</v>
      </c>
      <c r="I42" s="38"/>
      <c r="J42">
        <v>75</v>
      </c>
    </row>
    <row r="43" spans="1:10" x14ac:dyDescent="0.25">
      <c r="B43">
        <v>51.4</v>
      </c>
      <c r="C43" s="57">
        <v>46174</v>
      </c>
      <c r="D43" s="38">
        <f>'Data Collection Sheet'!BJ$137</f>
        <v>31.9</v>
      </c>
      <c r="G43" s="38"/>
      <c r="H43" s="38">
        <f>(D43/B43)*100</f>
        <v>62.062256809338521</v>
      </c>
      <c r="I43" s="38"/>
      <c r="J43">
        <v>75</v>
      </c>
    </row>
    <row r="44" spans="1:10" x14ac:dyDescent="0.25">
      <c r="B44">
        <v>51.4</v>
      </c>
      <c r="C44" s="57">
        <v>46204</v>
      </c>
      <c r="D44" s="38">
        <f>'Data Collection Sheet'!BK$137</f>
        <v>31.7</v>
      </c>
      <c r="G44" s="38"/>
      <c r="H44" s="38">
        <f>(D44/B44)*100</f>
        <v>61.673151750972764</v>
      </c>
      <c r="I44" s="38"/>
      <c r="J44">
        <v>75</v>
      </c>
    </row>
    <row r="45" spans="1:10" x14ac:dyDescent="0.25">
      <c r="B45">
        <v>51.4</v>
      </c>
      <c r="C45" s="57">
        <v>46235</v>
      </c>
      <c r="D45" s="38">
        <f>'Data Collection Sheet'!BL$137</f>
        <v>31.6</v>
      </c>
      <c r="F45">
        <v>2.08</v>
      </c>
      <c r="G45" s="38">
        <f>D45</f>
        <v>31.6</v>
      </c>
      <c r="H45" s="38">
        <f>(D45/B45)*100</f>
        <v>61.478599221789885</v>
      </c>
      <c r="I45" s="38">
        <f t="shared" ref="I45" si="17">(G45/B45)*100</f>
        <v>61.478599221789885</v>
      </c>
      <c r="J45">
        <v>75</v>
      </c>
    </row>
    <row r="46" spans="1:10" x14ac:dyDescent="0.25">
      <c r="B46">
        <v>51.4</v>
      </c>
      <c r="C46" s="57">
        <v>46266</v>
      </c>
      <c r="F46">
        <v>1.08</v>
      </c>
      <c r="G46" s="38">
        <f t="shared" ref="G46:G68" si="18">G45*(1+(F46^(1/12)-1))+E46</f>
        <v>31.803315351476108</v>
      </c>
      <c r="H46" s="38"/>
      <c r="I46" s="38">
        <f t="shared" ref="I46:I68" si="19">(G46/B46)*100</f>
        <v>61.874154380303715</v>
      </c>
      <c r="J46">
        <v>75</v>
      </c>
    </row>
    <row r="47" spans="1:10" x14ac:dyDescent="0.25">
      <c r="B47">
        <v>51.4</v>
      </c>
      <c r="C47" s="57">
        <v>46296</v>
      </c>
      <c r="F47">
        <v>1.08</v>
      </c>
      <c r="G47" s="38">
        <f>G46*(1+(F47^(1/12)-1))+E47</f>
        <v>32.007938840045441</v>
      </c>
      <c r="H47" s="38"/>
      <c r="I47" s="38">
        <f t="shared" si="19"/>
        <v>62.272254552617589</v>
      </c>
      <c r="J47">
        <v>75</v>
      </c>
    </row>
    <row r="48" spans="1:10" x14ac:dyDescent="0.25">
      <c r="B48">
        <v>51.4</v>
      </c>
      <c r="C48" s="57">
        <v>46327</v>
      </c>
      <c r="F48">
        <v>1.08</v>
      </c>
      <c r="G48" s="38">
        <f t="shared" si="18"/>
        <v>32.213878882301444</v>
      </c>
      <c r="H48" s="38"/>
      <c r="I48" s="38">
        <f t="shared" si="19"/>
        <v>62.672916113426936</v>
      </c>
      <c r="J48">
        <v>75</v>
      </c>
    </row>
    <row r="49" spans="2:10" x14ac:dyDescent="0.25">
      <c r="B49">
        <v>51.4</v>
      </c>
      <c r="C49" s="57">
        <v>46357</v>
      </c>
      <c r="F49">
        <v>1.08</v>
      </c>
      <c r="G49" s="38">
        <f t="shared" si="18"/>
        <v>32.421143948990178</v>
      </c>
      <c r="H49" s="38"/>
      <c r="I49" s="38">
        <f t="shared" si="19"/>
        <v>63.076155542782452</v>
      </c>
      <c r="J49">
        <v>75</v>
      </c>
    </row>
    <row r="50" spans="2:10" x14ac:dyDescent="0.25">
      <c r="B50">
        <v>51.4</v>
      </c>
      <c r="C50" s="57">
        <v>46388</v>
      </c>
      <c r="D50" s="38"/>
      <c r="F50">
        <v>1.08</v>
      </c>
      <c r="G50" s="38">
        <f t="shared" si="18"/>
        <v>32.62974256535874</v>
      </c>
      <c r="H50" s="38"/>
      <c r="I50" s="38">
        <f t="shared" si="19"/>
        <v>63.481989426767981</v>
      </c>
      <c r="J50">
        <v>75</v>
      </c>
    </row>
    <row r="51" spans="2:10" x14ac:dyDescent="0.25">
      <c r="B51">
        <v>51.4</v>
      </c>
      <c r="C51" s="57">
        <v>46419</v>
      </c>
      <c r="D51" s="38"/>
      <c r="F51">
        <v>1.08</v>
      </c>
      <c r="G51" s="38">
        <f t="shared" si="18"/>
        <v>32.839683311505915</v>
      </c>
      <c r="H51" s="38"/>
      <c r="I51" s="38">
        <f t="shared" si="19"/>
        <v>63.890434458182725</v>
      </c>
      <c r="J51">
        <v>75</v>
      </c>
    </row>
    <row r="52" spans="2:10" x14ac:dyDescent="0.25">
      <c r="B52">
        <v>51.4</v>
      </c>
      <c r="C52" s="57">
        <v>46447</v>
      </c>
      <c r="D52" s="38"/>
      <c r="F52">
        <v>1.08</v>
      </c>
      <c r="G52" s="38">
        <f t="shared" si="18"/>
        <v>33.050974822735121</v>
      </c>
      <c r="H52" s="38"/>
      <c r="I52" s="38">
        <f t="shared" si="19"/>
        <v>64.301507437227869</v>
      </c>
      <c r="J52">
        <v>75</v>
      </c>
    </row>
    <row r="53" spans="2:10" x14ac:dyDescent="0.25">
      <c r="B53">
        <v>51.4</v>
      </c>
      <c r="C53" s="57">
        <v>46478</v>
      </c>
      <c r="D53" s="38"/>
      <c r="F53">
        <v>1.08</v>
      </c>
      <c r="G53" s="38">
        <f t="shared" si="18"/>
        <v>33.263625789909561</v>
      </c>
      <c r="H53" s="38"/>
      <c r="I53" s="38">
        <f t="shared" si="19"/>
        <v>64.7152252721976</v>
      </c>
      <c r="J53">
        <v>75</v>
      </c>
    </row>
    <row r="54" spans="2:10" x14ac:dyDescent="0.25">
      <c r="B54">
        <v>51.4</v>
      </c>
      <c r="C54" s="57">
        <v>46508</v>
      </c>
      <c r="D54" s="38"/>
      <c r="F54">
        <v>1.08</v>
      </c>
      <c r="G54" s="38">
        <f t="shared" si="18"/>
        <v>33.477644959809723</v>
      </c>
      <c r="H54" s="38"/>
      <c r="I54" s="38">
        <f t="shared" si="19"/>
        <v>65.131604980174558</v>
      </c>
      <c r="J54">
        <v>75</v>
      </c>
    </row>
    <row r="55" spans="2:10" x14ac:dyDescent="0.25">
      <c r="B55">
        <v>51.4</v>
      </c>
      <c r="C55" s="57">
        <v>46539</v>
      </c>
      <c r="D55" s="38"/>
      <c r="F55">
        <v>1.08</v>
      </c>
      <c r="G55" s="38">
        <f t="shared" si="18"/>
        <v>33.693041135493146</v>
      </c>
      <c r="H55" s="38"/>
      <c r="I55" s="38">
        <f t="shared" si="19"/>
        <v>65.550663687729866</v>
      </c>
      <c r="J55">
        <v>75</v>
      </c>
    </row>
    <row r="56" spans="2:10" x14ac:dyDescent="0.25">
      <c r="B56">
        <v>51.4</v>
      </c>
      <c r="C56" s="57">
        <v>46569</v>
      </c>
      <c r="F56">
        <v>1.08</v>
      </c>
      <c r="G56" s="38">
        <f t="shared" si="18"/>
        <v>33.909823176656495</v>
      </c>
      <c r="H56" s="38"/>
      <c r="I56" s="38">
        <f t="shared" si="19"/>
        <v>65.972418631627434</v>
      </c>
      <c r="J56">
        <v>75</v>
      </c>
    </row>
    <row r="57" spans="2:10" x14ac:dyDescent="0.25">
      <c r="B57">
        <v>51.4</v>
      </c>
      <c r="C57" s="57">
        <v>46600</v>
      </c>
      <c r="F57">
        <v>1.08</v>
      </c>
      <c r="G57" s="38">
        <f t="shared" si="18"/>
        <v>34.127999999999993</v>
      </c>
      <c r="H57" s="38"/>
      <c r="I57" s="38">
        <f t="shared" si="19"/>
        <v>66.396887159533051</v>
      </c>
      <c r="J57">
        <v>75</v>
      </c>
    </row>
    <row r="58" spans="2:10" x14ac:dyDescent="0.25">
      <c r="B58">
        <v>51.4</v>
      </c>
      <c r="C58" s="57">
        <v>46631</v>
      </c>
      <c r="F58">
        <v>1.08</v>
      </c>
      <c r="G58" s="38">
        <f t="shared" si="18"/>
        <v>34.347580579594187</v>
      </c>
      <c r="H58" s="38"/>
      <c r="I58" s="38">
        <f t="shared" si="19"/>
        <v>66.824086730727998</v>
      </c>
      <c r="J58">
        <v>75</v>
      </c>
    </row>
    <row r="59" spans="2:10" x14ac:dyDescent="0.25">
      <c r="B59">
        <v>51.4</v>
      </c>
      <c r="C59" s="57">
        <v>46661</v>
      </c>
      <c r="F59">
        <v>1.08</v>
      </c>
      <c r="G59" s="38">
        <f t="shared" si="18"/>
        <v>34.568573947249064</v>
      </c>
      <c r="H59" s="38"/>
      <c r="I59" s="38">
        <f t="shared" si="19"/>
        <v>67.254034916826981</v>
      </c>
      <c r="J59">
        <v>75</v>
      </c>
    </row>
    <row r="60" spans="2:10" x14ac:dyDescent="0.25">
      <c r="B60">
        <v>51.4</v>
      </c>
      <c r="C60" s="57">
        <v>46692</v>
      </c>
      <c r="E60" s="38"/>
      <c r="F60">
        <v>1.08</v>
      </c>
      <c r="G60" s="38">
        <f t="shared" si="18"/>
        <v>34.790989192885547</v>
      </c>
      <c r="H60" s="38"/>
      <c r="I60" s="38">
        <f t="shared" si="19"/>
        <v>67.686749402501064</v>
      </c>
      <c r="J60">
        <v>75</v>
      </c>
    </row>
    <row r="61" spans="2:10" x14ac:dyDescent="0.25">
      <c r="B61">
        <v>51.4</v>
      </c>
      <c r="C61" s="57">
        <v>46722</v>
      </c>
      <c r="E61" s="38"/>
      <c r="F61">
        <v>1.08</v>
      </c>
      <c r="G61" s="38">
        <f t="shared" si="18"/>
        <v>35.014835464909375</v>
      </c>
      <c r="H61" s="38"/>
      <c r="I61" s="38">
        <f t="shared" si="19"/>
        <v>68.122247986205011</v>
      </c>
      <c r="J61">
        <v>75</v>
      </c>
    </row>
    <row r="62" spans="2:10" x14ac:dyDescent="0.25">
      <c r="B62">
        <v>51.4</v>
      </c>
      <c r="C62" s="57">
        <v>46753</v>
      </c>
      <c r="E62" s="38"/>
      <c r="F62">
        <v>1.08</v>
      </c>
      <c r="G62" s="38">
        <f t="shared" si="18"/>
        <v>35.240121970587417</v>
      </c>
      <c r="H62" s="38"/>
      <c r="I62" s="38">
        <f t="shared" si="19"/>
        <v>68.560548580909369</v>
      </c>
      <c r="J62">
        <v>75</v>
      </c>
    </row>
    <row r="63" spans="2:10" x14ac:dyDescent="0.25">
      <c r="B63">
        <v>51.4</v>
      </c>
      <c r="C63" s="57">
        <v>46784</v>
      </c>
      <c r="F63">
        <v>1.08</v>
      </c>
      <c r="G63" s="38">
        <f t="shared" si="18"/>
        <v>35.466857976426368</v>
      </c>
      <c r="H63" s="38"/>
      <c r="I63" s="38">
        <f t="shared" si="19"/>
        <v>69.001669214837293</v>
      </c>
      <c r="J63">
        <v>75</v>
      </c>
    </row>
    <row r="64" spans="2:10" x14ac:dyDescent="0.25">
      <c r="B64">
        <v>51.4</v>
      </c>
      <c r="C64" s="57">
        <v>46813</v>
      </c>
      <c r="F64">
        <v>1.08</v>
      </c>
      <c r="G64" s="38">
        <f t="shared" si="18"/>
        <v>35.69505280855391</v>
      </c>
      <c r="H64" s="38"/>
      <c r="I64" s="38">
        <f t="shared" si="19"/>
        <v>69.445628032206059</v>
      </c>
      <c r="J64">
        <v>75</v>
      </c>
    </row>
    <row r="65" spans="2:10" x14ac:dyDescent="0.25">
      <c r="B65">
        <v>51.4</v>
      </c>
      <c r="C65" s="57">
        <v>46844</v>
      </c>
      <c r="F65">
        <v>1.08</v>
      </c>
      <c r="G65" s="38">
        <f t="shared" si="18"/>
        <v>35.924715853102306</v>
      </c>
      <c r="H65" s="38"/>
      <c r="I65" s="38">
        <f t="shared" si="19"/>
        <v>69.892443293973358</v>
      </c>
      <c r="J65">
        <v>75</v>
      </c>
    </row>
    <row r="66" spans="2:10" x14ac:dyDescent="0.25">
      <c r="B66">
        <v>51.4</v>
      </c>
      <c r="C66" s="57">
        <v>46874</v>
      </c>
      <c r="F66">
        <v>1.08</v>
      </c>
      <c r="G66" s="38">
        <f t="shared" si="18"/>
        <v>36.155856556594486</v>
      </c>
      <c r="H66" s="38"/>
      <c r="I66" s="38">
        <f t="shared" si="19"/>
        <v>70.3421333785885</v>
      </c>
      <c r="J66">
        <v>75</v>
      </c>
    </row>
    <row r="67" spans="2:10" x14ac:dyDescent="0.25">
      <c r="B67">
        <v>51.4</v>
      </c>
      <c r="C67" s="57">
        <v>46905</v>
      </c>
      <c r="F67">
        <v>1.08</v>
      </c>
      <c r="G67" s="38">
        <f t="shared" si="18"/>
        <v>36.388484426332582</v>
      </c>
      <c r="H67" s="38"/>
      <c r="I67" s="38">
        <f t="shared" si="19"/>
        <v>70.79471678274821</v>
      </c>
      <c r="J67">
        <v>75</v>
      </c>
    </row>
    <row r="68" spans="2:10" x14ac:dyDescent="0.25">
      <c r="B68">
        <v>51.4</v>
      </c>
      <c r="C68" s="57">
        <v>46935</v>
      </c>
      <c r="F68">
        <v>1.08</v>
      </c>
      <c r="G68" s="38">
        <f t="shared" si="18"/>
        <v>36.622609030788993</v>
      </c>
      <c r="H68" s="38"/>
      <c r="I68" s="38">
        <f t="shared" si="19"/>
        <v>71.250212122157578</v>
      </c>
      <c r="J68">
        <v>75</v>
      </c>
    </row>
    <row r="69" spans="2:10" x14ac:dyDescent="0.25">
      <c r="B69">
        <v>51.4</v>
      </c>
      <c r="C69" s="57">
        <v>46966</v>
      </c>
      <c r="F69">
        <v>1.08</v>
      </c>
      <c r="G69" s="38">
        <f t="shared" ref="G69:G97" si="20">G68*(1+(F69^(1/12)-1))+E69</f>
        <v>36.858239999999974</v>
      </c>
      <c r="H69" s="38"/>
      <c r="I69" s="38">
        <f t="shared" ref="I69:I97" si="21">(G69/B69)*100</f>
        <v>71.708638132295661</v>
      </c>
      <c r="J69">
        <v>75</v>
      </c>
    </row>
    <row r="70" spans="2:10" x14ac:dyDescent="0.25">
      <c r="B70">
        <v>51.4</v>
      </c>
      <c r="C70" s="57">
        <v>46997</v>
      </c>
      <c r="F70">
        <v>1.08</v>
      </c>
      <c r="G70" s="38">
        <f t="shared" si="20"/>
        <v>37.095387025961706</v>
      </c>
      <c r="H70" s="38"/>
      <c r="I70" s="38">
        <f t="shared" si="21"/>
        <v>72.170013669186204</v>
      </c>
      <c r="J70">
        <v>75</v>
      </c>
    </row>
    <row r="71" spans="2:10" x14ac:dyDescent="0.25">
      <c r="B71">
        <v>51.4</v>
      </c>
      <c r="C71" s="57">
        <v>47027</v>
      </c>
      <c r="F71">
        <v>1.08</v>
      </c>
      <c r="G71" s="38">
        <f t="shared" si="20"/>
        <v>37.334059863028976</v>
      </c>
      <c r="H71" s="38"/>
      <c r="I71" s="38">
        <f t="shared" si="21"/>
        <v>72.634357710173106</v>
      </c>
      <c r="J71">
        <v>75</v>
      </c>
    </row>
    <row r="72" spans="2:10" x14ac:dyDescent="0.25">
      <c r="B72">
        <v>51.4</v>
      </c>
      <c r="C72" s="57">
        <v>47058</v>
      </c>
      <c r="F72">
        <v>1.08</v>
      </c>
      <c r="G72" s="38">
        <f t="shared" si="20"/>
        <v>37.574268328316379</v>
      </c>
      <c r="H72" s="38"/>
      <c r="I72" s="38">
        <f t="shared" si="21"/>
        <v>73.101689354701122</v>
      </c>
      <c r="J72">
        <v>75</v>
      </c>
    </row>
    <row r="73" spans="2:10" x14ac:dyDescent="0.25">
      <c r="B73">
        <v>51.4</v>
      </c>
      <c r="C73" s="57">
        <v>47088</v>
      </c>
      <c r="F73">
        <v>1.08</v>
      </c>
      <c r="G73" s="38">
        <f t="shared" si="20"/>
        <v>37.816022302102112</v>
      </c>
      <c r="H73" s="38"/>
      <c r="I73" s="38">
        <f t="shared" si="21"/>
        <v>73.572027825101387</v>
      </c>
      <c r="J73">
        <v>75</v>
      </c>
    </row>
    <row r="74" spans="2:10" x14ac:dyDescent="0.25">
      <c r="B74">
        <v>51.4</v>
      </c>
      <c r="C74" s="57">
        <v>47119</v>
      </c>
      <c r="D74" s="38"/>
      <c r="F74">
        <v>1.08</v>
      </c>
      <c r="G74" s="38">
        <f t="shared" si="20"/>
        <v>38.059331728234397</v>
      </c>
      <c r="H74" s="38"/>
      <c r="I74" s="38">
        <f t="shared" si="21"/>
        <v>74.045392467382101</v>
      </c>
      <c r="J74">
        <v>75</v>
      </c>
    </row>
    <row r="75" spans="2:10" x14ac:dyDescent="0.25">
      <c r="B75">
        <v>51.4</v>
      </c>
      <c r="C75" s="57">
        <v>47150</v>
      </c>
      <c r="D75" s="38"/>
      <c r="F75">
        <v>1.08</v>
      </c>
      <c r="G75" s="38">
        <f t="shared" si="20"/>
        <v>38.304206614540469</v>
      </c>
      <c r="H75" s="38"/>
      <c r="I75" s="38">
        <f t="shared" si="21"/>
        <v>74.521802752024257</v>
      </c>
      <c r="J75">
        <v>75</v>
      </c>
    </row>
    <row r="76" spans="2:10" x14ac:dyDescent="0.25">
      <c r="B76">
        <v>51.4</v>
      </c>
      <c r="C76" s="57">
        <v>47178</v>
      </c>
      <c r="D76" s="38"/>
      <c r="F76">
        <v>1.08</v>
      </c>
      <c r="G76" s="38">
        <f t="shared" si="20"/>
        <v>38.550657033238217</v>
      </c>
      <c r="H76" s="38"/>
      <c r="I76" s="38">
        <f t="shared" si="21"/>
        <v>75.001278274782521</v>
      </c>
      <c r="J76">
        <v>75</v>
      </c>
    </row>
    <row r="77" spans="2:10" x14ac:dyDescent="0.25">
      <c r="B77">
        <v>51.4</v>
      </c>
      <c r="C77" s="57">
        <v>47209</v>
      </c>
      <c r="D77" s="38"/>
      <c r="F77">
        <v>1.08</v>
      </c>
      <c r="G77" s="38">
        <f t="shared" si="20"/>
        <v>38.798693121350489</v>
      </c>
      <c r="H77" s="38"/>
      <c r="I77" s="38">
        <f t="shared" si="21"/>
        <v>75.483838757491228</v>
      </c>
      <c r="J77">
        <v>75</v>
      </c>
    </row>
    <row r="78" spans="2:10" x14ac:dyDescent="0.25">
      <c r="B78">
        <v>51.4</v>
      </c>
      <c r="C78" s="57">
        <v>47239</v>
      </c>
      <c r="D78" s="38"/>
      <c r="F78">
        <v>1.08</v>
      </c>
      <c r="G78" s="38">
        <f t="shared" si="20"/>
        <v>39.048325081122044</v>
      </c>
      <c r="H78" s="38"/>
      <c r="I78" s="38">
        <f t="shared" si="21"/>
        <v>75.969504048875578</v>
      </c>
      <c r="J78">
        <v>75</v>
      </c>
    </row>
    <row r="79" spans="2:10" x14ac:dyDescent="0.25">
      <c r="B79">
        <v>51.4</v>
      </c>
      <c r="C79" s="57">
        <v>47270</v>
      </c>
      <c r="D79" s="38"/>
      <c r="F79">
        <v>1.08</v>
      </c>
      <c r="G79" s="38">
        <f t="shared" si="20"/>
        <v>39.299563180439186</v>
      </c>
      <c r="H79" s="38"/>
      <c r="I79" s="38">
        <f t="shared" si="21"/>
        <v>76.45829412536807</v>
      </c>
      <c r="J79">
        <v>75</v>
      </c>
    </row>
    <row r="80" spans="2:10" x14ac:dyDescent="0.25">
      <c r="B80">
        <v>51.4</v>
      </c>
      <c r="C80" s="57">
        <v>47300</v>
      </c>
      <c r="F80">
        <v>1.08</v>
      </c>
      <c r="G80" s="38">
        <f t="shared" si="20"/>
        <v>39.552417753252115</v>
      </c>
      <c r="H80" s="38"/>
      <c r="I80" s="38">
        <f t="shared" si="21"/>
        <v>76.950229091930183</v>
      </c>
      <c r="J80">
        <v>75</v>
      </c>
    </row>
    <row r="81" spans="2:10" x14ac:dyDescent="0.25">
      <c r="B81">
        <v>51.4</v>
      </c>
      <c r="C81" s="57">
        <v>47331</v>
      </c>
      <c r="F81">
        <v>1.08</v>
      </c>
      <c r="G81" s="38">
        <f t="shared" si="20"/>
        <v>39.806899199999975</v>
      </c>
      <c r="H81" s="38"/>
      <c r="I81" s="38">
        <f t="shared" si="21"/>
        <v>77.445329182879334</v>
      </c>
      <c r="J81">
        <v>75</v>
      </c>
    </row>
    <row r="82" spans="2:10" x14ac:dyDescent="0.25">
      <c r="B82">
        <v>51.4</v>
      </c>
      <c r="C82" s="57">
        <v>47362</v>
      </c>
      <c r="F82">
        <v>1.08</v>
      </c>
      <c r="G82" s="38">
        <f t="shared" si="20"/>
        <v>40.063017988038645</v>
      </c>
      <c r="H82" s="38"/>
      <c r="I82" s="38">
        <f t="shared" si="21"/>
        <v>77.943614762721097</v>
      </c>
      <c r="J82">
        <v>75</v>
      </c>
    </row>
    <row r="83" spans="2:10" x14ac:dyDescent="0.25">
      <c r="B83">
        <v>51.4</v>
      </c>
      <c r="C83" s="57">
        <v>47392</v>
      </c>
      <c r="F83">
        <v>1.08</v>
      </c>
      <c r="G83" s="38">
        <f t="shared" si="20"/>
        <v>40.320784652071296</v>
      </c>
      <c r="H83" s="38"/>
      <c r="I83" s="38">
        <f t="shared" si="21"/>
        <v>78.445106326986959</v>
      </c>
      <c r="J83">
        <v>75</v>
      </c>
    </row>
    <row r="84" spans="2:10" x14ac:dyDescent="0.25">
      <c r="B84">
        <v>51.4</v>
      </c>
      <c r="C84" s="57">
        <v>47423</v>
      </c>
      <c r="F84">
        <v>1.08</v>
      </c>
      <c r="G84" s="38">
        <f t="shared" si="20"/>
        <v>40.580209794581684</v>
      </c>
      <c r="H84" s="38"/>
      <c r="I84" s="38">
        <f t="shared" si="21"/>
        <v>78.94982450307721</v>
      </c>
      <c r="J84">
        <v>75</v>
      </c>
    </row>
    <row r="85" spans="2:10" x14ac:dyDescent="0.25">
      <c r="B85">
        <v>51.4</v>
      </c>
      <c r="C85" s="57">
        <v>47453</v>
      </c>
      <c r="F85">
        <v>1.08</v>
      </c>
      <c r="G85" s="38">
        <f t="shared" si="20"/>
        <v>40.841304086270277</v>
      </c>
      <c r="H85" s="38"/>
      <c r="I85" s="38">
        <f t="shared" si="21"/>
        <v>79.457790051109484</v>
      </c>
      <c r="J85">
        <v>75</v>
      </c>
    </row>
    <row r="86" spans="2:10" x14ac:dyDescent="0.25">
      <c r="B86">
        <v>51.4</v>
      </c>
      <c r="C86" s="57">
        <v>47484</v>
      </c>
      <c r="F86">
        <v>1.08</v>
      </c>
      <c r="G86" s="38">
        <f t="shared" si="20"/>
        <v>41.104078266493147</v>
      </c>
      <c r="H86" s="38"/>
      <c r="I86" s="38">
        <f t="shared" si="21"/>
        <v>79.969023864772666</v>
      </c>
      <c r="J86">
        <v>75</v>
      </c>
    </row>
    <row r="87" spans="2:10" x14ac:dyDescent="0.25">
      <c r="B87">
        <v>51.4</v>
      </c>
      <c r="C87" s="57">
        <v>47515</v>
      </c>
      <c r="F87">
        <v>1.08</v>
      </c>
      <c r="G87" s="38">
        <f t="shared" si="20"/>
        <v>41.368543143703704</v>
      </c>
      <c r="H87" s="38"/>
      <c r="I87" s="38">
        <f t="shared" si="21"/>
        <v>80.48354697218619</v>
      </c>
      <c r="J87">
        <v>75</v>
      </c>
    </row>
    <row r="88" spans="2:10" x14ac:dyDescent="0.25">
      <c r="B88">
        <v>51.4</v>
      </c>
      <c r="C88" s="57">
        <v>47543</v>
      </c>
      <c r="F88">
        <v>1.08</v>
      </c>
      <c r="G88" s="38">
        <f t="shared" si="20"/>
        <v>41.63470959589727</v>
      </c>
      <c r="H88" s="38"/>
      <c r="I88" s="38">
        <f t="shared" si="21"/>
        <v>81.001380536765126</v>
      </c>
      <c r="J88">
        <v>75</v>
      </c>
    </row>
    <row r="89" spans="2:10" x14ac:dyDescent="0.25">
      <c r="B89">
        <v>51.4</v>
      </c>
      <c r="C89" s="57">
        <v>47574</v>
      </c>
      <c r="F89">
        <v>1.08</v>
      </c>
      <c r="G89" s="38">
        <f t="shared" si="20"/>
        <v>41.902588571058523</v>
      </c>
      <c r="H89" s="38"/>
      <c r="I89" s="38">
        <f t="shared" si="21"/>
        <v>81.52254585809051</v>
      </c>
      <c r="J89">
        <v>75</v>
      </c>
    </row>
    <row r="90" spans="2:10" x14ac:dyDescent="0.25">
      <c r="B90">
        <v>51.4</v>
      </c>
      <c r="C90" s="57">
        <v>47604</v>
      </c>
      <c r="F90">
        <v>1.08</v>
      </c>
      <c r="G90" s="38">
        <f t="shared" si="20"/>
        <v>42.1721910876118</v>
      </c>
      <c r="H90" s="38"/>
      <c r="I90" s="38">
        <f t="shared" si="21"/>
        <v>82.047064372785599</v>
      </c>
      <c r="J90">
        <v>75</v>
      </c>
    </row>
    <row r="91" spans="2:10" x14ac:dyDescent="0.25">
      <c r="B91">
        <v>51.4</v>
      </c>
      <c r="C91" s="57">
        <v>47635</v>
      </c>
      <c r="F91">
        <v>1.08</v>
      </c>
      <c r="G91" s="38">
        <f t="shared" si="20"/>
        <v>42.443528234874314</v>
      </c>
      <c r="H91" s="38"/>
      <c r="I91" s="38">
        <f t="shared" si="21"/>
        <v>82.574957655397498</v>
      </c>
      <c r="J91">
        <v>75</v>
      </c>
    </row>
    <row r="92" spans="2:10" x14ac:dyDescent="0.25">
      <c r="B92">
        <v>51.4</v>
      </c>
      <c r="C92" s="57">
        <v>47665</v>
      </c>
      <c r="E92" s="38"/>
      <c r="F92">
        <v>1.08</v>
      </c>
      <c r="G92" s="38">
        <f t="shared" si="20"/>
        <v>42.716611173512277</v>
      </c>
      <c r="H92" s="38"/>
      <c r="I92" s="38">
        <f t="shared" si="21"/>
        <v>83.106247419284585</v>
      </c>
      <c r="J92">
        <v>75</v>
      </c>
    </row>
    <row r="93" spans="2:10" x14ac:dyDescent="0.25">
      <c r="B93">
        <v>51.4</v>
      </c>
      <c r="C93" s="57">
        <v>47696</v>
      </c>
      <c r="F93">
        <v>1.08</v>
      </c>
      <c r="G93" s="38">
        <f t="shared" si="20"/>
        <v>42.991451135999966</v>
      </c>
      <c r="I93" s="38">
        <f t="shared" si="21"/>
        <v>83.640955517509667</v>
      </c>
      <c r="J93">
        <v>75</v>
      </c>
    </row>
    <row r="94" spans="2:10" x14ac:dyDescent="0.25">
      <c r="B94">
        <v>51.4</v>
      </c>
      <c r="C94" s="57">
        <v>47727</v>
      </c>
      <c r="F94">
        <v>1.08</v>
      </c>
      <c r="G94" s="38">
        <f t="shared" si="20"/>
        <v>43.268059427081731</v>
      </c>
      <c r="I94" s="38">
        <f t="shared" si="21"/>
        <v>84.179103943738781</v>
      </c>
      <c r="J94">
        <v>75</v>
      </c>
    </row>
    <row r="95" spans="2:10" x14ac:dyDescent="0.25">
      <c r="B95">
        <v>51.4</v>
      </c>
      <c r="C95" s="57">
        <v>47757</v>
      </c>
      <c r="F95">
        <v>1.08</v>
      </c>
      <c r="G95" s="38">
        <f t="shared" si="20"/>
        <v>43.546447424236995</v>
      </c>
      <c r="I95" s="38">
        <f t="shared" si="21"/>
        <v>84.720714833145905</v>
      </c>
      <c r="J95">
        <v>75</v>
      </c>
    </row>
    <row r="96" spans="2:10" x14ac:dyDescent="0.25">
      <c r="B96">
        <v>51.4</v>
      </c>
      <c r="C96" s="57">
        <v>47788</v>
      </c>
      <c r="F96">
        <v>1.08</v>
      </c>
      <c r="G96" s="38">
        <f t="shared" si="20"/>
        <v>43.826626578148215</v>
      </c>
      <c r="I96" s="38">
        <f t="shared" si="21"/>
        <v>85.265810463323376</v>
      </c>
      <c r="J96">
        <v>75</v>
      </c>
    </row>
    <row r="97" spans="2:10" x14ac:dyDescent="0.25">
      <c r="B97">
        <v>51.4</v>
      </c>
      <c r="C97" s="57">
        <v>47818</v>
      </c>
      <c r="F97">
        <v>1.08</v>
      </c>
      <c r="G97" s="38">
        <f t="shared" si="20"/>
        <v>44.108608413171893</v>
      </c>
      <c r="I97" s="38">
        <f t="shared" si="21"/>
        <v>85.814413255198247</v>
      </c>
      <c r="J97">
        <v>75</v>
      </c>
    </row>
    <row r="98" spans="2:10" x14ac:dyDescent="0.25">
      <c r="C98" s="57"/>
      <c r="G98" s="38"/>
      <c r="I98" s="38"/>
    </row>
    <row r="99" spans="2:10" x14ac:dyDescent="0.25">
      <c r="C99" s="57"/>
      <c r="G99" s="38"/>
      <c r="I99" s="38"/>
    </row>
    <row r="100" spans="2:10" x14ac:dyDescent="0.25">
      <c r="C100" s="57"/>
      <c r="G100" s="38"/>
      <c r="I100" s="38"/>
    </row>
    <row r="101" spans="2:10" x14ac:dyDescent="0.25">
      <c r="C101" s="57"/>
      <c r="G101" s="38"/>
      <c r="I101" s="38"/>
    </row>
    <row r="102" spans="2:10" x14ac:dyDescent="0.25">
      <c r="C102" s="57"/>
      <c r="G102" s="38"/>
      <c r="I102" s="38"/>
    </row>
    <row r="103" spans="2:10" x14ac:dyDescent="0.25">
      <c r="C103" s="57"/>
      <c r="G103" s="38"/>
      <c r="I103" s="38"/>
    </row>
    <row r="104" spans="2:10" x14ac:dyDescent="0.25">
      <c r="C104" s="57"/>
      <c r="G104" s="38"/>
      <c r="I104" s="38"/>
    </row>
    <row r="105" spans="2:10" x14ac:dyDescent="0.25">
      <c r="C105" s="57"/>
      <c r="G105" s="38"/>
      <c r="I105" s="38"/>
    </row>
  </sheetData>
  <conditionalFormatting sqref="I2:I105">
    <cfRule type="cellIs" dxfId="14" priority="1" operator="greaterThan">
      <formula>75</formula>
    </cfRule>
  </conditionalFormatting>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939B0E-AD00-4A25-A8F9-B81CC3CE5649}">
  <dimension ref="B1:BP70"/>
  <sheetViews>
    <sheetView topLeftCell="A33" zoomScale="91" zoomScaleNormal="91" workbookViewId="0">
      <pane xSplit="5" topLeftCell="BG1" activePane="topRight" state="frozen"/>
      <selection pane="topRight" activeCell="BL64" sqref="BL64"/>
    </sheetView>
  </sheetViews>
  <sheetFormatPr defaultRowHeight="15" customHeight="1" x14ac:dyDescent="0.25"/>
  <cols>
    <col min="1" max="1" width="2.7109375" customWidth="1"/>
    <col min="2" max="2" width="22.7109375" customWidth="1"/>
    <col min="3" max="3" width="11.5703125" customWidth="1"/>
    <col min="4" max="4" width="9.5703125" customWidth="1"/>
    <col min="5" max="5" width="46.42578125" customWidth="1"/>
    <col min="6" max="6" width="3.140625" customWidth="1"/>
    <col min="7" max="7" width="17.140625" customWidth="1"/>
    <col min="8" max="8" width="2.7109375" customWidth="1"/>
    <col min="9" max="9" width="8.140625" hidden="1" customWidth="1"/>
    <col min="10" max="13" width="7.140625" hidden="1" customWidth="1"/>
    <col min="14" max="14" width="6.42578125" hidden="1" customWidth="1"/>
    <col min="15" max="15" width="7" hidden="1" customWidth="1"/>
    <col min="16" max="18" width="5.7109375" hidden="1" customWidth="1"/>
    <col min="19" max="20" width="6.7109375" hidden="1" customWidth="1"/>
    <col min="21" max="21" width="8.140625" customWidth="1"/>
    <col min="22" max="22" width="8" customWidth="1"/>
    <col min="23" max="23" width="9.140625" customWidth="1"/>
    <col min="24" max="24" width="8.7109375" customWidth="1"/>
    <col min="25" max="25" width="9" customWidth="1"/>
    <col min="26" max="26" width="8.140625" bestFit="1" customWidth="1"/>
    <col min="27" max="28" width="8.140625" customWidth="1"/>
    <col min="29" max="31" width="8.140625" bestFit="1" customWidth="1"/>
    <col min="32" max="32" width="9.140625" customWidth="1"/>
    <col min="33" max="33" width="7.7109375" bestFit="1" customWidth="1"/>
    <col min="34" max="34" width="9.140625" bestFit="1" customWidth="1"/>
    <col min="35" max="35" width="8.7109375" bestFit="1" customWidth="1"/>
    <col min="36" max="44" width="9.140625" bestFit="1" customWidth="1"/>
  </cols>
  <sheetData>
    <row r="1" spans="2:68" x14ac:dyDescent="0.25">
      <c r="B1" s="5"/>
      <c r="C1" s="5" t="s">
        <v>0</v>
      </c>
      <c r="D1" s="6">
        <v>1.1499999999999999</v>
      </c>
      <c r="E1" s="5" t="s">
        <v>1</v>
      </c>
      <c r="G1" t="s">
        <v>2</v>
      </c>
      <c r="I1" s="2" t="s">
        <v>3</v>
      </c>
      <c r="J1" s="2" t="s">
        <v>4</v>
      </c>
      <c r="K1" s="2" t="s">
        <v>5</v>
      </c>
      <c r="L1" s="2" t="s">
        <v>6</v>
      </c>
      <c r="M1" s="2" t="s">
        <v>7</v>
      </c>
      <c r="N1" s="2" t="s">
        <v>8</v>
      </c>
      <c r="O1" s="2" t="s">
        <v>9</v>
      </c>
      <c r="P1" s="2" t="s">
        <v>10</v>
      </c>
      <c r="Q1" s="2" t="s">
        <v>11</v>
      </c>
      <c r="R1" s="2" t="s">
        <v>12</v>
      </c>
      <c r="S1" s="2" t="s">
        <v>13</v>
      </c>
      <c r="T1" s="2" t="s">
        <v>14</v>
      </c>
      <c r="U1" s="2" t="s">
        <v>15</v>
      </c>
      <c r="V1" s="2" t="s">
        <v>16</v>
      </c>
      <c r="W1" s="2" t="s">
        <v>17</v>
      </c>
      <c r="X1" s="2" t="s">
        <v>18</v>
      </c>
      <c r="Y1" s="2" t="s">
        <v>19</v>
      </c>
      <c r="Z1" s="2" t="s">
        <v>20</v>
      </c>
      <c r="AA1" s="2" t="s">
        <v>21</v>
      </c>
      <c r="AB1" s="2" t="s">
        <v>22</v>
      </c>
      <c r="AC1" s="2" t="s">
        <v>23</v>
      </c>
      <c r="AD1" s="2" t="s">
        <v>24</v>
      </c>
      <c r="AE1" s="2" t="s">
        <v>25</v>
      </c>
      <c r="AF1" s="2" t="s">
        <v>26</v>
      </c>
      <c r="AG1" s="2" t="s">
        <v>27</v>
      </c>
      <c r="AH1" s="2" t="s">
        <v>278</v>
      </c>
      <c r="AI1" s="2" t="s">
        <v>292</v>
      </c>
      <c r="AJ1" s="2" t="s">
        <v>293</v>
      </c>
      <c r="AK1" s="2" t="s">
        <v>294</v>
      </c>
      <c r="AL1" s="2" t="s">
        <v>295</v>
      </c>
      <c r="AM1" s="2" t="s">
        <v>312</v>
      </c>
      <c r="AN1" s="2" t="s">
        <v>297</v>
      </c>
      <c r="AO1" s="2" t="s">
        <v>334</v>
      </c>
      <c r="AP1" s="2" t="s">
        <v>299</v>
      </c>
      <c r="AQ1" s="2" t="s">
        <v>300</v>
      </c>
      <c r="AR1" s="2" t="s">
        <v>301</v>
      </c>
      <c r="AS1" s="2" t="s">
        <v>302</v>
      </c>
      <c r="AT1" s="2" t="s">
        <v>337</v>
      </c>
      <c r="AU1" s="2" t="s">
        <v>338</v>
      </c>
      <c r="AV1" s="2" t="s">
        <v>339</v>
      </c>
      <c r="AW1" s="2" t="s">
        <v>340</v>
      </c>
      <c r="AX1" s="2" t="s">
        <v>315</v>
      </c>
      <c r="AY1" s="2" t="s">
        <v>341</v>
      </c>
      <c r="AZ1" s="2" t="s">
        <v>342</v>
      </c>
      <c r="BA1" s="2" t="s">
        <v>343</v>
      </c>
      <c r="BB1" s="2" t="s">
        <v>344</v>
      </c>
      <c r="BC1" s="2" t="s">
        <v>345</v>
      </c>
      <c r="BD1" s="2" t="s">
        <v>346</v>
      </c>
      <c r="BE1" s="2" t="s">
        <v>368</v>
      </c>
      <c r="BF1" s="2" t="s">
        <v>369</v>
      </c>
      <c r="BG1" s="2" t="s">
        <v>370</v>
      </c>
      <c r="BH1" s="2" t="s">
        <v>371</v>
      </c>
      <c r="BI1" s="2" t="s">
        <v>372</v>
      </c>
      <c r="BJ1" s="2" t="s">
        <v>373</v>
      </c>
      <c r="BK1" s="2" t="s">
        <v>374</v>
      </c>
      <c r="BL1" s="2" t="s">
        <v>375</v>
      </c>
      <c r="BM1" s="2" t="s">
        <v>376</v>
      </c>
      <c r="BN1" s="2" t="s">
        <v>377</v>
      </c>
      <c r="BO1" s="2" t="s">
        <v>378</v>
      </c>
      <c r="BP1" s="2" t="s">
        <v>379</v>
      </c>
    </row>
    <row r="2" spans="2:68" x14ac:dyDescent="0.25">
      <c r="B2" s="39"/>
      <c r="C2" s="39"/>
      <c r="D2" s="39">
        <v>4</v>
      </c>
      <c r="E2" s="5"/>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row>
    <row r="3" spans="2:68" x14ac:dyDescent="0.25">
      <c r="B3" s="39"/>
      <c r="C3" s="39"/>
      <c r="D3" s="39"/>
      <c r="E3" s="5"/>
      <c r="G3" t="s">
        <v>225</v>
      </c>
      <c r="I3" s="40">
        <f t="shared" ref="I3:AL3" si="0">I22+I28+I33+I38+I43+I54+I66</f>
        <v>0</v>
      </c>
      <c r="J3" s="40">
        <f t="shared" si="0"/>
        <v>0</v>
      </c>
      <c r="K3" s="40">
        <f t="shared" si="0"/>
        <v>0</v>
      </c>
      <c r="L3" s="40">
        <f t="shared" si="0"/>
        <v>0</v>
      </c>
      <c r="M3" s="40">
        <f t="shared" si="0"/>
        <v>0</v>
      </c>
      <c r="N3" s="40">
        <f t="shared" si="0"/>
        <v>0</v>
      </c>
      <c r="O3" s="40">
        <f t="shared" si="0"/>
        <v>0</v>
      </c>
      <c r="P3" s="40">
        <f t="shared" si="0"/>
        <v>0</v>
      </c>
      <c r="Q3" s="40">
        <f t="shared" si="0"/>
        <v>0</v>
      </c>
      <c r="R3" s="40">
        <f t="shared" si="0"/>
        <v>0</v>
      </c>
      <c r="S3" s="40">
        <f t="shared" si="0"/>
        <v>0</v>
      </c>
      <c r="T3" s="40">
        <f t="shared" si="0"/>
        <v>0</v>
      </c>
      <c r="U3" s="40">
        <f t="shared" si="0"/>
        <v>7250.5899999999992</v>
      </c>
      <c r="V3" s="40">
        <f t="shared" si="0"/>
        <v>6874.0400000000009</v>
      </c>
      <c r="W3" s="40">
        <f t="shared" si="0"/>
        <v>7082.67</v>
      </c>
      <c r="X3" s="40">
        <f t="shared" si="0"/>
        <v>7374.99</v>
      </c>
      <c r="Y3" s="40">
        <f t="shared" si="0"/>
        <v>8099.07</v>
      </c>
      <c r="Z3" s="40">
        <f t="shared" si="0"/>
        <v>7791.510000000002</v>
      </c>
      <c r="AA3" s="40">
        <f t="shared" si="0"/>
        <v>7448.4600000000009</v>
      </c>
      <c r="AB3" s="40">
        <f t="shared" si="0"/>
        <v>8091.27</v>
      </c>
      <c r="AC3" s="40">
        <f t="shared" si="0"/>
        <v>8709.11</v>
      </c>
      <c r="AD3" s="40">
        <f t="shared" si="0"/>
        <v>10345.689999999999</v>
      </c>
      <c r="AE3" s="40">
        <f t="shared" si="0"/>
        <v>10377.599999999999</v>
      </c>
      <c r="AF3" s="40">
        <f t="shared" si="0"/>
        <v>12020.330000000004</v>
      </c>
      <c r="AG3" s="40">
        <f t="shared" si="0"/>
        <v>12648.78</v>
      </c>
      <c r="AH3" s="40">
        <f t="shared" si="0"/>
        <v>13149.659999999998</v>
      </c>
      <c r="AI3" s="40">
        <f t="shared" si="0"/>
        <v>12793.519999999997</v>
      </c>
      <c r="AJ3" s="40">
        <f t="shared" si="0"/>
        <v>15804.969999999996</v>
      </c>
      <c r="AK3" s="40">
        <f t="shared" si="0"/>
        <v>13299.499999999998</v>
      </c>
      <c r="AL3" s="40">
        <f t="shared" si="0"/>
        <v>13048.129999999997</v>
      </c>
      <c r="AM3" s="40">
        <f t="shared" ref="AM3:AR3" si="1">AM22+AM28+AM33+AM38+AM43+AM54+AM66</f>
        <v>13456.77</v>
      </c>
      <c r="AN3" s="40">
        <f t="shared" si="1"/>
        <v>14332.817100000002</v>
      </c>
      <c r="AO3" s="40">
        <f t="shared" si="1"/>
        <v>14348.564700000001</v>
      </c>
      <c r="AP3" s="40">
        <f t="shared" si="1"/>
        <v>14473.784700000002</v>
      </c>
      <c r="AQ3" s="40">
        <f t="shared" si="1"/>
        <v>14572.98</v>
      </c>
      <c r="AR3" s="40">
        <f t="shared" si="1"/>
        <v>15033.880000000003</v>
      </c>
      <c r="AS3" s="40">
        <f t="shared" ref="AS3:AU3" si="2">AS22+AS28+AS33+AS38+AS43+AS54+AS66</f>
        <v>15704.298999999997</v>
      </c>
      <c r="AT3" s="40">
        <f t="shared" si="2"/>
        <v>15882.768</v>
      </c>
      <c r="AU3" s="40">
        <f t="shared" si="2"/>
        <v>16045.789000000004</v>
      </c>
      <c r="AV3" s="40">
        <f t="shared" ref="AV3:BD3" si="3">AV22+AV28+AV33+AV38+AV43+AV54+AV66</f>
        <v>16472.119000000002</v>
      </c>
      <c r="AW3" s="40">
        <f t="shared" si="3"/>
        <v>17095.926000000003</v>
      </c>
      <c r="AX3" s="40">
        <f t="shared" si="3"/>
        <v>17429.420000000002</v>
      </c>
      <c r="AY3" s="40">
        <f t="shared" si="3"/>
        <v>18353.389999999996</v>
      </c>
      <c r="AZ3" s="40">
        <f t="shared" si="3"/>
        <v>19058.850000000002</v>
      </c>
      <c r="BA3" s="40">
        <f t="shared" si="3"/>
        <v>19829.440000000002</v>
      </c>
      <c r="BB3" s="40">
        <f t="shared" si="3"/>
        <v>20694.270000000004</v>
      </c>
      <c r="BC3" s="40">
        <f t="shared" si="3"/>
        <v>21120.269999999997</v>
      </c>
      <c r="BD3" s="40">
        <f t="shared" si="3"/>
        <v>21381.170000000002</v>
      </c>
      <c r="BE3" s="40">
        <f t="shared" ref="BE3:BP3" si="4">BE22+BE28+BE33+BE38+BE43+BE54+BE66</f>
        <v>21931.739999999998</v>
      </c>
      <c r="BF3" s="40">
        <f t="shared" si="4"/>
        <v>21964.11</v>
      </c>
      <c r="BG3" s="40">
        <f t="shared" si="4"/>
        <v>22411.27</v>
      </c>
      <c r="BH3" s="40">
        <f t="shared" si="4"/>
        <v>23000.92</v>
      </c>
      <c r="BI3" s="40">
        <f t="shared" si="4"/>
        <v>23623.34</v>
      </c>
      <c r="BJ3" s="40">
        <f t="shared" si="4"/>
        <v>24672.249999999993</v>
      </c>
      <c r="BK3" s="40">
        <f t="shared" si="4"/>
        <v>25022.109999999993</v>
      </c>
      <c r="BL3" s="40">
        <f t="shared" si="4"/>
        <v>0</v>
      </c>
      <c r="BM3" s="40">
        <f t="shared" si="4"/>
        <v>0</v>
      </c>
      <c r="BN3" s="40">
        <f t="shared" si="4"/>
        <v>0</v>
      </c>
      <c r="BO3" s="40">
        <f t="shared" si="4"/>
        <v>0</v>
      </c>
      <c r="BP3" s="40">
        <f t="shared" si="4"/>
        <v>0</v>
      </c>
    </row>
    <row r="4" spans="2:68" x14ac:dyDescent="0.25">
      <c r="B4" s="5"/>
      <c r="C4" s="5"/>
      <c r="D4" s="32"/>
      <c r="E4" s="5"/>
      <c r="G4" s="37"/>
      <c r="I4" s="40"/>
      <c r="J4" s="40"/>
      <c r="K4" s="40"/>
      <c r="L4" s="40"/>
      <c r="M4" s="40"/>
      <c r="N4" s="40"/>
      <c r="O4" s="40"/>
      <c r="P4" s="40"/>
      <c r="Q4" s="40"/>
      <c r="R4" s="40"/>
      <c r="S4" s="40"/>
      <c r="T4" s="40"/>
      <c r="U4" s="40"/>
      <c r="V4" s="40"/>
      <c r="W4" s="40"/>
      <c r="X4" s="40"/>
      <c r="Y4" s="40"/>
      <c r="Z4" s="40"/>
      <c r="AA4" s="40"/>
      <c r="AB4" s="40"/>
      <c r="AC4" s="40"/>
      <c r="AD4" s="40"/>
      <c r="AE4" s="40"/>
      <c r="AF4" s="40"/>
      <c r="AG4" s="40"/>
      <c r="AH4" s="40"/>
      <c r="AI4" s="40"/>
      <c r="AJ4" s="40"/>
      <c r="AK4" s="40"/>
      <c r="AL4" s="40"/>
      <c r="AM4" s="40"/>
      <c r="AN4" s="40"/>
      <c r="AO4" s="40"/>
      <c r="AP4" s="40"/>
      <c r="AQ4" s="40"/>
      <c r="AR4" s="40"/>
      <c r="AS4" s="40"/>
      <c r="AT4" s="40"/>
      <c r="AU4" s="40"/>
      <c r="AV4" s="40"/>
      <c r="AW4" s="40"/>
      <c r="AX4" s="40"/>
      <c r="AY4" s="40"/>
      <c r="AZ4" s="40"/>
      <c r="BA4" s="40"/>
      <c r="BB4" s="40"/>
      <c r="BC4" s="40"/>
      <c r="BD4" s="40"/>
      <c r="BE4" s="40"/>
      <c r="BF4" s="40"/>
      <c r="BG4" s="40"/>
      <c r="BH4" s="40"/>
      <c r="BI4" s="40"/>
      <c r="BJ4" s="40"/>
      <c r="BK4" s="40"/>
      <c r="BL4" s="40"/>
      <c r="BM4" s="40"/>
      <c r="BN4" s="40"/>
      <c r="BO4" s="40"/>
      <c r="BP4" s="40"/>
    </row>
    <row r="5" spans="2:68" x14ac:dyDescent="0.25">
      <c r="B5" s="5"/>
      <c r="C5" s="5"/>
      <c r="D5" s="32"/>
      <c r="E5" s="5"/>
      <c r="G5" s="37"/>
      <c r="I5" s="40"/>
      <c r="J5" s="40"/>
      <c r="K5" s="40"/>
      <c r="L5" s="40"/>
    </row>
    <row r="6" spans="2:68" x14ac:dyDescent="0.25">
      <c r="B6" s="5"/>
      <c r="C6" s="5"/>
      <c r="D6" s="32"/>
      <c r="E6" s="5"/>
      <c r="G6" s="37"/>
      <c r="I6" s="40"/>
      <c r="J6" s="40"/>
      <c r="K6" s="40"/>
      <c r="L6" s="40"/>
    </row>
    <row r="7" spans="2:68" ht="19.5" customHeight="1" x14ac:dyDescent="0.25"/>
    <row r="8" spans="2:68" s="4" customFormat="1" x14ac:dyDescent="0.25">
      <c r="B8" s="3" t="s">
        <v>226</v>
      </c>
      <c r="C8" s="54"/>
      <c r="D8" s="3"/>
      <c r="E8" s="3" t="s">
        <v>227</v>
      </c>
      <c r="G8" s="7"/>
      <c r="I8" s="124"/>
      <c r="J8" s="124"/>
      <c r="K8" s="124"/>
      <c r="L8" s="124"/>
      <c r="M8" s="124"/>
      <c r="N8" s="124"/>
      <c r="O8" s="124"/>
      <c r="P8" s="124"/>
      <c r="Q8" s="124"/>
      <c r="R8" s="124"/>
      <c r="S8" s="124"/>
      <c r="T8" s="124"/>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row>
    <row r="9" spans="2:68" ht="15.75" thickBot="1" x14ac:dyDescent="0.3">
      <c r="E9" s="56"/>
      <c r="I9" s="2" t="s">
        <v>3</v>
      </c>
      <c r="J9" s="2" t="s">
        <v>4</v>
      </c>
      <c r="K9" s="2" t="s">
        <v>5</v>
      </c>
      <c r="L9" s="2" t="s">
        <v>6</v>
      </c>
      <c r="M9" s="2" t="s">
        <v>7</v>
      </c>
      <c r="N9" s="2" t="s">
        <v>8</v>
      </c>
      <c r="O9" s="2" t="s">
        <v>9</v>
      </c>
      <c r="P9" s="2" t="s">
        <v>10</v>
      </c>
      <c r="Q9" s="2" t="s">
        <v>11</v>
      </c>
      <c r="R9" s="2" t="s">
        <v>12</v>
      </c>
      <c r="S9" s="2" t="s">
        <v>13</v>
      </c>
      <c r="T9" s="2" t="s">
        <v>14</v>
      </c>
      <c r="U9" s="2" t="s">
        <v>15</v>
      </c>
      <c r="V9" s="2" t="s">
        <v>16</v>
      </c>
      <c r="W9" s="2" t="s">
        <v>17</v>
      </c>
      <c r="X9" s="2" t="s">
        <v>18</v>
      </c>
      <c r="Y9" s="2" t="s">
        <v>19</v>
      </c>
      <c r="Z9" s="2" t="s">
        <v>20</v>
      </c>
      <c r="AA9" s="2" t="s">
        <v>21</v>
      </c>
      <c r="AB9" s="2" t="s">
        <v>22</v>
      </c>
      <c r="AC9" s="2" t="s">
        <v>23</v>
      </c>
      <c r="AD9" s="2" t="s">
        <v>24</v>
      </c>
      <c r="AE9" s="2" t="s">
        <v>25</v>
      </c>
      <c r="AF9" s="2" t="s">
        <v>26</v>
      </c>
      <c r="AG9" s="2" t="s">
        <v>27</v>
      </c>
      <c r="AH9" s="2" t="s">
        <v>278</v>
      </c>
      <c r="AI9" s="2" t="s">
        <v>292</v>
      </c>
      <c r="AJ9" s="2" t="s">
        <v>293</v>
      </c>
      <c r="AK9" s="2" t="s">
        <v>294</v>
      </c>
      <c r="AL9" s="2" t="s">
        <v>295</v>
      </c>
      <c r="AM9" s="2" t="s">
        <v>312</v>
      </c>
      <c r="AN9" s="2" t="s">
        <v>297</v>
      </c>
      <c r="AO9" s="2" t="s">
        <v>334</v>
      </c>
      <c r="AP9" s="2" t="s">
        <v>299</v>
      </c>
      <c r="AQ9" s="2" t="s">
        <v>300</v>
      </c>
      <c r="AR9" s="2" t="s">
        <v>301</v>
      </c>
      <c r="AS9" s="73" t="s">
        <v>302</v>
      </c>
      <c r="AT9" s="73" t="s">
        <v>337</v>
      </c>
      <c r="AU9" s="73" t="s">
        <v>338</v>
      </c>
      <c r="AV9" s="73" t="s">
        <v>339</v>
      </c>
      <c r="AW9" s="73" t="s">
        <v>340</v>
      </c>
      <c r="AX9" s="73" t="s">
        <v>315</v>
      </c>
      <c r="AY9" s="73" t="s">
        <v>341</v>
      </c>
      <c r="AZ9" s="73" t="s">
        <v>342</v>
      </c>
      <c r="BA9" s="73" t="s">
        <v>343</v>
      </c>
      <c r="BB9" s="73" t="s">
        <v>344</v>
      </c>
      <c r="BC9" s="73" t="s">
        <v>345</v>
      </c>
      <c r="BD9" s="73" t="s">
        <v>346</v>
      </c>
      <c r="BE9" s="73" t="s">
        <v>368</v>
      </c>
      <c r="BF9" s="73" t="s">
        <v>369</v>
      </c>
      <c r="BG9" s="73" t="s">
        <v>370</v>
      </c>
      <c r="BH9" s="73" t="s">
        <v>371</v>
      </c>
      <c r="BI9" s="73" t="s">
        <v>372</v>
      </c>
      <c r="BJ9" s="73" t="s">
        <v>373</v>
      </c>
      <c r="BK9" s="73" t="s">
        <v>374</v>
      </c>
      <c r="BL9" s="73" t="s">
        <v>375</v>
      </c>
      <c r="BM9" s="73" t="s">
        <v>376</v>
      </c>
      <c r="BN9" s="73" t="s">
        <v>377</v>
      </c>
      <c r="BO9" s="73" t="s">
        <v>378</v>
      </c>
      <c r="BP9" s="73" t="s">
        <v>379</v>
      </c>
    </row>
    <row r="10" spans="2:68" x14ac:dyDescent="0.25">
      <c r="B10" s="43" t="s">
        <v>228</v>
      </c>
      <c r="C10" s="71" t="s">
        <v>229</v>
      </c>
      <c r="D10" s="10"/>
      <c r="E10" s="10" t="s">
        <v>230</v>
      </c>
      <c r="F10" s="10"/>
      <c r="G10" s="26"/>
      <c r="H10" s="10"/>
      <c r="I10" s="11"/>
      <c r="J10" s="11"/>
      <c r="K10" s="11"/>
      <c r="L10" s="11"/>
      <c r="M10" s="11"/>
      <c r="N10" s="11"/>
      <c r="O10" s="11"/>
      <c r="P10" s="11"/>
      <c r="Q10" s="11"/>
      <c r="R10" s="11"/>
      <c r="S10" s="11"/>
      <c r="T10" s="11"/>
      <c r="U10" s="11">
        <v>4355.97</v>
      </c>
      <c r="V10" s="11">
        <v>4139.62</v>
      </c>
      <c r="W10" s="11">
        <v>4260.95</v>
      </c>
      <c r="X10" s="11">
        <v>4341.95</v>
      </c>
      <c r="Y10" s="11">
        <v>4357.2700000000004</v>
      </c>
      <c r="Z10" s="11">
        <v>4325.63</v>
      </c>
      <c r="AA10" s="11">
        <v>4330.1499999999996</v>
      </c>
      <c r="AB10" s="11">
        <v>4754.49</v>
      </c>
      <c r="AC10" s="11">
        <v>5254.97</v>
      </c>
      <c r="AD10" s="11">
        <v>5689.65</v>
      </c>
      <c r="AE10" s="11">
        <v>6001.53</v>
      </c>
      <c r="AF10" s="11">
        <v>7061.3</v>
      </c>
      <c r="AG10" s="11">
        <v>7268.11</v>
      </c>
      <c r="AH10" s="10">
        <v>7581.7</v>
      </c>
      <c r="AI10" s="10">
        <v>7235.3</v>
      </c>
      <c r="AJ10" s="10">
        <v>9266.83</v>
      </c>
      <c r="AK10" s="10">
        <v>7116.95</v>
      </c>
      <c r="AL10" s="10">
        <v>6863.74</v>
      </c>
      <c r="AM10" s="10">
        <v>6440.3</v>
      </c>
      <c r="AN10" s="44">
        <v>6567.6882999999998</v>
      </c>
      <c r="AO10" s="44">
        <v>6519</v>
      </c>
      <c r="AP10" s="10">
        <v>6484.63</v>
      </c>
      <c r="AQ10" s="10">
        <v>6481.16</v>
      </c>
      <c r="AR10" s="10">
        <v>6346.41</v>
      </c>
      <c r="AS10">
        <v>6238.04</v>
      </c>
      <c r="AT10">
        <v>6225.7</v>
      </c>
      <c r="AU10">
        <v>6163.67</v>
      </c>
      <c r="AV10">
        <v>6240.73</v>
      </c>
      <c r="AW10">
        <v>6337.56</v>
      </c>
      <c r="AX10">
        <v>6376.41</v>
      </c>
      <c r="AY10">
        <v>6815.34</v>
      </c>
      <c r="AZ10">
        <v>7148.45</v>
      </c>
      <c r="BA10">
        <v>7305.92</v>
      </c>
      <c r="BB10">
        <v>7606.37</v>
      </c>
      <c r="BC10">
        <v>7625.04</v>
      </c>
      <c r="BD10">
        <v>7547.03</v>
      </c>
      <c r="BE10">
        <v>7693.63</v>
      </c>
      <c r="BF10">
        <v>7713.84</v>
      </c>
      <c r="BG10">
        <v>7753.14</v>
      </c>
      <c r="BH10">
        <v>7813.77</v>
      </c>
      <c r="BI10">
        <v>7962.38</v>
      </c>
      <c r="BJ10">
        <v>8160.58</v>
      </c>
      <c r="BK10">
        <v>8138.12</v>
      </c>
    </row>
    <row r="11" spans="2:68" x14ac:dyDescent="0.25">
      <c r="B11" s="14"/>
      <c r="E11" t="s">
        <v>231</v>
      </c>
      <c r="G11" s="46"/>
      <c r="I11" s="9"/>
      <c r="J11" s="9"/>
      <c r="K11" s="9"/>
      <c r="L11" s="9"/>
      <c r="M11" s="9"/>
      <c r="N11" s="9"/>
      <c r="O11" s="9"/>
      <c r="P11" s="9"/>
      <c r="Q11" s="9"/>
      <c r="R11" s="9"/>
      <c r="S11" s="9"/>
      <c r="T11" s="9"/>
      <c r="U11" s="9">
        <v>88.25</v>
      </c>
      <c r="V11" s="9">
        <v>0.21</v>
      </c>
      <c r="W11" s="9">
        <v>0.16</v>
      </c>
      <c r="X11" s="9">
        <v>0.16</v>
      </c>
      <c r="Y11" s="9">
        <v>0.16</v>
      </c>
      <c r="Z11" s="9">
        <v>0.16</v>
      </c>
      <c r="AA11" s="9">
        <v>0.16</v>
      </c>
      <c r="AB11" s="9">
        <v>0.16</v>
      </c>
      <c r="AC11" s="9">
        <v>0.16</v>
      </c>
      <c r="AD11" s="9">
        <v>0.16</v>
      </c>
      <c r="AE11" s="9">
        <v>0.16</v>
      </c>
      <c r="AF11" s="9">
        <v>0.16</v>
      </c>
      <c r="AG11" s="9">
        <v>0.16</v>
      </c>
      <c r="AH11" s="9">
        <v>0.16</v>
      </c>
      <c r="AI11" s="9">
        <v>0.16</v>
      </c>
      <c r="AJ11" s="9">
        <v>0.16</v>
      </c>
      <c r="AK11" s="9">
        <v>0.16</v>
      </c>
      <c r="AL11" s="9">
        <v>0.16</v>
      </c>
      <c r="AM11" s="9">
        <v>0.16</v>
      </c>
      <c r="AN11" s="9">
        <v>0.16</v>
      </c>
      <c r="AO11" s="9">
        <v>0.16</v>
      </c>
      <c r="AP11" s="9">
        <v>0.16</v>
      </c>
      <c r="AQ11" s="9">
        <v>0.16</v>
      </c>
      <c r="AR11" s="9">
        <v>0.16</v>
      </c>
      <c r="AS11" s="9">
        <v>0.16</v>
      </c>
      <c r="AT11" s="9">
        <v>0.16</v>
      </c>
      <c r="AU11" s="9">
        <v>0.16</v>
      </c>
      <c r="AV11" s="9">
        <v>0.16</v>
      </c>
      <c r="AW11" s="9">
        <v>0.16</v>
      </c>
      <c r="AX11" s="9">
        <v>0.16</v>
      </c>
      <c r="AY11" s="9">
        <v>0.17</v>
      </c>
      <c r="AZ11" s="9">
        <v>0.17</v>
      </c>
      <c r="BA11" s="9">
        <v>0.17</v>
      </c>
      <c r="BB11" s="9">
        <v>0.17</v>
      </c>
      <c r="BC11" s="9">
        <v>0.17</v>
      </c>
      <c r="BD11" s="9">
        <v>0.17</v>
      </c>
      <c r="BE11" s="9">
        <v>0.17</v>
      </c>
      <c r="BF11" s="9">
        <v>0.17</v>
      </c>
      <c r="BG11" s="9">
        <v>0.17</v>
      </c>
      <c r="BH11" s="9">
        <v>0.17</v>
      </c>
      <c r="BI11" s="9">
        <v>0.17</v>
      </c>
      <c r="BJ11" s="9">
        <v>0.17</v>
      </c>
      <c r="BK11" s="9">
        <v>0.16</v>
      </c>
    </row>
    <row r="12" spans="2:68" x14ac:dyDescent="0.25">
      <c r="B12" s="14"/>
      <c r="E12" t="s">
        <v>232</v>
      </c>
      <c r="G12" s="46"/>
      <c r="I12" s="9"/>
      <c r="J12" s="9"/>
      <c r="K12" s="9"/>
      <c r="L12" s="9"/>
      <c r="M12" s="9"/>
      <c r="N12" s="9"/>
      <c r="O12" s="9"/>
      <c r="P12" s="9"/>
      <c r="Q12" s="9"/>
      <c r="R12" s="9"/>
      <c r="S12" s="9"/>
      <c r="T12" s="9"/>
      <c r="U12" s="9">
        <v>381.29</v>
      </c>
      <c r="V12" s="9">
        <v>383</v>
      </c>
      <c r="W12" s="9">
        <v>403.05</v>
      </c>
      <c r="X12" s="9">
        <v>468.83</v>
      </c>
      <c r="Y12" s="9">
        <v>442.49</v>
      </c>
      <c r="Z12" s="9">
        <v>546.63</v>
      </c>
      <c r="AA12" s="9">
        <v>577.78</v>
      </c>
      <c r="AB12" s="9">
        <v>661</v>
      </c>
      <c r="AC12" s="9">
        <v>608.19000000000005</v>
      </c>
      <c r="AD12" s="9">
        <v>633.35</v>
      </c>
      <c r="AE12" s="9">
        <v>596.63</v>
      </c>
      <c r="AF12" s="9">
        <v>672.04</v>
      </c>
      <c r="AG12" s="9">
        <v>781.07</v>
      </c>
      <c r="AH12" s="9">
        <v>738.59</v>
      </c>
      <c r="AI12" s="9">
        <v>681.9</v>
      </c>
      <c r="AJ12" s="9">
        <v>804.63</v>
      </c>
      <c r="AK12" s="9">
        <v>682.23</v>
      </c>
      <c r="AL12" s="9">
        <v>723.62</v>
      </c>
      <c r="AM12" s="9">
        <v>727.2</v>
      </c>
      <c r="AN12" s="8">
        <v>752.221</v>
      </c>
      <c r="AO12" s="8">
        <v>725</v>
      </c>
      <c r="AP12" s="9">
        <v>726</v>
      </c>
      <c r="AQ12" s="9">
        <v>728.66</v>
      </c>
      <c r="AR12" s="9">
        <v>733.75</v>
      </c>
      <c r="AS12" s="9">
        <v>756.69</v>
      </c>
      <c r="AT12" s="9">
        <v>762.26</v>
      </c>
      <c r="AU12" s="9">
        <v>765.43</v>
      </c>
      <c r="AV12" s="9">
        <v>765.02</v>
      </c>
      <c r="AW12" s="9">
        <v>766.52</v>
      </c>
      <c r="AX12" s="9">
        <v>769.13</v>
      </c>
      <c r="AY12" s="9">
        <v>776.03</v>
      </c>
      <c r="AZ12" s="9">
        <v>782.68</v>
      </c>
      <c r="BA12" s="9">
        <v>789.16</v>
      </c>
      <c r="BB12" s="9">
        <v>793.46</v>
      </c>
      <c r="BC12" s="9">
        <v>798.75</v>
      </c>
      <c r="BD12" s="9">
        <v>808.95</v>
      </c>
      <c r="BE12" s="9">
        <v>817.95</v>
      </c>
      <c r="BF12" s="9">
        <v>829</v>
      </c>
      <c r="BG12" s="9">
        <v>836.59</v>
      </c>
      <c r="BH12" s="9">
        <v>822.4</v>
      </c>
      <c r="BI12" s="9">
        <v>827.27</v>
      </c>
      <c r="BJ12" s="9">
        <v>834.64</v>
      </c>
      <c r="BK12" s="9">
        <v>820.51</v>
      </c>
    </row>
    <row r="13" spans="2:68" x14ac:dyDescent="0.25">
      <c r="B13" s="14"/>
      <c r="E13" t="s">
        <v>233</v>
      </c>
      <c r="G13" s="46"/>
      <c r="I13" s="9"/>
      <c r="J13" s="9"/>
      <c r="K13" s="9"/>
      <c r="L13" s="9"/>
      <c r="M13" s="9"/>
      <c r="N13" s="9"/>
      <c r="O13" s="9"/>
      <c r="P13" s="9"/>
      <c r="Q13" s="9"/>
      <c r="R13" s="9"/>
      <c r="S13" s="9"/>
      <c r="T13" s="9"/>
      <c r="U13" s="9">
        <v>2.78</v>
      </c>
      <c r="V13" s="9">
        <v>1.26</v>
      </c>
      <c r="W13" s="9">
        <v>15.64</v>
      </c>
      <c r="X13" s="9">
        <v>14.3</v>
      </c>
      <c r="Y13" s="9">
        <v>12.19</v>
      </c>
      <c r="Z13" s="9">
        <v>12.18</v>
      </c>
      <c r="AA13" s="9">
        <v>11.77</v>
      </c>
      <c r="AB13" s="9">
        <v>11.81</v>
      </c>
      <c r="AC13" s="9">
        <v>12.01</v>
      </c>
      <c r="AD13" s="9">
        <v>12.7</v>
      </c>
      <c r="AE13" s="9">
        <v>13.91</v>
      </c>
      <c r="AF13" s="9">
        <v>14.03</v>
      </c>
      <c r="AG13" s="9">
        <v>14.13</v>
      </c>
      <c r="AH13" s="9">
        <v>30.07</v>
      </c>
      <c r="AI13" s="9">
        <v>24.59</v>
      </c>
      <c r="AJ13" s="9">
        <v>27.55</v>
      </c>
      <c r="AK13" s="9">
        <v>33.950000000000003</v>
      </c>
      <c r="AL13" s="9">
        <v>43.96</v>
      </c>
      <c r="AM13" s="9">
        <v>44.4</v>
      </c>
      <c r="AN13" s="8">
        <v>46.0548</v>
      </c>
      <c r="AO13" s="8">
        <v>48.1</v>
      </c>
      <c r="AP13" s="9">
        <v>43.35</v>
      </c>
      <c r="AQ13" s="9">
        <v>44.17</v>
      </c>
      <c r="AR13" s="9">
        <v>42.98</v>
      </c>
      <c r="AS13" s="9">
        <v>40.880000000000003</v>
      </c>
      <c r="AT13" s="9">
        <v>45.83</v>
      </c>
      <c r="AU13" s="9">
        <v>52.2</v>
      </c>
      <c r="AV13" s="9">
        <v>71.39</v>
      </c>
      <c r="AW13" s="9">
        <v>93.4</v>
      </c>
      <c r="AX13" s="9">
        <v>110.01</v>
      </c>
      <c r="AY13" s="9">
        <v>99.07</v>
      </c>
      <c r="AZ13" s="9">
        <v>77.260000000000005</v>
      </c>
      <c r="BA13" s="9">
        <v>49.47</v>
      </c>
      <c r="BB13" s="9">
        <v>20.329999999999998</v>
      </c>
      <c r="BC13" s="9">
        <v>15.66</v>
      </c>
      <c r="BD13" s="9">
        <v>15.66</v>
      </c>
      <c r="BE13" s="9">
        <v>15.65</v>
      </c>
      <c r="BF13" s="9">
        <v>15.57</v>
      </c>
      <c r="BG13" s="9">
        <v>15.49</v>
      </c>
      <c r="BH13" s="9">
        <v>14.84</v>
      </c>
      <c r="BI13" s="9">
        <v>18.09</v>
      </c>
      <c r="BJ13" s="9">
        <v>80.12</v>
      </c>
      <c r="BK13" s="9">
        <v>118.92</v>
      </c>
    </row>
    <row r="14" spans="2:68" x14ac:dyDescent="0.25">
      <c r="B14" s="14"/>
      <c r="E14" t="s">
        <v>234</v>
      </c>
      <c r="G14" s="46"/>
      <c r="I14" s="9"/>
      <c r="J14" s="9"/>
      <c r="K14" s="9"/>
      <c r="L14" s="9"/>
      <c r="M14" s="9"/>
      <c r="N14" s="9"/>
      <c r="O14" s="9"/>
      <c r="P14" s="9"/>
      <c r="Q14" s="9"/>
      <c r="R14" s="9"/>
      <c r="S14" s="9"/>
      <c r="T14" s="9"/>
      <c r="U14" s="9"/>
      <c r="V14" s="9"/>
      <c r="W14" s="9"/>
      <c r="X14" s="9"/>
      <c r="Y14" s="9">
        <v>0.19</v>
      </c>
      <c r="Z14" s="9">
        <v>0.13</v>
      </c>
      <c r="AA14" s="9">
        <v>0.51</v>
      </c>
      <c r="AB14" s="9">
        <v>181.87</v>
      </c>
      <c r="AC14" s="9">
        <v>299.32</v>
      </c>
      <c r="AD14" s="9">
        <v>730.64</v>
      </c>
      <c r="AE14" s="9">
        <v>985.57</v>
      </c>
      <c r="AF14" s="9">
        <v>1394.19</v>
      </c>
      <c r="AG14" s="9">
        <v>1495.44</v>
      </c>
      <c r="AH14" s="9">
        <v>1713.13</v>
      </c>
      <c r="AI14" s="9">
        <v>1750.01</v>
      </c>
      <c r="AJ14" s="9">
        <v>2426.7199999999998</v>
      </c>
      <c r="AK14" s="9">
        <v>2189.67</v>
      </c>
      <c r="AL14" s="9">
        <v>2104.86</v>
      </c>
      <c r="AM14" s="9">
        <v>2682.7</v>
      </c>
      <c r="AN14" s="8">
        <v>3141.9892</v>
      </c>
      <c r="AO14" s="8">
        <v>3209</v>
      </c>
      <c r="AP14" s="9">
        <v>3495.81</v>
      </c>
      <c r="AQ14" s="9">
        <v>3506.38</v>
      </c>
      <c r="AR14" s="9">
        <v>3879.68</v>
      </c>
      <c r="AS14" s="9">
        <v>4303.7</v>
      </c>
      <c r="AT14" s="9">
        <v>4258.1000000000004</v>
      </c>
      <c r="AU14" s="9">
        <v>4310.26</v>
      </c>
      <c r="AV14" s="9">
        <v>4460.5200000000004</v>
      </c>
      <c r="AW14" s="9">
        <v>4781.2</v>
      </c>
      <c r="AX14" s="9">
        <v>4856.47</v>
      </c>
      <c r="AY14" s="9">
        <v>5062.46</v>
      </c>
      <c r="AZ14" s="9">
        <v>5255.87</v>
      </c>
      <c r="BA14" s="9">
        <v>5728.88</v>
      </c>
      <c r="BB14" s="9">
        <v>6096.84</v>
      </c>
      <c r="BC14" s="9">
        <v>6374.46</v>
      </c>
      <c r="BD14" s="9">
        <v>6686.05</v>
      </c>
      <c r="BE14" s="9">
        <v>6905.97</v>
      </c>
      <c r="BF14" s="9">
        <v>6698.86</v>
      </c>
      <c r="BG14" s="9">
        <v>6989.63</v>
      </c>
      <c r="BH14" s="9">
        <v>7338.27</v>
      </c>
      <c r="BI14" s="9">
        <v>7533.59</v>
      </c>
      <c r="BJ14" s="9">
        <v>8026.9</v>
      </c>
      <c r="BK14" s="9">
        <v>8288.75</v>
      </c>
    </row>
    <row r="15" spans="2:68" x14ac:dyDescent="0.25">
      <c r="B15" s="14"/>
      <c r="E15" t="s">
        <v>235</v>
      </c>
      <c r="G15" s="46"/>
      <c r="I15" s="9"/>
      <c r="J15" s="9"/>
      <c r="K15" s="9"/>
      <c r="L15" s="9"/>
      <c r="M15" s="9"/>
      <c r="N15" s="9"/>
      <c r="O15" s="9"/>
      <c r="P15" s="9"/>
      <c r="Q15" s="9"/>
      <c r="R15" s="9"/>
      <c r="S15" s="9"/>
      <c r="T15" s="9"/>
      <c r="U15" s="9"/>
      <c r="V15" s="9"/>
      <c r="W15" s="9"/>
      <c r="X15" s="9"/>
      <c r="Y15" s="9"/>
      <c r="Z15" s="9">
        <v>0.01</v>
      </c>
      <c r="AA15" s="9">
        <v>0.01</v>
      </c>
      <c r="AB15" s="9">
        <v>0.01</v>
      </c>
      <c r="AC15" s="9">
        <v>0.02</v>
      </c>
      <c r="AD15" s="9">
        <v>0.02</v>
      </c>
      <c r="AE15" s="9">
        <v>0.04</v>
      </c>
      <c r="AF15" s="9">
        <v>0.04</v>
      </c>
      <c r="AG15" s="9">
        <v>0.04</v>
      </c>
      <c r="AH15" s="9">
        <v>0.03</v>
      </c>
      <c r="AI15" s="9">
        <v>0.01</v>
      </c>
      <c r="AJ15" s="9">
        <v>0.01</v>
      </c>
      <c r="AK15" s="9">
        <v>0.01</v>
      </c>
      <c r="AL15" s="9">
        <v>0.01</v>
      </c>
      <c r="AM15" s="9">
        <v>0.01</v>
      </c>
      <c r="AN15" s="9">
        <v>0.01</v>
      </c>
      <c r="AO15" s="9">
        <v>0.01</v>
      </c>
      <c r="AP15" s="9">
        <v>0.01</v>
      </c>
      <c r="AQ15" s="9">
        <v>0.01</v>
      </c>
      <c r="AR15" s="9">
        <v>0.01</v>
      </c>
      <c r="AS15" s="9">
        <v>0.01</v>
      </c>
      <c r="AT15" s="9">
        <v>0.01</v>
      </c>
      <c r="AU15" s="9">
        <v>0.01</v>
      </c>
      <c r="AV15" s="9">
        <v>0.01</v>
      </c>
      <c r="AW15" s="9">
        <v>0.01</v>
      </c>
      <c r="AX15" s="9">
        <v>0.01</v>
      </c>
      <c r="AY15" s="9">
        <v>0.01</v>
      </c>
      <c r="AZ15" s="9">
        <v>0.01</v>
      </c>
      <c r="BA15" s="9">
        <v>0.01</v>
      </c>
      <c r="BB15" s="9">
        <v>0.01</v>
      </c>
      <c r="BC15" s="9">
        <v>0.01</v>
      </c>
      <c r="BD15" s="9">
        <v>0.01</v>
      </c>
      <c r="BE15" s="9">
        <v>0.01</v>
      </c>
      <c r="BF15" s="9">
        <v>0.01</v>
      </c>
      <c r="BG15" s="9">
        <v>0.01</v>
      </c>
      <c r="BH15" s="9">
        <v>0.01</v>
      </c>
      <c r="BI15" s="9">
        <v>0.01</v>
      </c>
      <c r="BJ15" s="9">
        <v>0.01</v>
      </c>
      <c r="BK15" s="9">
        <v>0.01</v>
      </c>
    </row>
    <row r="16" spans="2:68" x14ac:dyDescent="0.25">
      <c r="B16" s="14"/>
      <c r="E16" t="s">
        <v>319</v>
      </c>
      <c r="G16" s="46"/>
      <c r="I16" s="9"/>
      <c r="J16" s="9"/>
      <c r="K16" s="9"/>
      <c r="L16" s="9"/>
      <c r="M16" s="9"/>
      <c r="N16" s="9"/>
      <c r="O16" s="9"/>
      <c r="P16" s="9"/>
      <c r="Q16" s="9"/>
      <c r="R16" s="9"/>
      <c r="S16" s="9"/>
      <c r="T16" s="9"/>
      <c r="U16" s="9"/>
      <c r="V16" s="9"/>
      <c r="W16" s="9"/>
      <c r="X16" s="9"/>
      <c r="Y16" s="9">
        <v>0.13</v>
      </c>
      <c r="Z16" s="9">
        <v>0.08</v>
      </c>
      <c r="AA16" s="9">
        <v>0.97</v>
      </c>
      <c r="AB16" s="9">
        <v>0.28000000000000003</v>
      </c>
      <c r="AC16" s="9">
        <v>78.17</v>
      </c>
      <c r="AD16" s="9">
        <v>164.7</v>
      </c>
      <c r="AE16" s="9">
        <v>93.98</v>
      </c>
      <c r="AF16" s="9">
        <v>108.47</v>
      </c>
      <c r="AG16" s="9">
        <v>228.61</v>
      </c>
      <c r="AH16" s="9">
        <v>150.71</v>
      </c>
      <c r="AI16" s="9">
        <v>159.97</v>
      </c>
      <c r="AJ16" s="9">
        <v>261.04000000000002</v>
      </c>
      <c r="AK16" s="9">
        <v>205.01</v>
      </c>
      <c r="AL16" s="9">
        <v>219.06</v>
      </c>
      <c r="AM16" s="9">
        <v>233.02</v>
      </c>
      <c r="AN16" s="8">
        <v>244.87989999999999</v>
      </c>
      <c r="AO16" s="8">
        <v>251.4</v>
      </c>
      <c r="AP16" s="9">
        <v>298.02</v>
      </c>
      <c r="AQ16" s="9">
        <v>302.2</v>
      </c>
      <c r="AR16" s="9">
        <v>304.35000000000002</v>
      </c>
      <c r="AS16" s="9">
        <v>314.98</v>
      </c>
      <c r="AT16" s="9">
        <v>318.17</v>
      </c>
      <c r="AU16" s="9">
        <v>321.39999999999998</v>
      </c>
      <c r="AV16" s="9">
        <v>330.16</v>
      </c>
      <c r="AW16" s="9">
        <v>333.35</v>
      </c>
      <c r="AX16" s="9">
        <v>336.59</v>
      </c>
      <c r="AY16" s="9">
        <v>389.46</v>
      </c>
      <c r="AZ16" s="9">
        <v>396.49</v>
      </c>
      <c r="BA16" s="9">
        <v>399.71</v>
      </c>
      <c r="BB16" s="9">
        <v>423.57</v>
      </c>
      <c r="BC16" s="9">
        <v>429.91</v>
      </c>
      <c r="BD16" s="9">
        <v>434.18</v>
      </c>
      <c r="BE16" s="9">
        <v>447.03</v>
      </c>
      <c r="BF16" s="9">
        <v>451.49</v>
      </c>
      <c r="BG16" s="9">
        <v>455.01</v>
      </c>
      <c r="BH16" s="9">
        <v>429.81</v>
      </c>
      <c r="BI16" s="9">
        <v>435.57</v>
      </c>
      <c r="BJ16" s="9">
        <v>439.04</v>
      </c>
      <c r="BK16" s="9">
        <v>470.05</v>
      </c>
    </row>
    <row r="17" spans="2:68" x14ac:dyDescent="0.25">
      <c r="B17" s="14"/>
      <c r="E17" t="s">
        <v>320</v>
      </c>
      <c r="G17" s="46"/>
      <c r="I17" s="9"/>
      <c r="J17" s="9"/>
      <c r="K17" s="9"/>
      <c r="L17" s="9"/>
      <c r="M17" s="9"/>
      <c r="N17" s="9"/>
      <c r="O17" s="9"/>
      <c r="P17" s="9"/>
      <c r="Q17" s="9"/>
      <c r="R17" s="9"/>
      <c r="S17" s="9"/>
      <c r="T17" s="9"/>
      <c r="U17" s="9"/>
      <c r="V17" s="9"/>
      <c r="W17" s="9"/>
      <c r="X17" s="9"/>
      <c r="Y17" s="9"/>
      <c r="Z17" s="9">
        <v>0.06</v>
      </c>
      <c r="AA17" s="9">
        <v>0.01</v>
      </c>
      <c r="AB17" s="9">
        <v>0.01</v>
      </c>
      <c r="AC17" s="9">
        <v>0.02</v>
      </c>
      <c r="AD17" s="9">
        <v>0.04</v>
      </c>
      <c r="AE17" s="9">
        <v>0.04</v>
      </c>
      <c r="AF17" s="9">
        <v>0.04</v>
      </c>
      <c r="AG17" s="9">
        <v>0.04</v>
      </c>
      <c r="AH17" s="9">
        <v>0.03</v>
      </c>
      <c r="AI17" s="9">
        <v>0.01</v>
      </c>
      <c r="AJ17" s="9">
        <v>0.01</v>
      </c>
      <c r="AK17" s="9">
        <v>0.01</v>
      </c>
      <c r="AL17" s="9">
        <v>0.01</v>
      </c>
      <c r="AM17" s="9">
        <v>0.01</v>
      </c>
      <c r="AN17" s="9">
        <v>0.01</v>
      </c>
      <c r="AO17" s="9">
        <v>0.01</v>
      </c>
      <c r="AP17" s="9">
        <v>0.01</v>
      </c>
      <c r="AQ17" s="9">
        <v>0.01</v>
      </c>
      <c r="AR17" s="9">
        <v>0.01</v>
      </c>
      <c r="AS17" s="9">
        <v>0.01</v>
      </c>
      <c r="AT17" s="9">
        <v>0.01</v>
      </c>
      <c r="AU17" s="9">
        <v>0.01</v>
      </c>
      <c r="AV17" s="9">
        <v>0.01</v>
      </c>
      <c r="AW17" s="9">
        <v>0.01</v>
      </c>
      <c r="AX17" s="9">
        <v>0.01</v>
      </c>
      <c r="AY17" s="9">
        <v>0.01</v>
      </c>
      <c r="AZ17" s="9">
        <v>0.01</v>
      </c>
      <c r="BA17" s="9">
        <v>0.01</v>
      </c>
      <c r="BB17" s="9">
        <v>0.01</v>
      </c>
      <c r="BC17" s="9">
        <v>0.01</v>
      </c>
      <c r="BD17" s="9">
        <v>0.01</v>
      </c>
      <c r="BE17" s="9">
        <v>0.01</v>
      </c>
      <c r="BF17" s="9">
        <v>0.01</v>
      </c>
      <c r="BG17" s="9">
        <v>0.01</v>
      </c>
      <c r="BH17" s="9">
        <v>0.01</v>
      </c>
      <c r="BI17" s="9">
        <v>0.01</v>
      </c>
      <c r="BJ17" s="9">
        <v>0.01</v>
      </c>
      <c r="BK17" s="9">
        <v>0.01</v>
      </c>
    </row>
    <row r="18" spans="2:68" x14ac:dyDescent="0.25">
      <c r="B18" s="14"/>
      <c r="E18" s="112" t="s">
        <v>236</v>
      </c>
      <c r="G18" s="46"/>
      <c r="I18" s="9"/>
      <c r="J18" s="9"/>
      <c r="K18" s="9"/>
      <c r="L18" s="9"/>
      <c r="M18" s="9"/>
      <c r="N18" s="9"/>
      <c r="O18" s="9"/>
      <c r="P18" s="9"/>
      <c r="Q18" s="9"/>
      <c r="R18" s="9"/>
      <c r="S18" s="9"/>
      <c r="T18" s="9"/>
      <c r="U18" s="9"/>
      <c r="V18" s="9"/>
      <c r="W18" s="9"/>
      <c r="X18" s="9"/>
      <c r="Y18" s="9">
        <v>0.06</v>
      </c>
      <c r="Z18" s="9">
        <v>0.01</v>
      </c>
      <c r="AA18" s="9">
        <v>0.03</v>
      </c>
      <c r="AB18" s="9">
        <v>0.31</v>
      </c>
      <c r="AC18" s="9">
        <v>1.53</v>
      </c>
      <c r="AD18" s="9">
        <v>4.71</v>
      </c>
      <c r="AE18" s="9">
        <v>8.26</v>
      </c>
      <c r="AF18" s="9">
        <v>9.9499999999999993</v>
      </c>
      <c r="AG18" s="9">
        <v>24.41</v>
      </c>
      <c r="AH18" s="9">
        <v>22.76</v>
      </c>
      <c r="AI18" s="9">
        <v>18.38</v>
      </c>
      <c r="AJ18" s="9">
        <v>18.39</v>
      </c>
      <c r="AK18" s="9">
        <v>20</v>
      </c>
      <c r="AL18" s="9">
        <v>20.149999999999999</v>
      </c>
      <c r="AM18" s="9">
        <v>19.399999999999999</v>
      </c>
      <c r="AN18" s="8">
        <v>20.0547</v>
      </c>
      <c r="AO18" s="8">
        <v>20.0547</v>
      </c>
      <c r="AP18" s="8">
        <v>20.0547</v>
      </c>
      <c r="AQ18" s="9">
        <v>20.18</v>
      </c>
      <c r="AR18" s="9">
        <v>20.37</v>
      </c>
      <c r="AS18" s="9">
        <v>31.8</v>
      </c>
      <c r="AT18" s="9">
        <v>32.71</v>
      </c>
      <c r="AU18" s="9">
        <v>36.770000000000003</v>
      </c>
      <c r="AV18" s="9">
        <v>36.770000000000003</v>
      </c>
      <c r="AW18" s="9">
        <v>36.78</v>
      </c>
      <c r="AX18" s="9">
        <v>36.79</v>
      </c>
      <c r="AY18" s="9">
        <v>36.82</v>
      </c>
      <c r="AZ18" s="9">
        <v>36.85</v>
      </c>
      <c r="BA18" s="9">
        <v>36.85</v>
      </c>
      <c r="BB18" s="9">
        <v>36.85</v>
      </c>
      <c r="BC18" s="9">
        <v>37.869999999999997</v>
      </c>
      <c r="BD18" s="9">
        <v>39.270000000000003</v>
      </c>
      <c r="BE18" s="9">
        <v>48.24</v>
      </c>
      <c r="BF18" s="9">
        <v>49.07</v>
      </c>
      <c r="BG18" s="9">
        <v>49.07</v>
      </c>
      <c r="BH18" s="9">
        <v>36.979999999999997</v>
      </c>
      <c r="BI18" s="9">
        <v>33.42</v>
      </c>
      <c r="BJ18" s="9">
        <v>33.44</v>
      </c>
      <c r="BK18" s="9">
        <v>32.42</v>
      </c>
    </row>
    <row r="19" spans="2:68" x14ac:dyDescent="0.25">
      <c r="B19" s="14"/>
      <c r="E19" t="s">
        <v>237</v>
      </c>
      <c r="G19" s="46"/>
      <c r="I19" s="9"/>
      <c r="J19" s="9"/>
      <c r="K19" s="9"/>
      <c r="L19" s="9"/>
      <c r="M19" s="9"/>
      <c r="N19" s="9"/>
      <c r="O19" s="9"/>
      <c r="P19" s="9"/>
      <c r="Q19" s="9"/>
      <c r="R19" s="9"/>
      <c r="S19" s="9"/>
      <c r="T19" s="9"/>
      <c r="U19" s="9"/>
      <c r="V19" s="9"/>
      <c r="W19" s="9"/>
      <c r="X19" s="9"/>
      <c r="Y19" s="9">
        <v>0.06</v>
      </c>
      <c r="Z19" s="9">
        <v>0.01</v>
      </c>
      <c r="AA19" s="9">
        <v>0.01</v>
      </c>
      <c r="AB19" s="9">
        <v>0.02</v>
      </c>
      <c r="AC19" s="9">
        <v>0.39</v>
      </c>
      <c r="AD19" s="9">
        <v>1.33</v>
      </c>
      <c r="AE19" s="9">
        <v>3.83</v>
      </c>
      <c r="AF19" s="9">
        <v>1.93</v>
      </c>
      <c r="AG19" s="9">
        <v>0.26</v>
      </c>
      <c r="AH19" s="9">
        <v>0.55000000000000004</v>
      </c>
      <c r="AI19" s="9">
        <v>0.13</v>
      </c>
      <c r="AJ19" s="9">
        <v>0.13</v>
      </c>
      <c r="AK19" s="9">
        <v>0.13</v>
      </c>
      <c r="AL19" s="9">
        <v>0.13</v>
      </c>
      <c r="AM19" s="9">
        <v>0.13</v>
      </c>
      <c r="AN19" s="8">
        <v>0.1178</v>
      </c>
      <c r="AO19" s="8">
        <v>0.12</v>
      </c>
      <c r="AP19" s="8">
        <v>0.12</v>
      </c>
      <c r="AQ19" s="8">
        <v>0.12</v>
      </c>
      <c r="AR19" s="8">
        <v>0.12</v>
      </c>
      <c r="AS19" s="8">
        <v>0.12</v>
      </c>
      <c r="AT19" s="8">
        <v>0.12</v>
      </c>
      <c r="AU19" s="8">
        <v>0.12</v>
      </c>
      <c r="AV19" s="8">
        <v>0.12</v>
      </c>
      <c r="AW19" s="8">
        <v>0.12</v>
      </c>
      <c r="AX19" s="8">
        <v>0.12</v>
      </c>
      <c r="AY19" s="8">
        <v>0.12</v>
      </c>
      <c r="AZ19" s="8">
        <v>0.12</v>
      </c>
      <c r="BA19" s="8">
        <v>0.12</v>
      </c>
      <c r="BB19" s="8">
        <v>0.12</v>
      </c>
      <c r="BC19" s="9">
        <v>0.12</v>
      </c>
      <c r="BD19" s="9">
        <v>0.11</v>
      </c>
      <c r="BE19" s="9">
        <v>0.11</v>
      </c>
      <c r="BF19" s="9">
        <v>0.11</v>
      </c>
      <c r="BG19" s="9">
        <v>0.11</v>
      </c>
      <c r="BH19" s="9">
        <v>0.03</v>
      </c>
      <c r="BI19" s="9">
        <v>0.01</v>
      </c>
      <c r="BJ19" s="9">
        <v>0.01</v>
      </c>
      <c r="BK19" s="9">
        <v>0.01</v>
      </c>
    </row>
    <row r="20" spans="2:68" x14ac:dyDescent="0.25">
      <c r="B20" s="14"/>
      <c r="E20" s="78" t="s">
        <v>238</v>
      </c>
      <c r="G20" s="46"/>
      <c r="I20" s="9"/>
      <c r="J20" s="9"/>
      <c r="K20" s="9"/>
      <c r="L20" s="9"/>
      <c r="M20" s="9"/>
      <c r="N20" s="9"/>
      <c r="O20" s="9"/>
      <c r="P20" s="9"/>
      <c r="Q20" s="9"/>
      <c r="R20" s="9"/>
      <c r="S20" s="9"/>
      <c r="T20" s="9"/>
      <c r="U20" s="9"/>
      <c r="V20" s="9"/>
      <c r="W20" s="9"/>
      <c r="X20" s="9"/>
      <c r="Y20" s="9">
        <v>0.06</v>
      </c>
      <c r="Z20" s="9">
        <v>0.01</v>
      </c>
      <c r="AA20" s="9">
        <v>0.02</v>
      </c>
      <c r="AB20" s="9">
        <v>0.34</v>
      </c>
      <c r="AC20" s="9">
        <v>8.07</v>
      </c>
      <c r="AD20" s="9">
        <v>35.57</v>
      </c>
      <c r="AE20" s="9">
        <v>46.2</v>
      </c>
      <c r="AF20" s="9">
        <v>48.27</v>
      </c>
      <c r="AG20" s="9">
        <v>92.9</v>
      </c>
      <c r="AH20" s="9">
        <v>96.78</v>
      </c>
      <c r="AI20" s="9">
        <v>90.09</v>
      </c>
      <c r="AJ20" s="9">
        <v>111.09</v>
      </c>
      <c r="AK20" s="9">
        <v>111.93</v>
      </c>
      <c r="AL20" s="9">
        <v>121.03</v>
      </c>
      <c r="AM20" s="9">
        <v>116.57</v>
      </c>
      <c r="AN20" s="8">
        <v>120.4682</v>
      </c>
      <c r="AO20" s="8">
        <v>124.89</v>
      </c>
      <c r="AP20" s="9">
        <v>130.58000000000001</v>
      </c>
      <c r="AQ20" s="9">
        <v>131.96</v>
      </c>
      <c r="AR20" s="9">
        <v>132.82</v>
      </c>
      <c r="AS20" s="9">
        <v>147.30000000000001</v>
      </c>
      <c r="AT20" s="9">
        <v>150.12</v>
      </c>
      <c r="AU20" s="9">
        <v>151.68</v>
      </c>
      <c r="AV20" s="9">
        <v>151.72</v>
      </c>
      <c r="AW20" s="9">
        <v>151.88</v>
      </c>
      <c r="AX20" s="9">
        <v>151.94</v>
      </c>
      <c r="AY20" s="9">
        <v>182.38</v>
      </c>
      <c r="AZ20" s="9">
        <v>185.71</v>
      </c>
      <c r="BA20" s="9">
        <v>185.76</v>
      </c>
      <c r="BB20" s="9">
        <v>185.76</v>
      </c>
      <c r="BC20" s="9">
        <v>185.8</v>
      </c>
      <c r="BD20" s="9">
        <v>186.89</v>
      </c>
      <c r="BE20" s="9">
        <v>214.32</v>
      </c>
      <c r="BF20" s="9">
        <v>227.17</v>
      </c>
      <c r="BG20" s="9">
        <v>234.98</v>
      </c>
      <c r="BH20" s="9">
        <v>241.75</v>
      </c>
      <c r="BI20" s="9">
        <v>241.66</v>
      </c>
      <c r="BJ20" s="9">
        <v>241.82</v>
      </c>
      <c r="BK20" s="9">
        <v>232.95</v>
      </c>
    </row>
    <row r="21" spans="2:68" ht="13.5" customHeight="1" x14ac:dyDescent="0.25">
      <c r="B21" s="19"/>
      <c r="C21" s="16"/>
      <c r="D21" s="16"/>
      <c r="E21" s="16"/>
      <c r="F21" s="16"/>
      <c r="G21" s="16"/>
      <c r="H21" s="16"/>
      <c r="I21" s="64"/>
      <c r="J21" s="64"/>
      <c r="K21" s="64"/>
      <c r="L21" s="64"/>
      <c r="M21" s="64"/>
      <c r="N21" s="64"/>
      <c r="O21" s="64"/>
      <c r="P21" s="64"/>
      <c r="Q21" s="64"/>
      <c r="R21" s="64"/>
      <c r="S21" s="64"/>
      <c r="T21" s="16"/>
      <c r="U21" s="16"/>
      <c r="V21" s="16"/>
      <c r="W21" s="16"/>
      <c r="X21" s="16"/>
      <c r="Y21" s="16"/>
      <c r="Z21" s="16"/>
      <c r="AA21" s="16"/>
      <c r="AB21" s="16"/>
      <c r="AC21" s="16"/>
      <c r="AD21" s="16"/>
      <c r="AE21" s="16"/>
      <c r="AF21" s="16"/>
      <c r="AG21" s="16"/>
      <c r="AH21" s="16"/>
      <c r="AI21" s="16"/>
      <c r="AJ21" s="16"/>
      <c r="AK21" s="16"/>
      <c r="AL21" s="16"/>
      <c r="AM21" s="16"/>
      <c r="AN21" s="16"/>
      <c r="AO21" s="16"/>
      <c r="AP21" s="16"/>
      <c r="AQ21" s="16"/>
      <c r="AR21" s="16"/>
      <c r="AS21" s="16"/>
      <c r="AT21" s="16"/>
      <c r="AU21" s="16"/>
      <c r="AV21" s="16"/>
      <c r="AW21" s="16"/>
      <c r="AX21" s="16"/>
      <c r="AY21" s="16"/>
      <c r="AZ21" s="16"/>
      <c r="BA21" s="16"/>
      <c r="BB21" s="16"/>
      <c r="BC21" s="16"/>
      <c r="BD21" s="16"/>
      <c r="BE21" s="16"/>
      <c r="BF21" s="16"/>
      <c r="BG21" s="16"/>
      <c r="BH21" s="16"/>
      <c r="BI21" s="16"/>
      <c r="BJ21" s="16"/>
      <c r="BK21" s="16"/>
      <c r="BL21" s="16"/>
      <c r="BM21" s="16"/>
      <c r="BN21" s="16"/>
      <c r="BO21" s="16"/>
      <c r="BP21" s="16"/>
    </row>
    <row r="22" spans="2:68" x14ac:dyDescent="0.25">
      <c r="B22" s="14"/>
      <c r="E22" s="16"/>
      <c r="F22" s="16"/>
      <c r="G22" s="16" t="s">
        <v>239</v>
      </c>
      <c r="H22" s="16"/>
      <c r="I22" s="65">
        <f t="shared" ref="I22:AG22" si="5">SUM(I10:I21)</f>
        <v>0</v>
      </c>
      <c r="J22" s="65">
        <f t="shared" si="5"/>
        <v>0</v>
      </c>
      <c r="K22" s="65">
        <f t="shared" si="5"/>
        <v>0</v>
      </c>
      <c r="L22" s="65">
        <f t="shared" si="5"/>
        <v>0</v>
      </c>
      <c r="M22" s="65">
        <f t="shared" si="5"/>
        <v>0</v>
      </c>
      <c r="N22" s="65">
        <f t="shared" si="5"/>
        <v>0</v>
      </c>
      <c r="O22" s="65">
        <f t="shared" si="5"/>
        <v>0</v>
      </c>
      <c r="P22" s="65">
        <f t="shared" si="5"/>
        <v>0</v>
      </c>
      <c r="Q22" s="65">
        <f t="shared" si="5"/>
        <v>0</v>
      </c>
      <c r="R22" s="65">
        <f t="shared" si="5"/>
        <v>0</v>
      </c>
      <c r="S22" s="65">
        <f t="shared" si="5"/>
        <v>0</v>
      </c>
      <c r="T22" s="65">
        <f t="shared" si="5"/>
        <v>0</v>
      </c>
      <c r="U22" s="65">
        <f t="shared" si="5"/>
        <v>4828.29</v>
      </c>
      <c r="V22" s="65">
        <f t="shared" si="5"/>
        <v>4524.09</v>
      </c>
      <c r="W22" s="65">
        <f t="shared" si="5"/>
        <v>4679.8</v>
      </c>
      <c r="X22" s="65">
        <f t="shared" si="5"/>
        <v>4825.24</v>
      </c>
      <c r="Y22" s="65">
        <f t="shared" si="5"/>
        <v>4812.6100000000006</v>
      </c>
      <c r="Z22" s="65">
        <f t="shared" si="5"/>
        <v>4884.9100000000017</v>
      </c>
      <c r="AA22" s="65">
        <f t="shared" si="5"/>
        <v>4921.420000000001</v>
      </c>
      <c r="AB22" s="65">
        <f t="shared" si="5"/>
        <v>5610.3000000000011</v>
      </c>
      <c r="AC22" s="65">
        <f t="shared" si="5"/>
        <v>6262.85</v>
      </c>
      <c r="AD22" s="65">
        <f t="shared" si="5"/>
        <v>7272.87</v>
      </c>
      <c r="AE22" s="65">
        <f t="shared" si="5"/>
        <v>7750.1499999999987</v>
      </c>
      <c r="AF22" s="65">
        <f t="shared" si="5"/>
        <v>9310.4200000000019</v>
      </c>
      <c r="AG22" s="65">
        <f t="shared" si="5"/>
        <v>9905.1700000000019</v>
      </c>
      <c r="AH22" s="65">
        <f>SUM(AH10:AH21)</f>
        <v>10334.509999999998</v>
      </c>
      <c r="AI22" s="65">
        <f>SUM(AI10:AI21)</f>
        <v>9960.5499999999975</v>
      </c>
      <c r="AJ22" s="65">
        <f t="shared" ref="AJ22:AM22" si="6">SUM(AJ10:AJ21)</f>
        <v>12916.559999999998</v>
      </c>
      <c r="AK22" s="65">
        <f t="shared" si="6"/>
        <v>10360.049999999999</v>
      </c>
      <c r="AL22" s="65">
        <f t="shared" si="6"/>
        <v>10096.73</v>
      </c>
      <c r="AM22" s="65">
        <f t="shared" si="6"/>
        <v>10263.899999999998</v>
      </c>
      <c r="AN22" s="65">
        <f>SUM(AN10:AN21)</f>
        <v>10893.653899999999</v>
      </c>
      <c r="AO22" s="65">
        <f>SUM(AO10:AO21)</f>
        <v>10897.744700000001</v>
      </c>
      <c r="AP22" s="65">
        <f>SUM(AP10:AP21)</f>
        <v>11198.744700000003</v>
      </c>
      <c r="AQ22" s="65">
        <f>SUM(AQ10:AQ21)</f>
        <v>11215.01</v>
      </c>
      <c r="AR22" s="65">
        <f>SUM(AR10:AR21)</f>
        <v>11460.660000000002</v>
      </c>
      <c r="AS22" s="65">
        <f t="shared" ref="AS22:BD22" si="7">SUM(AS10:AS21)</f>
        <v>11833.689999999999</v>
      </c>
      <c r="AT22" s="65">
        <f t="shared" si="7"/>
        <v>11793.19</v>
      </c>
      <c r="AU22" s="65">
        <f t="shared" si="7"/>
        <v>11801.710000000003</v>
      </c>
      <c r="AV22" s="65">
        <f t="shared" si="7"/>
        <v>12056.61</v>
      </c>
      <c r="AW22" s="65">
        <f t="shared" si="7"/>
        <v>12500.990000000002</v>
      </c>
      <c r="AX22" s="65">
        <f t="shared" si="7"/>
        <v>12637.640000000003</v>
      </c>
      <c r="AY22" s="65">
        <f t="shared" si="7"/>
        <v>13361.869999999999</v>
      </c>
      <c r="AZ22" s="65">
        <f t="shared" si="7"/>
        <v>13883.62</v>
      </c>
      <c r="BA22" s="65">
        <f t="shared" si="7"/>
        <v>14496.060000000001</v>
      </c>
      <c r="BB22" s="65">
        <f t="shared" si="7"/>
        <v>15163.490000000002</v>
      </c>
      <c r="BC22" s="65">
        <f t="shared" si="7"/>
        <v>15467.8</v>
      </c>
      <c r="BD22" s="65">
        <f t="shared" si="7"/>
        <v>15718.330000000002</v>
      </c>
      <c r="BE22" s="65">
        <f t="shared" ref="BE22:BP22" si="8">SUM(BE10:BE21)</f>
        <v>16143.09</v>
      </c>
      <c r="BF22" s="65">
        <f t="shared" si="8"/>
        <v>15985.3</v>
      </c>
      <c r="BG22" s="65">
        <f t="shared" si="8"/>
        <v>16334.210000000001</v>
      </c>
      <c r="BH22" s="65">
        <f t="shared" si="8"/>
        <v>16698.039999999997</v>
      </c>
      <c r="BI22" s="65">
        <f t="shared" si="8"/>
        <v>17052.179999999997</v>
      </c>
      <c r="BJ22" s="65">
        <f t="shared" si="8"/>
        <v>17816.739999999994</v>
      </c>
      <c r="BK22" s="65">
        <f t="shared" si="8"/>
        <v>18101.909999999993</v>
      </c>
      <c r="BL22" s="65">
        <f t="shared" si="8"/>
        <v>0</v>
      </c>
      <c r="BM22" s="65">
        <f t="shared" si="8"/>
        <v>0</v>
      </c>
      <c r="BN22" s="65">
        <f t="shared" si="8"/>
        <v>0</v>
      </c>
      <c r="BO22" s="65">
        <f t="shared" si="8"/>
        <v>0</v>
      </c>
      <c r="BP22" s="65">
        <f t="shared" si="8"/>
        <v>0</v>
      </c>
    </row>
    <row r="23" spans="2:68" ht="15.75" thickBot="1" x14ac:dyDescent="0.3">
      <c r="B23" s="20"/>
      <c r="C23" s="21"/>
      <c r="D23" s="21"/>
      <c r="E23" s="22"/>
      <c r="F23" s="22"/>
      <c r="G23" s="22"/>
      <c r="H23" s="22"/>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2"/>
      <c r="AI23" s="22"/>
      <c r="AJ23" s="22"/>
      <c r="AK23" s="22"/>
      <c r="AL23" s="22"/>
      <c r="AM23" s="22"/>
      <c r="AN23" s="22"/>
      <c r="AO23" s="22"/>
      <c r="AP23" s="22"/>
      <c r="AQ23" s="22"/>
      <c r="AR23" s="22"/>
      <c r="AS23" s="22"/>
      <c r="AT23" s="22"/>
      <c r="AU23" s="22"/>
      <c r="AV23" s="22"/>
      <c r="AW23" s="22"/>
      <c r="AX23" s="22"/>
      <c r="AY23" s="22"/>
      <c r="AZ23" s="22"/>
      <c r="BA23" s="22"/>
      <c r="BB23" s="22"/>
      <c r="BC23" s="22"/>
      <c r="BD23" s="22"/>
      <c r="BE23" s="22"/>
      <c r="BF23" s="22"/>
      <c r="BG23" s="22"/>
      <c r="BH23" s="22"/>
      <c r="BI23" s="22"/>
      <c r="BJ23" s="22"/>
      <c r="BK23" s="22"/>
      <c r="BL23" s="22"/>
      <c r="BM23" s="22"/>
      <c r="BN23" s="22"/>
      <c r="BO23" s="22"/>
      <c r="BP23" s="22"/>
    </row>
    <row r="24" spans="2:68" ht="15.75" thickBot="1" x14ac:dyDescent="0.3">
      <c r="I24" s="9"/>
      <c r="J24" s="9"/>
      <c r="K24" s="9"/>
      <c r="L24" s="9"/>
      <c r="M24" s="9"/>
      <c r="N24" s="9"/>
      <c r="O24" s="9"/>
      <c r="P24" s="9"/>
      <c r="Q24" s="9"/>
      <c r="R24" s="9"/>
      <c r="S24" s="9"/>
      <c r="T24" s="9"/>
      <c r="U24" s="9"/>
      <c r="V24" s="9"/>
      <c r="W24" s="9"/>
      <c r="X24" s="9"/>
      <c r="Y24" s="9"/>
      <c r="Z24" s="9"/>
      <c r="AA24" s="9"/>
      <c r="AB24" s="9"/>
      <c r="AC24" s="9"/>
      <c r="AD24" s="9"/>
      <c r="AE24" s="9"/>
      <c r="AF24" s="9"/>
      <c r="BE24" s="118"/>
      <c r="BF24" s="118"/>
      <c r="BG24" s="118"/>
      <c r="BH24" s="118"/>
      <c r="BI24" s="118"/>
      <c r="BJ24" s="118"/>
      <c r="BK24" s="118"/>
      <c r="BL24" s="118"/>
      <c r="BM24" s="118"/>
      <c r="BN24" s="118"/>
      <c r="BO24" s="118"/>
      <c r="BP24" s="118"/>
    </row>
    <row r="25" spans="2:68" x14ac:dyDescent="0.25">
      <c r="B25" s="43" t="s">
        <v>240</v>
      </c>
      <c r="C25" s="71" t="s">
        <v>241</v>
      </c>
      <c r="D25" s="10"/>
      <c r="E25" s="79" t="s">
        <v>242</v>
      </c>
      <c r="F25" s="10"/>
      <c r="G25" s="10"/>
      <c r="H25" s="10"/>
      <c r="I25" s="11"/>
      <c r="J25" s="11"/>
      <c r="K25" s="11"/>
      <c r="L25" s="11"/>
      <c r="M25" s="11"/>
      <c r="N25" s="11"/>
      <c r="O25" s="11"/>
      <c r="P25" s="11"/>
      <c r="Q25" s="11"/>
      <c r="R25" s="11"/>
      <c r="S25" s="11"/>
      <c r="T25" s="11"/>
      <c r="U25" s="11"/>
      <c r="V25" s="11"/>
      <c r="W25" s="11"/>
      <c r="X25" s="11"/>
      <c r="Y25" s="11"/>
      <c r="Z25" s="11"/>
      <c r="AA25" s="11"/>
      <c r="AB25" s="11"/>
      <c r="AC25" s="11">
        <v>0</v>
      </c>
      <c r="AD25" s="11">
        <v>0</v>
      </c>
      <c r="AE25" s="11">
        <v>0</v>
      </c>
      <c r="AF25" s="11">
        <v>0</v>
      </c>
      <c r="AG25" s="10">
        <v>0</v>
      </c>
      <c r="AH25" s="10">
        <v>0</v>
      </c>
      <c r="AI25" s="10">
        <v>0</v>
      </c>
      <c r="AJ25" s="10">
        <v>0</v>
      </c>
      <c r="AK25" s="10">
        <v>0</v>
      </c>
      <c r="AL25" s="10">
        <v>0</v>
      </c>
      <c r="AM25" s="10">
        <v>0</v>
      </c>
      <c r="AN25" s="10">
        <v>0</v>
      </c>
      <c r="AO25" s="10">
        <v>0</v>
      </c>
      <c r="AP25" s="10">
        <v>0</v>
      </c>
      <c r="AQ25" s="10">
        <v>0</v>
      </c>
      <c r="AR25" s="10">
        <v>0</v>
      </c>
      <c r="AS25" s="10">
        <v>0</v>
      </c>
      <c r="AT25" s="10">
        <v>0</v>
      </c>
      <c r="AU25" s="10">
        <v>0</v>
      </c>
      <c r="AV25" s="10">
        <v>0</v>
      </c>
      <c r="AW25" s="10">
        <v>0</v>
      </c>
      <c r="AX25" s="10">
        <v>0</v>
      </c>
      <c r="AY25" s="10">
        <v>0</v>
      </c>
      <c r="AZ25" s="10">
        <v>0</v>
      </c>
      <c r="BA25" s="10">
        <v>0</v>
      </c>
      <c r="BB25" s="10">
        <v>0</v>
      </c>
      <c r="BC25" s="10">
        <v>0</v>
      </c>
      <c r="BD25" s="10">
        <v>0</v>
      </c>
      <c r="BE25">
        <v>0</v>
      </c>
      <c r="BF25">
        <v>0</v>
      </c>
      <c r="BG25">
        <v>0</v>
      </c>
      <c r="BH25">
        <v>0</v>
      </c>
      <c r="BI25">
        <v>0</v>
      </c>
      <c r="BJ25">
        <v>0</v>
      </c>
      <c r="BK25">
        <v>0</v>
      </c>
    </row>
    <row r="26" spans="2:68" x14ac:dyDescent="0.25">
      <c r="B26" s="42"/>
      <c r="C26" s="61"/>
      <c r="E26" s="77" t="s">
        <v>243</v>
      </c>
      <c r="I26" s="9"/>
      <c r="J26" s="9"/>
      <c r="K26" s="9"/>
      <c r="L26" s="9"/>
      <c r="M26" s="9"/>
      <c r="N26" s="9"/>
      <c r="O26" s="9"/>
      <c r="P26" s="9"/>
      <c r="Q26" s="9"/>
      <c r="R26" s="9"/>
      <c r="S26" s="9"/>
      <c r="T26" s="9"/>
      <c r="U26" s="9"/>
      <c r="V26" s="9"/>
      <c r="W26" s="9"/>
      <c r="X26" s="9"/>
      <c r="Y26" s="9"/>
      <c r="Z26" s="9"/>
      <c r="AA26" s="9"/>
      <c r="AB26" s="9"/>
      <c r="AC26" s="9"/>
      <c r="AD26" s="9">
        <v>2.5499999999999998</v>
      </c>
      <c r="AE26" s="9">
        <v>8.57</v>
      </c>
      <c r="AF26" s="9">
        <v>21.65</v>
      </c>
      <c r="AG26" s="9">
        <v>26.35</v>
      </c>
      <c r="AH26" s="9">
        <v>30.84</v>
      </c>
      <c r="AI26" s="9">
        <v>35.64</v>
      </c>
      <c r="AJ26" s="9">
        <v>42.96</v>
      </c>
      <c r="AK26" s="9">
        <v>52.97</v>
      </c>
      <c r="AL26" s="9">
        <v>57.4</v>
      </c>
      <c r="AM26" s="9">
        <v>57.6</v>
      </c>
      <c r="AN26" s="8">
        <v>61.913200000000003</v>
      </c>
      <c r="AO26" s="8">
        <v>64.680000000000007</v>
      </c>
      <c r="AP26" s="9">
        <v>64.069999999999993</v>
      </c>
      <c r="AQ26" s="9">
        <v>66.069999999999993</v>
      </c>
      <c r="AR26" s="9">
        <v>68.680000000000007</v>
      </c>
      <c r="AS26" s="9">
        <v>68.989999999999995</v>
      </c>
      <c r="AT26" s="9">
        <v>70.78</v>
      </c>
      <c r="AU26" s="9">
        <v>73.510000000000005</v>
      </c>
      <c r="AV26" s="9">
        <v>76.56</v>
      </c>
      <c r="AW26" s="9">
        <v>81.489999999999995</v>
      </c>
      <c r="AX26" s="9">
        <v>85.08</v>
      </c>
      <c r="AY26" s="9">
        <v>89.13</v>
      </c>
      <c r="AZ26" s="9">
        <v>91.5</v>
      </c>
      <c r="BA26" s="9">
        <v>94.77</v>
      </c>
      <c r="BB26" s="9">
        <v>97.39</v>
      </c>
      <c r="BC26" s="9">
        <v>99.05</v>
      </c>
      <c r="BD26" s="9">
        <v>101.32</v>
      </c>
      <c r="BE26" s="9">
        <v>104.05</v>
      </c>
      <c r="BF26" s="9">
        <v>109.1</v>
      </c>
      <c r="BG26" s="9">
        <v>112.6</v>
      </c>
      <c r="BH26" s="9">
        <v>113.98</v>
      </c>
      <c r="BI26" s="9">
        <v>118.77</v>
      </c>
      <c r="BJ26" s="9">
        <v>123.27</v>
      </c>
      <c r="BK26" s="9">
        <v>124.86</v>
      </c>
    </row>
    <row r="27" spans="2:68" ht="15" customHeight="1" x14ac:dyDescent="0.25">
      <c r="B27" s="19"/>
      <c r="C27" s="16"/>
      <c r="D27" s="16"/>
      <c r="E27" s="16"/>
      <c r="F27" s="16"/>
      <c r="G27" s="16"/>
      <c r="H27" s="16"/>
      <c r="I27" s="65"/>
      <c r="J27" s="65"/>
      <c r="K27" s="65"/>
      <c r="L27" s="65"/>
      <c r="M27" s="65"/>
      <c r="N27" s="65"/>
      <c r="O27" s="65"/>
      <c r="P27" s="65"/>
      <c r="Q27" s="65"/>
      <c r="R27" s="65"/>
      <c r="S27" s="65"/>
      <c r="T27" s="65"/>
      <c r="U27" s="65"/>
      <c r="V27" s="65"/>
      <c r="W27" s="65"/>
      <c r="X27" s="65"/>
      <c r="Y27" s="65"/>
      <c r="Z27" s="65"/>
      <c r="AA27" s="65"/>
      <c r="AB27" s="65"/>
      <c r="AC27" s="65"/>
      <c r="AD27" s="65"/>
      <c r="AE27" s="65"/>
      <c r="AF27" s="65"/>
      <c r="AG27" s="16"/>
      <c r="AH27" s="16"/>
      <c r="AI27" s="16"/>
      <c r="AJ27" s="16"/>
      <c r="AK27" s="16"/>
      <c r="AL27" s="16"/>
      <c r="AM27" s="16"/>
      <c r="AN27" s="16"/>
      <c r="AO27" s="16"/>
      <c r="AP27" s="16"/>
      <c r="AQ27" s="16"/>
      <c r="AR27" s="16"/>
      <c r="AS27" s="16"/>
      <c r="AT27" s="16"/>
      <c r="AU27" s="16"/>
      <c r="AV27" s="16"/>
      <c r="AW27" s="16"/>
      <c r="AX27" s="16"/>
      <c r="AY27" s="16"/>
      <c r="AZ27" s="16"/>
      <c r="BA27" s="16"/>
      <c r="BB27" s="16"/>
      <c r="BC27" s="16"/>
      <c r="BD27" s="16"/>
      <c r="BE27" s="16"/>
      <c r="BF27" s="16"/>
      <c r="BG27" s="16"/>
      <c r="BH27" s="16"/>
      <c r="BI27" s="16"/>
      <c r="BJ27" s="16"/>
      <c r="BK27" s="16"/>
      <c r="BL27" s="16"/>
      <c r="BM27" s="16"/>
      <c r="BN27" s="16"/>
      <c r="BO27" s="16"/>
      <c r="BP27" s="16"/>
    </row>
    <row r="28" spans="2:68" x14ac:dyDescent="0.25">
      <c r="B28" s="14"/>
      <c r="E28" s="16"/>
      <c r="F28" s="16"/>
      <c r="G28" s="16" t="s">
        <v>239</v>
      </c>
      <c r="H28" s="16"/>
      <c r="I28" s="65">
        <f t="shared" ref="I28:AG28" si="9">SUM(I25:I27)</f>
        <v>0</v>
      </c>
      <c r="J28" s="65">
        <f t="shared" si="9"/>
        <v>0</v>
      </c>
      <c r="K28" s="65">
        <f t="shared" si="9"/>
        <v>0</v>
      </c>
      <c r="L28" s="65">
        <f t="shared" si="9"/>
        <v>0</v>
      </c>
      <c r="M28" s="65">
        <f t="shared" si="9"/>
        <v>0</v>
      </c>
      <c r="N28" s="65">
        <f t="shared" si="9"/>
        <v>0</v>
      </c>
      <c r="O28" s="65">
        <f t="shared" si="9"/>
        <v>0</v>
      </c>
      <c r="P28" s="65">
        <f t="shared" si="9"/>
        <v>0</v>
      </c>
      <c r="Q28" s="65">
        <f t="shared" si="9"/>
        <v>0</v>
      </c>
      <c r="R28" s="65">
        <f t="shared" si="9"/>
        <v>0</v>
      </c>
      <c r="S28" s="65">
        <f t="shared" si="9"/>
        <v>0</v>
      </c>
      <c r="T28" s="17">
        <f t="shared" si="9"/>
        <v>0</v>
      </c>
      <c r="U28" s="17">
        <f t="shared" si="9"/>
        <v>0</v>
      </c>
      <c r="V28" s="17">
        <f t="shared" si="9"/>
        <v>0</v>
      </c>
      <c r="W28" s="17">
        <f t="shared" si="9"/>
        <v>0</v>
      </c>
      <c r="X28" s="17">
        <f t="shared" si="9"/>
        <v>0</v>
      </c>
      <c r="Y28" s="17">
        <f t="shared" si="9"/>
        <v>0</v>
      </c>
      <c r="Z28" s="17">
        <f t="shared" si="9"/>
        <v>0</v>
      </c>
      <c r="AA28" s="17">
        <f t="shared" si="9"/>
        <v>0</v>
      </c>
      <c r="AB28" s="17">
        <f t="shared" si="9"/>
        <v>0</v>
      </c>
      <c r="AC28" s="17">
        <f t="shared" si="9"/>
        <v>0</v>
      </c>
      <c r="AD28" s="17">
        <f t="shared" si="9"/>
        <v>2.5499999999999998</v>
      </c>
      <c r="AE28" s="17">
        <f t="shared" si="9"/>
        <v>8.57</v>
      </c>
      <c r="AF28" s="17">
        <f t="shared" si="9"/>
        <v>21.65</v>
      </c>
      <c r="AG28" s="17">
        <f t="shared" si="9"/>
        <v>26.35</v>
      </c>
      <c r="AH28" s="17">
        <f>SUM(AH25:AH27)</f>
        <v>30.84</v>
      </c>
      <c r="AI28" s="17">
        <f>SUM(AI25:AI27)</f>
        <v>35.64</v>
      </c>
      <c r="AJ28" s="17">
        <f t="shared" ref="AJ28:AM28" si="10">SUM(AJ25:AJ27)</f>
        <v>42.96</v>
      </c>
      <c r="AK28" s="17">
        <f t="shared" si="10"/>
        <v>52.97</v>
      </c>
      <c r="AL28" s="17">
        <f t="shared" si="10"/>
        <v>57.4</v>
      </c>
      <c r="AM28" s="17">
        <f t="shared" si="10"/>
        <v>57.6</v>
      </c>
      <c r="AN28" s="17">
        <f>SUM(AN25:AN27)</f>
        <v>61.913200000000003</v>
      </c>
      <c r="AO28" s="17">
        <f>SUM(AO25:AO27)</f>
        <v>64.680000000000007</v>
      </c>
      <c r="AP28" s="17">
        <f>SUM(AP25:AP27)</f>
        <v>64.069999999999993</v>
      </c>
      <c r="AQ28" s="17">
        <f>SUM(AQ25:AQ27)</f>
        <v>66.069999999999993</v>
      </c>
      <c r="AR28" s="17">
        <f>SUM(AR25:AR27)</f>
        <v>68.680000000000007</v>
      </c>
      <c r="AS28" s="17">
        <f t="shared" ref="AS28:BD28" si="11">SUM(AS25:AS27)</f>
        <v>68.989999999999995</v>
      </c>
      <c r="AT28" s="17">
        <f t="shared" si="11"/>
        <v>70.78</v>
      </c>
      <c r="AU28" s="17">
        <f t="shared" si="11"/>
        <v>73.510000000000005</v>
      </c>
      <c r="AV28" s="17">
        <f t="shared" si="11"/>
        <v>76.56</v>
      </c>
      <c r="AW28" s="17">
        <f t="shared" si="11"/>
        <v>81.489999999999995</v>
      </c>
      <c r="AX28" s="17">
        <f t="shared" si="11"/>
        <v>85.08</v>
      </c>
      <c r="AY28" s="17">
        <f t="shared" si="11"/>
        <v>89.13</v>
      </c>
      <c r="AZ28" s="17">
        <f t="shared" si="11"/>
        <v>91.5</v>
      </c>
      <c r="BA28" s="17">
        <f t="shared" si="11"/>
        <v>94.77</v>
      </c>
      <c r="BB28" s="17">
        <f t="shared" si="11"/>
        <v>97.39</v>
      </c>
      <c r="BC28" s="17">
        <f t="shared" si="11"/>
        <v>99.05</v>
      </c>
      <c r="BD28" s="17">
        <f t="shared" si="11"/>
        <v>101.32</v>
      </c>
      <c r="BE28" s="17">
        <f t="shared" ref="BE28:BP28" si="12">SUM(BE25:BE27)</f>
        <v>104.05</v>
      </c>
      <c r="BF28" s="17">
        <f t="shared" si="12"/>
        <v>109.1</v>
      </c>
      <c r="BG28" s="17">
        <f t="shared" si="12"/>
        <v>112.6</v>
      </c>
      <c r="BH28" s="17">
        <f t="shared" si="12"/>
        <v>113.98</v>
      </c>
      <c r="BI28" s="17">
        <f t="shared" si="12"/>
        <v>118.77</v>
      </c>
      <c r="BJ28" s="17">
        <f t="shared" si="12"/>
        <v>123.27</v>
      </c>
      <c r="BK28" s="17">
        <f t="shared" si="12"/>
        <v>124.86</v>
      </c>
      <c r="BL28" s="17">
        <f t="shared" si="12"/>
        <v>0</v>
      </c>
      <c r="BM28" s="17">
        <f t="shared" si="12"/>
        <v>0</v>
      </c>
      <c r="BN28" s="17">
        <f t="shared" si="12"/>
        <v>0</v>
      </c>
      <c r="BO28" s="17">
        <f t="shared" si="12"/>
        <v>0</v>
      </c>
      <c r="BP28" s="17">
        <f t="shared" si="12"/>
        <v>0</v>
      </c>
    </row>
    <row r="29" spans="2:68" ht="15.75" thickBot="1" x14ac:dyDescent="0.3">
      <c r="B29" s="20"/>
      <c r="C29" s="21"/>
      <c r="D29" s="21"/>
      <c r="E29" s="22"/>
      <c r="F29" s="22"/>
      <c r="G29" s="22"/>
      <c r="H29" s="22"/>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2"/>
      <c r="AI29" s="22"/>
      <c r="AJ29" s="22"/>
      <c r="AK29" s="22"/>
      <c r="AL29" s="22"/>
      <c r="AM29" s="22"/>
      <c r="AN29" s="22"/>
      <c r="AO29" s="22"/>
      <c r="AP29" s="22"/>
      <c r="AQ29" s="22"/>
      <c r="AR29" s="22"/>
      <c r="AS29" s="22"/>
      <c r="AT29" s="22"/>
      <c r="AU29" s="22"/>
      <c r="AV29" s="22"/>
      <c r="AW29" s="22"/>
      <c r="AX29" s="22"/>
      <c r="AY29" s="22"/>
      <c r="AZ29" s="22"/>
      <c r="BA29" s="22"/>
      <c r="BB29" s="22"/>
      <c r="BC29" s="22"/>
      <c r="BD29" s="22"/>
      <c r="BE29" s="22"/>
      <c r="BF29" s="22"/>
      <c r="BG29" s="22"/>
      <c r="BH29" s="22"/>
      <c r="BI29" s="22"/>
      <c r="BJ29" s="22"/>
      <c r="BK29" s="22"/>
      <c r="BL29" s="22"/>
      <c r="BM29" s="22"/>
      <c r="BN29" s="22"/>
      <c r="BO29" s="22"/>
      <c r="BP29" s="22"/>
    </row>
    <row r="30" spans="2:68" ht="15.75" thickBot="1" x14ac:dyDescent="0.3">
      <c r="I30" s="1"/>
      <c r="J30" s="1"/>
      <c r="K30" s="1"/>
      <c r="L30" s="1"/>
      <c r="M30" s="1"/>
      <c r="N30" s="1"/>
      <c r="O30" s="1"/>
      <c r="P30" s="1"/>
      <c r="Q30" s="1"/>
      <c r="R30" s="1"/>
      <c r="S30" s="1"/>
      <c r="T30" s="1"/>
      <c r="U30" s="1"/>
      <c r="V30" s="1"/>
      <c r="W30" s="1"/>
      <c r="X30" s="1"/>
      <c r="Y30" s="1"/>
      <c r="Z30" s="1"/>
      <c r="AA30" s="1"/>
      <c r="AB30" s="1"/>
      <c r="AC30" s="1"/>
      <c r="AD30" s="1"/>
      <c r="AE30" s="1"/>
      <c r="AF30" s="1"/>
      <c r="BE30" s="118"/>
      <c r="BF30" s="118"/>
      <c r="BG30" s="118"/>
      <c r="BH30" s="118"/>
      <c r="BI30" s="118"/>
      <c r="BJ30" s="118"/>
      <c r="BK30" s="118"/>
      <c r="BL30" s="118"/>
      <c r="BM30" s="118"/>
      <c r="BN30" s="118"/>
      <c r="BO30" s="118"/>
      <c r="BP30" s="118"/>
    </row>
    <row r="31" spans="2:68" x14ac:dyDescent="0.25">
      <c r="B31" s="43" t="s">
        <v>244</v>
      </c>
      <c r="C31" s="71" t="s">
        <v>245</v>
      </c>
      <c r="D31" s="10"/>
      <c r="E31" s="10" t="s">
        <v>246</v>
      </c>
      <c r="F31" s="10"/>
      <c r="G31" s="26"/>
      <c r="H31" s="10"/>
      <c r="I31" s="11"/>
      <c r="J31" s="11"/>
      <c r="K31" s="11"/>
      <c r="L31" s="11"/>
      <c r="M31" s="11"/>
      <c r="N31" s="11"/>
      <c r="O31" s="11"/>
      <c r="P31" s="11"/>
      <c r="Q31" s="11"/>
      <c r="R31" s="11"/>
      <c r="S31" s="11"/>
      <c r="T31" s="11"/>
      <c r="U31" s="11"/>
      <c r="V31" s="11"/>
      <c r="W31" s="11"/>
      <c r="X31" s="11"/>
      <c r="Y31" s="11"/>
      <c r="Z31" s="11"/>
      <c r="AA31" s="11"/>
      <c r="AB31" s="11"/>
      <c r="AC31" s="11">
        <v>0</v>
      </c>
      <c r="AD31" s="11">
        <v>1.56</v>
      </c>
      <c r="AE31" s="11">
        <v>10.56</v>
      </c>
      <c r="AF31" s="11">
        <v>27.28</v>
      </c>
      <c r="AG31" s="10">
        <v>35.74</v>
      </c>
      <c r="AH31" s="10">
        <v>43.44</v>
      </c>
      <c r="AI31" s="10">
        <v>50.25</v>
      </c>
      <c r="AJ31" s="10">
        <v>53.31</v>
      </c>
      <c r="AK31" s="10">
        <v>62.8</v>
      </c>
      <c r="AL31" s="10">
        <v>64.3</v>
      </c>
      <c r="AM31" s="10">
        <v>69.89</v>
      </c>
      <c r="AN31" s="10">
        <v>79.489999999999995</v>
      </c>
      <c r="AO31" s="10">
        <v>81.97</v>
      </c>
      <c r="AP31" s="10">
        <v>84.77</v>
      </c>
      <c r="AQ31" s="10">
        <v>87.34</v>
      </c>
      <c r="AR31" s="10">
        <v>90.1</v>
      </c>
      <c r="AS31" s="10">
        <v>89.21</v>
      </c>
      <c r="AT31" s="10">
        <v>90.06</v>
      </c>
      <c r="AU31" s="10">
        <v>91.43</v>
      </c>
      <c r="AV31" s="10">
        <v>91.51</v>
      </c>
      <c r="AW31" s="10">
        <v>95.06</v>
      </c>
      <c r="AX31" s="10">
        <v>97.77</v>
      </c>
      <c r="AY31" s="10">
        <v>102.32</v>
      </c>
      <c r="AZ31" s="10">
        <v>106.9</v>
      </c>
      <c r="BA31" s="10">
        <v>110.4</v>
      </c>
      <c r="BB31" s="10">
        <v>115.75</v>
      </c>
      <c r="BC31" s="10">
        <v>120.17</v>
      </c>
      <c r="BD31" s="10">
        <v>122.69</v>
      </c>
      <c r="BE31">
        <v>124.66</v>
      </c>
      <c r="BF31">
        <v>129.79</v>
      </c>
      <c r="BG31">
        <v>131.93</v>
      </c>
      <c r="BH31">
        <v>136.68</v>
      </c>
      <c r="BI31">
        <v>145.68</v>
      </c>
      <c r="BJ31">
        <v>146.77000000000001</v>
      </c>
      <c r="BK31">
        <v>145.88999999999999</v>
      </c>
    </row>
    <row r="32" spans="2:68" ht="13.5" customHeight="1" x14ac:dyDescent="0.25">
      <c r="B32" s="19"/>
      <c r="C32" s="16"/>
      <c r="D32" s="16"/>
      <c r="E32" s="16"/>
      <c r="F32" s="16"/>
      <c r="G32" s="16"/>
      <c r="H32" s="16"/>
      <c r="I32" s="65"/>
      <c r="J32" s="65"/>
      <c r="K32" s="65"/>
      <c r="L32" s="65"/>
      <c r="M32" s="65"/>
      <c r="N32" s="65"/>
      <c r="O32" s="65"/>
      <c r="P32" s="65"/>
      <c r="Q32" s="65"/>
      <c r="R32" s="65"/>
      <c r="S32" s="65"/>
      <c r="T32" s="65"/>
      <c r="U32" s="65"/>
      <c r="V32" s="65"/>
      <c r="W32" s="65"/>
      <c r="X32" s="65"/>
      <c r="Y32" s="65"/>
      <c r="Z32" s="65"/>
      <c r="AA32" s="65"/>
      <c r="AB32" s="65"/>
      <c r="AC32" s="65"/>
      <c r="AD32" s="65"/>
      <c r="AE32" s="65"/>
      <c r="AF32" s="65"/>
      <c r="AG32" s="16"/>
      <c r="AH32" s="16"/>
      <c r="AI32" s="16"/>
      <c r="AJ32" s="16"/>
      <c r="AK32" s="16"/>
      <c r="AL32" s="16"/>
      <c r="AM32" s="16"/>
      <c r="AN32" s="16"/>
      <c r="AO32" s="16"/>
      <c r="AP32" s="16"/>
      <c r="AQ32" s="16"/>
      <c r="AR32" s="16"/>
      <c r="AS32" s="16"/>
      <c r="AT32" s="16"/>
      <c r="AU32" s="16"/>
      <c r="AV32" s="16"/>
      <c r="AW32" s="16"/>
      <c r="AX32" s="16"/>
      <c r="AY32" s="16"/>
      <c r="AZ32" s="16"/>
      <c r="BA32" s="16"/>
      <c r="BB32" s="16"/>
      <c r="BC32" s="16"/>
      <c r="BD32" s="16"/>
      <c r="BE32" s="16"/>
      <c r="BF32" s="16"/>
      <c r="BG32" s="16"/>
      <c r="BH32" s="16"/>
      <c r="BI32" s="16"/>
      <c r="BJ32" s="16"/>
      <c r="BK32" s="16"/>
      <c r="BL32" s="16"/>
      <c r="BM32" s="16"/>
      <c r="BN32" s="16"/>
      <c r="BO32" s="16"/>
      <c r="BP32" s="16"/>
    </row>
    <row r="33" spans="2:68" x14ac:dyDescent="0.25">
      <c r="B33" s="14"/>
      <c r="E33" s="16"/>
      <c r="F33" s="16"/>
      <c r="G33" s="16" t="s">
        <v>239</v>
      </c>
      <c r="H33" s="16"/>
      <c r="I33" s="65">
        <f t="shared" ref="I33:AG33" si="13">SUM(I31:I32)</f>
        <v>0</v>
      </c>
      <c r="J33" s="65">
        <f t="shared" si="13"/>
        <v>0</v>
      </c>
      <c r="K33" s="65">
        <f t="shared" si="13"/>
        <v>0</v>
      </c>
      <c r="L33" s="65">
        <f t="shared" si="13"/>
        <v>0</v>
      </c>
      <c r="M33" s="65">
        <f t="shared" si="13"/>
        <v>0</v>
      </c>
      <c r="N33" s="65">
        <f t="shared" si="13"/>
        <v>0</v>
      </c>
      <c r="O33" s="65">
        <f t="shared" si="13"/>
        <v>0</v>
      </c>
      <c r="P33" s="65">
        <f t="shared" si="13"/>
        <v>0</v>
      </c>
      <c r="Q33" s="65">
        <f t="shared" si="13"/>
        <v>0</v>
      </c>
      <c r="R33" s="65">
        <f t="shared" si="13"/>
        <v>0</v>
      </c>
      <c r="S33" s="65">
        <f t="shared" si="13"/>
        <v>0</v>
      </c>
      <c r="T33" s="17">
        <f t="shared" si="13"/>
        <v>0</v>
      </c>
      <c r="U33" s="17">
        <f t="shared" si="13"/>
        <v>0</v>
      </c>
      <c r="V33" s="17">
        <f t="shared" si="13"/>
        <v>0</v>
      </c>
      <c r="W33" s="17">
        <f t="shared" si="13"/>
        <v>0</v>
      </c>
      <c r="X33" s="17">
        <f t="shared" si="13"/>
        <v>0</v>
      </c>
      <c r="Y33" s="17">
        <f t="shared" si="13"/>
        <v>0</v>
      </c>
      <c r="Z33" s="17">
        <f t="shared" si="13"/>
        <v>0</v>
      </c>
      <c r="AA33" s="17">
        <f t="shared" si="13"/>
        <v>0</v>
      </c>
      <c r="AB33" s="17">
        <f t="shared" si="13"/>
        <v>0</v>
      </c>
      <c r="AC33" s="17">
        <f t="shared" si="13"/>
        <v>0</v>
      </c>
      <c r="AD33" s="17">
        <f t="shared" si="13"/>
        <v>1.56</v>
      </c>
      <c r="AE33" s="17">
        <f t="shared" si="13"/>
        <v>10.56</v>
      </c>
      <c r="AF33" s="17">
        <f t="shared" si="13"/>
        <v>27.28</v>
      </c>
      <c r="AG33" s="17">
        <f t="shared" si="13"/>
        <v>35.74</v>
      </c>
      <c r="AH33" s="17">
        <f>SUM(AH31:AH32)</f>
        <v>43.44</v>
      </c>
      <c r="AI33" s="17">
        <f>SUM(AI31:AI32)</f>
        <v>50.25</v>
      </c>
      <c r="AJ33" s="17">
        <f t="shared" ref="AJ33:AM33" si="14">SUM(AJ31:AJ32)</f>
        <v>53.31</v>
      </c>
      <c r="AK33" s="17">
        <f t="shared" si="14"/>
        <v>62.8</v>
      </c>
      <c r="AL33" s="17">
        <f t="shared" si="14"/>
        <v>64.3</v>
      </c>
      <c r="AM33" s="17">
        <f t="shared" si="14"/>
        <v>69.89</v>
      </c>
      <c r="AN33" s="17">
        <f>SUM(AN31:AN32)</f>
        <v>79.489999999999995</v>
      </c>
      <c r="AO33" s="17">
        <f>SUM(AO31:AO32)</f>
        <v>81.97</v>
      </c>
      <c r="AP33" s="17">
        <f>SUM(AP31:AP32)</f>
        <v>84.77</v>
      </c>
      <c r="AQ33" s="17">
        <f>SUM(AQ31:AQ32)</f>
        <v>87.34</v>
      </c>
      <c r="AR33" s="17">
        <f>SUM(AR31:AR32)</f>
        <v>90.1</v>
      </c>
      <c r="AS33" s="17">
        <f t="shared" ref="AS33:BD33" si="15">SUM(AS31:AS32)</f>
        <v>89.21</v>
      </c>
      <c r="AT33" s="17">
        <f t="shared" si="15"/>
        <v>90.06</v>
      </c>
      <c r="AU33" s="17">
        <f t="shared" si="15"/>
        <v>91.43</v>
      </c>
      <c r="AV33" s="17">
        <f t="shared" si="15"/>
        <v>91.51</v>
      </c>
      <c r="AW33" s="17">
        <f t="shared" si="15"/>
        <v>95.06</v>
      </c>
      <c r="AX33" s="17">
        <f t="shared" si="15"/>
        <v>97.77</v>
      </c>
      <c r="AY33" s="17">
        <f t="shared" si="15"/>
        <v>102.32</v>
      </c>
      <c r="AZ33" s="17">
        <f t="shared" si="15"/>
        <v>106.9</v>
      </c>
      <c r="BA33" s="17">
        <f t="shared" si="15"/>
        <v>110.4</v>
      </c>
      <c r="BB33" s="17">
        <f t="shared" si="15"/>
        <v>115.75</v>
      </c>
      <c r="BC33" s="17">
        <f t="shared" si="15"/>
        <v>120.17</v>
      </c>
      <c r="BD33" s="17">
        <f t="shared" si="15"/>
        <v>122.69</v>
      </c>
      <c r="BE33" s="17">
        <f t="shared" ref="BE33:BP33" si="16">SUM(BE31:BE32)</f>
        <v>124.66</v>
      </c>
      <c r="BF33" s="17">
        <f t="shared" si="16"/>
        <v>129.79</v>
      </c>
      <c r="BG33" s="17">
        <f t="shared" si="16"/>
        <v>131.93</v>
      </c>
      <c r="BH33" s="17">
        <f t="shared" si="16"/>
        <v>136.68</v>
      </c>
      <c r="BI33" s="17">
        <f t="shared" si="16"/>
        <v>145.68</v>
      </c>
      <c r="BJ33" s="17">
        <f t="shared" si="16"/>
        <v>146.77000000000001</v>
      </c>
      <c r="BK33" s="17">
        <f t="shared" si="16"/>
        <v>145.88999999999999</v>
      </c>
      <c r="BL33" s="17">
        <f t="shared" si="16"/>
        <v>0</v>
      </c>
      <c r="BM33" s="17">
        <f t="shared" si="16"/>
        <v>0</v>
      </c>
      <c r="BN33" s="17">
        <f t="shared" si="16"/>
        <v>0</v>
      </c>
      <c r="BO33" s="17">
        <f t="shared" si="16"/>
        <v>0</v>
      </c>
      <c r="BP33" s="17">
        <f t="shared" si="16"/>
        <v>0</v>
      </c>
    </row>
    <row r="34" spans="2:68" ht="15.75" thickBot="1" x14ac:dyDescent="0.3">
      <c r="B34" s="20"/>
      <c r="C34" s="21"/>
      <c r="D34" s="21"/>
      <c r="E34" s="22"/>
      <c r="F34" s="22"/>
      <c r="G34" s="22"/>
      <c r="H34" s="22"/>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2"/>
      <c r="AI34" s="22"/>
      <c r="AJ34" s="22"/>
      <c r="AK34" s="22"/>
      <c r="AL34" s="22"/>
      <c r="AM34" s="22"/>
      <c r="AN34" s="22"/>
      <c r="AO34" s="22"/>
      <c r="AP34" s="22"/>
      <c r="AQ34" s="22"/>
      <c r="AR34" s="22"/>
      <c r="AS34" s="22"/>
      <c r="AT34" s="22"/>
      <c r="AU34" s="22"/>
      <c r="AV34" s="22"/>
      <c r="AW34" s="22"/>
      <c r="AX34" s="22"/>
      <c r="AY34" s="22"/>
      <c r="AZ34" s="22"/>
      <c r="BA34" s="22"/>
      <c r="BB34" s="22"/>
      <c r="BC34" s="22"/>
      <c r="BD34" s="22"/>
      <c r="BE34" s="22"/>
      <c r="BF34" s="22"/>
      <c r="BG34" s="22"/>
      <c r="BH34" s="22"/>
      <c r="BI34" s="22"/>
      <c r="BJ34" s="22"/>
      <c r="BK34" s="22"/>
      <c r="BL34" s="22"/>
      <c r="BM34" s="22"/>
      <c r="BN34" s="22"/>
      <c r="BO34" s="22"/>
      <c r="BP34" s="22"/>
    </row>
    <row r="35" spans="2:68" ht="15.75" thickBot="1" x14ac:dyDescent="0.3">
      <c r="BE35" s="118"/>
      <c r="BF35" s="118"/>
      <c r="BG35" s="118"/>
      <c r="BH35" s="118"/>
      <c r="BI35" s="118"/>
      <c r="BJ35" s="118"/>
      <c r="BK35" s="118"/>
      <c r="BL35" s="118"/>
      <c r="BM35" s="118"/>
      <c r="BN35" s="118"/>
      <c r="BO35" s="118"/>
      <c r="BP35" s="118"/>
    </row>
    <row r="36" spans="2:68" x14ac:dyDescent="0.25">
      <c r="B36" s="43" t="s">
        <v>247</v>
      </c>
      <c r="C36" s="71" t="s">
        <v>248</v>
      </c>
      <c r="D36" s="10"/>
      <c r="E36" s="10" t="s">
        <v>249</v>
      </c>
      <c r="F36" s="10"/>
      <c r="G36" s="27"/>
      <c r="H36" s="10"/>
      <c r="I36" s="44"/>
      <c r="J36" s="10"/>
      <c r="K36" s="11"/>
      <c r="L36" s="11"/>
      <c r="M36" s="11"/>
      <c r="N36" s="11"/>
      <c r="O36" s="11"/>
      <c r="P36" s="11"/>
      <c r="Q36" s="11"/>
      <c r="R36" s="11"/>
      <c r="S36" s="11"/>
      <c r="T36" s="44"/>
      <c r="U36" s="44">
        <v>911.21</v>
      </c>
      <c r="V36" s="44">
        <v>834.57</v>
      </c>
      <c r="W36" s="44">
        <v>859.3</v>
      </c>
      <c r="X36" s="44">
        <v>900.62</v>
      </c>
      <c r="Y36" s="44">
        <v>939.49</v>
      </c>
      <c r="Z36" s="44">
        <v>960.97</v>
      </c>
      <c r="AA36" s="44">
        <v>1021.04</v>
      </c>
      <c r="AB36" s="44">
        <v>1051.98</v>
      </c>
      <c r="AC36" s="44">
        <v>1105.19</v>
      </c>
      <c r="AD36" s="44">
        <v>1132.94</v>
      </c>
      <c r="AE36" s="44">
        <v>1173.3499999999999</v>
      </c>
      <c r="AF36" s="44">
        <v>1188.92</v>
      </c>
      <c r="AG36" s="44">
        <v>1196.6199999999999</v>
      </c>
      <c r="AH36" s="10">
        <v>1265.97</v>
      </c>
      <c r="AI36" s="10">
        <v>1260.3900000000001</v>
      </c>
      <c r="AJ36" s="10">
        <v>1294.3</v>
      </c>
      <c r="AK36" s="10">
        <v>1283.6500000000001</v>
      </c>
      <c r="AL36" s="10">
        <v>1156.3399999999999</v>
      </c>
      <c r="AM36" s="10">
        <v>1100.8699999999999</v>
      </c>
      <c r="AN36" s="10">
        <v>1190.28</v>
      </c>
      <c r="AO36" s="10">
        <v>1217.8399999999999</v>
      </c>
      <c r="AP36" s="10">
        <v>1254.6400000000001</v>
      </c>
      <c r="AQ36" s="10">
        <v>1250.92</v>
      </c>
      <c r="AR36" s="10">
        <v>1305.8800000000001</v>
      </c>
      <c r="AS36" s="10">
        <v>1508.6</v>
      </c>
      <c r="AT36" s="10">
        <v>1557.29</v>
      </c>
      <c r="AU36" s="10">
        <v>1602.01</v>
      </c>
      <c r="AV36" s="10">
        <v>1628.54</v>
      </c>
      <c r="AW36" s="10">
        <v>1666.73</v>
      </c>
      <c r="AX36" s="10">
        <v>1692.25</v>
      </c>
      <c r="AY36" s="10">
        <v>1703.01</v>
      </c>
      <c r="AZ36" s="10">
        <v>1725.51</v>
      </c>
      <c r="BA36" s="10">
        <v>1753.81</v>
      </c>
      <c r="BB36" s="10">
        <v>1779.92</v>
      </c>
      <c r="BC36" s="10">
        <v>1745.62</v>
      </c>
      <c r="BD36" s="10">
        <v>1675.2</v>
      </c>
      <c r="BE36">
        <v>1666.1</v>
      </c>
      <c r="BF36">
        <v>1695.27</v>
      </c>
      <c r="BG36">
        <v>1715.43</v>
      </c>
      <c r="BH36">
        <v>1732.14</v>
      </c>
      <c r="BI36">
        <v>1790.81</v>
      </c>
      <c r="BJ36">
        <v>1831.46</v>
      </c>
      <c r="BK36">
        <v>1832.31</v>
      </c>
    </row>
    <row r="37" spans="2:68" ht="18" customHeight="1" x14ac:dyDescent="0.25">
      <c r="B37" s="19"/>
      <c r="C37" s="16"/>
      <c r="D37" s="16"/>
      <c r="E37" s="16"/>
      <c r="F37" s="16"/>
      <c r="G37" s="16"/>
      <c r="H37" s="16"/>
      <c r="I37" s="65"/>
      <c r="J37" s="65"/>
      <c r="K37" s="65"/>
      <c r="L37" s="65"/>
      <c r="M37" s="65"/>
      <c r="N37" s="65"/>
      <c r="O37" s="65"/>
      <c r="P37" s="65"/>
      <c r="Q37" s="65"/>
      <c r="R37" s="65"/>
      <c r="S37" s="65"/>
      <c r="T37" s="65"/>
      <c r="U37" s="65"/>
      <c r="V37" s="65"/>
      <c r="W37" s="65"/>
      <c r="X37" s="65"/>
      <c r="Y37" s="65"/>
      <c r="Z37" s="65"/>
      <c r="AA37" s="65"/>
      <c r="AB37" s="65"/>
      <c r="AC37" s="65"/>
      <c r="AD37" s="65"/>
      <c r="AE37" s="65"/>
      <c r="AF37" s="65"/>
      <c r="AG37" s="16"/>
      <c r="AH37" s="16"/>
      <c r="AI37" s="16"/>
      <c r="AJ37" s="16"/>
      <c r="AK37" s="16"/>
      <c r="AL37" s="16"/>
      <c r="AM37" s="16"/>
      <c r="AN37" s="16"/>
      <c r="AO37" s="16"/>
      <c r="AP37" s="16"/>
      <c r="AQ37" s="16"/>
      <c r="AR37" s="16"/>
      <c r="AS37" s="16"/>
      <c r="AT37" s="16"/>
      <c r="AU37" s="16"/>
      <c r="AV37" s="16"/>
      <c r="AW37" s="16"/>
      <c r="AX37" s="16"/>
      <c r="AY37" s="16"/>
      <c r="AZ37" s="16"/>
      <c r="BA37" s="16"/>
      <c r="BB37" s="16"/>
      <c r="BC37" s="16"/>
      <c r="BD37" s="16"/>
      <c r="BE37" s="16"/>
      <c r="BF37" s="16"/>
      <c r="BG37" s="16"/>
      <c r="BH37" s="16"/>
      <c r="BI37" s="16"/>
      <c r="BJ37" s="16"/>
      <c r="BK37" s="16"/>
      <c r="BL37" s="16"/>
      <c r="BM37" s="16"/>
      <c r="BN37" s="16"/>
      <c r="BO37" s="16"/>
      <c r="BP37" s="16"/>
    </row>
    <row r="38" spans="2:68" x14ac:dyDescent="0.25">
      <c r="B38" s="14"/>
      <c r="E38" s="16"/>
      <c r="F38" s="16"/>
      <c r="G38" s="16" t="s">
        <v>239</v>
      </c>
      <c r="H38" s="16"/>
      <c r="I38" s="17">
        <f t="shared" ref="I38:AG38" si="17">SUM(I36:I37)</f>
        <v>0</v>
      </c>
      <c r="J38" s="17">
        <f t="shared" si="17"/>
        <v>0</v>
      </c>
      <c r="K38" s="17">
        <f t="shared" si="17"/>
        <v>0</v>
      </c>
      <c r="L38" s="17">
        <f t="shared" si="17"/>
        <v>0</v>
      </c>
      <c r="M38" s="17">
        <f t="shared" si="17"/>
        <v>0</v>
      </c>
      <c r="N38" s="17">
        <f t="shared" si="17"/>
        <v>0</v>
      </c>
      <c r="O38" s="17">
        <f t="shared" si="17"/>
        <v>0</v>
      </c>
      <c r="P38" s="17">
        <f t="shared" si="17"/>
        <v>0</v>
      </c>
      <c r="Q38" s="17">
        <f t="shared" si="17"/>
        <v>0</v>
      </c>
      <c r="R38" s="17">
        <f t="shared" si="17"/>
        <v>0</v>
      </c>
      <c r="S38" s="17">
        <f t="shared" si="17"/>
        <v>0</v>
      </c>
      <c r="T38" s="17">
        <f t="shared" si="17"/>
        <v>0</v>
      </c>
      <c r="U38" s="17">
        <f t="shared" si="17"/>
        <v>911.21</v>
      </c>
      <c r="V38" s="17">
        <f t="shared" si="17"/>
        <v>834.57</v>
      </c>
      <c r="W38" s="17">
        <f t="shared" si="17"/>
        <v>859.3</v>
      </c>
      <c r="X38" s="17">
        <f t="shared" si="17"/>
        <v>900.62</v>
      </c>
      <c r="Y38" s="17">
        <f t="shared" si="17"/>
        <v>939.49</v>
      </c>
      <c r="Z38" s="17">
        <f t="shared" si="17"/>
        <v>960.97</v>
      </c>
      <c r="AA38" s="17">
        <f t="shared" si="17"/>
        <v>1021.04</v>
      </c>
      <c r="AB38" s="17">
        <f t="shared" si="17"/>
        <v>1051.98</v>
      </c>
      <c r="AC38" s="17">
        <f t="shared" si="17"/>
        <v>1105.19</v>
      </c>
      <c r="AD38" s="17">
        <f t="shared" si="17"/>
        <v>1132.94</v>
      </c>
      <c r="AE38" s="17">
        <f t="shared" si="17"/>
        <v>1173.3499999999999</v>
      </c>
      <c r="AF38" s="17">
        <f t="shared" si="17"/>
        <v>1188.92</v>
      </c>
      <c r="AG38" s="17">
        <f t="shared" si="17"/>
        <v>1196.6199999999999</v>
      </c>
      <c r="AH38" s="17">
        <f>SUM(AH36:AH37)</f>
        <v>1265.97</v>
      </c>
      <c r="AI38" s="17">
        <f>SUM(AI36:AI37)</f>
        <v>1260.3900000000001</v>
      </c>
      <c r="AJ38" s="17">
        <f t="shared" ref="AJ38:AM38" si="18">SUM(AJ36:AJ37)</f>
        <v>1294.3</v>
      </c>
      <c r="AK38" s="17">
        <f t="shared" si="18"/>
        <v>1283.6500000000001</v>
      </c>
      <c r="AL38" s="17">
        <f t="shared" si="18"/>
        <v>1156.3399999999999</v>
      </c>
      <c r="AM38" s="17">
        <f t="shared" si="18"/>
        <v>1100.8699999999999</v>
      </c>
      <c r="AN38" s="17">
        <f>SUM(AN36:AN37)</f>
        <v>1190.28</v>
      </c>
      <c r="AO38" s="17">
        <f>SUM(AO36:AO37)</f>
        <v>1217.8399999999999</v>
      </c>
      <c r="AP38" s="17">
        <f>SUM(AP36:AP37)</f>
        <v>1254.6400000000001</v>
      </c>
      <c r="AQ38" s="17">
        <f>SUM(AQ36:AQ37)</f>
        <v>1250.92</v>
      </c>
      <c r="AR38" s="17">
        <f>SUM(AR36:AR37)</f>
        <v>1305.8800000000001</v>
      </c>
      <c r="AS38" s="17">
        <f t="shared" ref="AS38:BD38" si="19">SUM(AS36:AS37)</f>
        <v>1508.6</v>
      </c>
      <c r="AT38" s="17">
        <f t="shared" si="19"/>
        <v>1557.29</v>
      </c>
      <c r="AU38" s="17">
        <f t="shared" si="19"/>
        <v>1602.01</v>
      </c>
      <c r="AV38" s="17">
        <f t="shared" si="19"/>
        <v>1628.54</v>
      </c>
      <c r="AW38" s="17">
        <f t="shared" si="19"/>
        <v>1666.73</v>
      </c>
      <c r="AX38" s="17">
        <f t="shared" si="19"/>
        <v>1692.25</v>
      </c>
      <c r="AY38" s="17">
        <f t="shared" si="19"/>
        <v>1703.01</v>
      </c>
      <c r="AZ38" s="17">
        <f t="shared" si="19"/>
        <v>1725.51</v>
      </c>
      <c r="BA38" s="17">
        <f t="shared" si="19"/>
        <v>1753.81</v>
      </c>
      <c r="BB38" s="17">
        <f t="shared" si="19"/>
        <v>1779.92</v>
      </c>
      <c r="BC38" s="17">
        <f t="shared" si="19"/>
        <v>1745.62</v>
      </c>
      <c r="BD38" s="17">
        <f t="shared" si="19"/>
        <v>1675.2</v>
      </c>
      <c r="BE38" s="17">
        <f t="shared" ref="BE38:BP38" si="20">SUM(BE36:BE37)</f>
        <v>1666.1</v>
      </c>
      <c r="BF38" s="17">
        <f t="shared" si="20"/>
        <v>1695.27</v>
      </c>
      <c r="BG38" s="17">
        <f t="shared" si="20"/>
        <v>1715.43</v>
      </c>
      <c r="BH38" s="17">
        <f t="shared" si="20"/>
        <v>1732.14</v>
      </c>
      <c r="BI38" s="17">
        <f t="shared" si="20"/>
        <v>1790.81</v>
      </c>
      <c r="BJ38" s="17">
        <f t="shared" si="20"/>
        <v>1831.46</v>
      </c>
      <c r="BK38" s="17">
        <f t="shared" si="20"/>
        <v>1832.31</v>
      </c>
      <c r="BL38" s="17">
        <f t="shared" si="20"/>
        <v>0</v>
      </c>
      <c r="BM38" s="17">
        <f t="shared" si="20"/>
        <v>0</v>
      </c>
      <c r="BN38" s="17">
        <f t="shared" si="20"/>
        <v>0</v>
      </c>
      <c r="BO38" s="17">
        <f t="shared" si="20"/>
        <v>0</v>
      </c>
      <c r="BP38" s="17">
        <f t="shared" si="20"/>
        <v>0</v>
      </c>
    </row>
    <row r="39" spans="2:68" ht="15.75" thickBot="1" x14ac:dyDescent="0.3">
      <c r="B39" s="20"/>
      <c r="C39" s="21"/>
      <c r="D39" s="21"/>
      <c r="E39" s="22"/>
      <c r="F39" s="22"/>
      <c r="G39" s="31"/>
      <c r="H39" s="22"/>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2"/>
      <c r="AI39" s="22"/>
      <c r="AJ39" s="22"/>
      <c r="AK39" s="22"/>
      <c r="AL39" s="22"/>
      <c r="AM39" s="22"/>
      <c r="AN39" s="22"/>
      <c r="AO39" s="22"/>
      <c r="AP39" s="22"/>
      <c r="AQ39" s="22"/>
      <c r="AR39" s="22"/>
      <c r="AS39" s="22"/>
      <c r="AT39" s="22"/>
      <c r="AU39" s="22"/>
      <c r="AV39" s="22"/>
      <c r="AW39" s="22"/>
      <c r="AX39" s="22"/>
      <c r="AY39" s="22"/>
      <c r="AZ39" s="22"/>
      <c r="BA39" s="22"/>
      <c r="BB39" s="22"/>
      <c r="BC39" s="22"/>
      <c r="BD39" s="22"/>
      <c r="BE39" s="22"/>
      <c r="BF39" s="22"/>
      <c r="BG39" s="22"/>
      <c r="BH39" s="22"/>
      <c r="BI39" s="22"/>
      <c r="BJ39" s="22"/>
      <c r="BK39" s="22"/>
      <c r="BL39" s="22"/>
      <c r="BM39" s="22"/>
      <c r="BN39" s="22"/>
      <c r="BO39" s="22"/>
      <c r="BP39" s="22"/>
    </row>
    <row r="40" spans="2:68" ht="15.75" thickBot="1" x14ac:dyDescent="0.3">
      <c r="BE40" s="118"/>
      <c r="BF40" s="118"/>
      <c r="BG40" s="118"/>
      <c r="BH40" s="118"/>
      <c r="BI40" s="118"/>
      <c r="BJ40" s="118"/>
      <c r="BK40" s="118"/>
      <c r="BL40" s="118"/>
      <c r="BM40" s="118"/>
      <c r="BN40" s="118"/>
      <c r="BO40" s="118"/>
      <c r="BP40" s="118"/>
    </row>
    <row r="41" spans="2:68" x14ac:dyDescent="0.25">
      <c r="B41" s="43" t="s">
        <v>250</v>
      </c>
      <c r="C41" s="71" t="s">
        <v>251</v>
      </c>
      <c r="D41" s="10"/>
      <c r="E41" s="10" t="s">
        <v>252</v>
      </c>
      <c r="F41" s="10"/>
      <c r="G41" s="27"/>
      <c r="H41" s="10"/>
      <c r="I41" s="10"/>
      <c r="J41" s="10"/>
      <c r="K41" s="10"/>
      <c r="L41" s="10"/>
      <c r="M41" s="10"/>
      <c r="N41" s="10"/>
      <c r="O41" s="10"/>
      <c r="P41" s="10"/>
      <c r="Q41" s="10"/>
      <c r="R41" s="10"/>
      <c r="S41" s="10"/>
      <c r="T41" s="10"/>
      <c r="U41" s="10">
        <v>693.15</v>
      </c>
      <c r="V41" s="10">
        <v>702.44</v>
      </c>
      <c r="W41" s="10">
        <v>719.39</v>
      </c>
      <c r="X41" s="10">
        <v>735.08</v>
      </c>
      <c r="Y41" s="10">
        <v>745.9</v>
      </c>
      <c r="Z41" s="10">
        <v>726.59</v>
      </c>
      <c r="AA41" s="10">
        <v>717.57</v>
      </c>
      <c r="AB41" s="10">
        <v>707.82</v>
      </c>
      <c r="AC41" s="10">
        <v>698.75</v>
      </c>
      <c r="AD41" s="10">
        <v>702.08</v>
      </c>
      <c r="AE41" s="10">
        <v>705.08</v>
      </c>
      <c r="AF41" s="10">
        <v>713.07</v>
      </c>
      <c r="AG41" s="10">
        <v>712.51</v>
      </c>
      <c r="AH41" s="10">
        <v>708.1</v>
      </c>
      <c r="AI41" s="10">
        <v>713.68</v>
      </c>
      <c r="AJ41" s="10">
        <v>713.53</v>
      </c>
      <c r="AK41" s="10">
        <v>708.16</v>
      </c>
      <c r="AL41" s="10">
        <v>834.47</v>
      </c>
      <c r="AM41" s="10">
        <v>1040.45</v>
      </c>
      <c r="AN41" s="10">
        <v>1063.9100000000001</v>
      </c>
      <c r="AO41" s="10">
        <v>871.32</v>
      </c>
      <c r="AP41" s="10">
        <v>513.16</v>
      </c>
      <c r="AQ41" s="10">
        <v>460.24</v>
      </c>
      <c r="AR41" s="10">
        <v>465.07</v>
      </c>
      <c r="AS41" s="10">
        <v>466.66</v>
      </c>
      <c r="AT41" s="10">
        <v>470.2</v>
      </c>
      <c r="AU41" s="10">
        <v>492.12</v>
      </c>
      <c r="AV41" s="10">
        <v>559.08000000000004</v>
      </c>
      <c r="AW41" s="10">
        <v>565.78</v>
      </c>
      <c r="AX41" s="10">
        <v>566.9</v>
      </c>
      <c r="AY41" s="10">
        <v>597.53</v>
      </c>
      <c r="AZ41" s="10">
        <v>588.04999999999995</v>
      </c>
      <c r="BA41" s="10">
        <v>578.70000000000005</v>
      </c>
      <c r="BB41" s="10">
        <v>588.16</v>
      </c>
      <c r="BC41" s="10">
        <v>579.91</v>
      </c>
      <c r="BD41" s="10">
        <v>486.45</v>
      </c>
      <c r="BE41">
        <v>482.13</v>
      </c>
      <c r="BF41">
        <v>467.48</v>
      </c>
      <c r="BG41">
        <v>462.82</v>
      </c>
      <c r="BH41">
        <v>463.77</v>
      </c>
      <c r="BI41">
        <v>478.57</v>
      </c>
      <c r="BJ41">
        <v>493.83</v>
      </c>
      <c r="BK41">
        <v>484.62</v>
      </c>
    </row>
    <row r="42" spans="2:68" ht="18" customHeight="1" x14ac:dyDescent="0.25">
      <c r="B42" s="19"/>
      <c r="C42" s="16"/>
      <c r="D42" s="16"/>
      <c r="E42" s="16"/>
      <c r="F42" s="16"/>
      <c r="G42" s="16"/>
      <c r="H42" s="16"/>
      <c r="I42" s="65"/>
      <c r="J42" s="65"/>
      <c r="K42" s="65"/>
      <c r="L42" s="65"/>
      <c r="M42" s="65"/>
      <c r="N42" s="65"/>
      <c r="O42" s="65"/>
      <c r="P42" s="65"/>
      <c r="Q42" s="65"/>
      <c r="R42" s="65"/>
      <c r="S42" s="65"/>
      <c r="T42" s="65"/>
      <c r="U42" s="65"/>
      <c r="V42" s="65"/>
      <c r="W42" s="65"/>
      <c r="X42" s="65"/>
      <c r="Y42" s="65"/>
      <c r="Z42" s="65"/>
      <c r="AA42" s="65"/>
      <c r="AB42" s="65"/>
      <c r="AC42" s="65"/>
      <c r="AD42" s="65"/>
      <c r="AE42" s="65"/>
      <c r="AF42" s="65"/>
      <c r="AG42" s="16"/>
      <c r="AH42" s="16"/>
      <c r="AI42" s="16"/>
      <c r="AJ42" s="16"/>
      <c r="AK42" s="16"/>
      <c r="AL42" s="16"/>
      <c r="AM42" s="16"/>
      <c r="AN42" s="16"/>
      <c r="AO42" s="16"/>
      <c r="AP42" s="16"/>
      <c r="AQ42" s="16"/>
      <c r="AR42" s="16"/>
      <c r="AS42" s="16"/>
      <c r="AT42" s="16"/>
      <c r="AU42" s="16"/>
      <c r="AV42" s="16"/>
      <c r="AW42" s="16"/>
      <c r="AX42" s="16"/>
      <c r="AY42" s="16"/>
      <c r="AZ42" s="16"/>
      <c r="BA42" s="16"/>
      <c r="BB42" s="16"/>
      <c r="BC42" s="16"/>
      <c r="BD42" s="16"/>
      <c r="BE42" s="16"/>
      <c r="BF42" s="16"/>
      <c r="BG42" s="16"/>
      <c r="BH42" s="16"/>
      <c r="BI42" s="16"/>
      <c r="BJ42" s="16"/>
      <c r="BK42" s="16"/>
      <c r="BL42" s="16"/>
      <c r="BM42" s="16"/>
      <c r="BN42" s="16"/>
      <c r="BO42" s="16"/>
      <c r="BP42" s="16"/>
    </row>
    <row r="43" spans="2:68" x14ac:dyDescent="0.25">
      <c r="B43" s="14"/>
      <c r="E43" s="16"/>
      <c r="F43" s="16"/>
      <c r="G43" s="16" t="s">
        <v>239</v>
      </c>
      <c r="H43" s="16"/>
      <c r="I43" s="17">
        <f t="shared" ref="I43:AG43" si="21">SUM(I41:I41)</f>
        <v>0</v>
      </c>
      <c r="J43" s="17">
        <f t="shared" si="21"/>
        <v>0</v>
      </c>
      <c r="K43" s="17">
        <f t="shared" si="21"/>
        <v>0</v>
      </c>
      <c r="L43" s="17">
        <f t="shared" si="21"/>
        <v>0</v>
      </c>
      <c r="M43" s="17">
        <f t="shared" si="21"/>
        <v>0</v>
      </c>
      <c r="N43" s="17">
        <f t="shared" si="21"/>
        <v>0</v>
      </c>
      <c r="O43" s="17">
        <f t="shared" si="21"/>
        <v>0</v>
      </c>
      <c r="P43" s="17">
        <f t="shared" si="21"/>
        <v>0</v>
      </c>
      <c r="Q43" s="17">
        <f t="shared" si="21"/>
        <v>0</v>
      </c>
      <c r="R43" s="17">
        <f t="shared" si="21"/>
        <v>0</v>
      </c>
      <c r="S43" s="17">
        <f t="shared" si="21"/>
        <v>0</v>
      </c>
      <c r="T43" s="17">
        <f t="shared" si="21"/>
        <v>0</v>
      </c>
      <c r="U43" s="17">
        <f t="shared" si="21"/>
        <v>693.15</v>
      </c>
      <c r="V43" s="17">
        <f t="shared" si="21"/>
        <v>702.44</v>
      </c>
      <c r="W43" s="17">
        <f t="shared" si="21"/>
        <v>719.39</v>
      </c>
      <c r="X43" s="17">
        <f t="shared" si="21"/>
        <v>735.08</v>
      </c>
      <c r="Y43" s="17">
        <f t="shared" si="21"/>
        <v>745.9</v>
      </c>
      <c r="Z43" s="17">
        <f t="shared" si="21"/>
        <v>726.59</v>
      </c>
      <c r="AA43" s="17">
        <f t="shared" si="21"/>
        <v>717.57</v>
      </c>
      <c r="AB43" s="17">
        <f t="shared" si="21"/>
        <v>707.82</v>
      </c>
      <c r="AC43" s="17">
        <f t="shared" si="21"/>
        <v>698.75</v>
      </c>
      <c r="AD43" s="17">
        <f t="shared" si="21"/>
        <v>702.08</v>
      </c>
      <c r="AE43" s="17">
        <f t="shared" si="21"/>
        <v>705.08</v>
      </c>
      <c r="AF43" s="17">
        <f t="shared" si="21"/>
        <v>713.07</v>
      </c>
      <c r="AG43" s="17">
        <f t="shared" si="21"/>
        <v>712.51</v>
      </c>
      <c r="AH43" s="17">
        <f>SUM(AH41:AH41)</f>
        <v>708.1</v>
      </c>
      <c r="AI43" s="17">
        <f>SUM(AI41:AI41)</f>
        <v>713.68</v>
      </c>
      <c r="AJ43" s="17">
        <f t="shared" ref="AJ43:AM43" si="22">SUM(AJ41:AJ41)</f>
        <v>713.53</v>
      </c>
      <c r="AK43" s="17">
        <f t="shared" si="22"/>
        <v>708.16</v>
      </c>
      <c r="AL43" s="17">
        <f t="shared" si="22"/>
        <v>834.47</v>
      </c>
      <c r="AM43" s="17">
        <f t="shared" si="22"/>
        <v>1040.45</v>
      </c>
      <c r="AN43" s="17">
        <f>SUM(AN41:AN41)</f>
        <v>1063.9100000000001</v>
      </c>
      <c r="AO43" s="17">
        <f>SUM(AO41:AO41)</f>
        <v>871.32</v>
      </c>
      <c r="AP43" s="17">
        <f>SUM(AP41:AP41)</f>
        <v>513.16</v>
      </c>
      <c r="AQ43" s="17">
        <f>SUM(AQ41:AQ41)</f>
        <v>460.24</v>
      </c>
      <c r="AR43" s="17">
        <f>SUM(AR41:AR41)</f>
        <v>465.07</v>
      </c>
      <c r="AS43" s="17">
        <f t="shared" ref="AS43:BD43" si="23">SUM(AS41:AS41)</f>
        <v>466.66</v>
      </c>
      <c r="AT43" s="17">
        <f t="shared" si="23"/>
        <v>470.2</v>
      </c>
      <c r="AU43" s="17">
        <f t="shared" si="23"/>
        <v>492.12</v>
      </c>
      <c r="AV43" s="17">
        <f t="shared" si="23"/>
        <v>559.08000000000004</v>
      </c>
      <c r="AW43" s="17">
        <f t="shared" si="23"/>
        <v>565.78</v>
      </c>
      <c r="AX43" s="17">
        <f t="shared" si="23"/>
        <v>566.9</v>
      </c>
      <c r="AY43" s="17">
        <f t="shared" si="23"/>
        <v>597.53</v>
      </c>
      <c r="AZ43" s="17">
        <f t="shared" si="23"/>
        <v>588.04999999999995</v>
      </c>
      <c r="BA43" s="17">
        <f t="shared" si="23"/>
        <v>578.70000000000005</v>
      </c>
      <c r="BB43" s="17">
        <f t="shared" si="23"/>
        <v>588.16</v>
      </c>
      <c r="BC43" s="17">
        <f t="shared" si="23"/>
        <v>579.91</v>
      </c>
      <c r="BD43" s="17">
        <f t="shared" si="23"/>
        <v>486.45</v>
      </c>
      <c r="BE43" s="17">
        <f t="shared" ref="BE43:BP43" si="24">SUM(BE41:BE41)</f>
        <v>482.13</v>
      </c>
      <c r="BF43" s="17">
        <f t="shared" si="24"/>
        <v>467.48</v>
      </c>
      <c r="BG43" s="17">
        <f t="shared" si="24"/>
        <v>462.82</v>
      </c>
      <c r="BH43" s="17">
        <f t="shared" si="24"/>
        <v>463.77</v>
      </c>
      <c r="BI43" s="17">
        <f t="shared" si="24"/>
        <v>478.57</v>
      </c>
      <c r="BJ43" s="17">
        <f t="shared" si="24"/>
        <v>493.83</v>
      </c>
      <c r="BK43" s="17">
        <f t="shared" si="24"/>
        <v>484.62</v>
      </c>
      <c r="BL43" s="17">
        <f t="shared" si="24"/>
        <v>0</v>
      </c>
      <c r="BM43" s="17">
        <f t="shared" si="24"/>
        <v>0</v>
      </c>
      <c r="BN43" s="17">
        <f t="shared" si="24"/>
        <v>0</v>
      </c>
      <c r="BO43" s="17">
        <f t="shared" si="24"/>
        <v>0</v>
      </c>
      <c r="BP43" s="17">
        <f t="shared" si="24"/>
        <v>0</v>
      </c>
    </row>
    <row r="44" spans="2:68" ht="15.75" thickBot="1" x14ac:dyDescent="0.3">
      <c r="B44" s="20"/>
      <c r="C44" s="21"/>
      <c r="D44" s="21"/>
      <c r="E44" s="22"/>
      <c r="F44" s="22"/>
      <c r="G44" s="22"/>
      <c r="H44" s="22"/>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2"/>
      <c r="AI44" s="22"/>
      <c r="AJ44" s="22"/>
      <c r="AK44" s="22"/>
      <c r="AL44" s="22"/>
      <c r="AM44" s="22"/>
      <c r="AN44" s="22"/>
      <c r="AO44" s="22"/>
      <c r="AP44" s="22"/>
      <c r="AQ44" s="22"/>
      <c r="AR44" s="22"/>
      <c r="AS44" s="22"/>
      <c r="AT44" s="22"/>
      <c r="AU44" s="22"/>
      <c r="AV44" s="22"/>
      <c r="AW44" s="22"/>
      <c r="AX44" s="22"/>
      <c r="AY44" s="22"/>
      <c r="AZ44" s="22"/>
      <c r="BA44" s="22"/>
      <c r="BB44" s="22"/>
      <c r="BC44" s="22"/>
      <c r="BD44" s="22"/>
      <c r="BE44" s="22"/>
      <c r="BF44" s="22"/>
      <c r="BG44" s="22"/>
      <c r="BH44" s="22"/>
      <c r="BI44" s="22"/>
      <c r="BJ44" s="22"/>
      <c r="BK44" s="22"/>
      <c r="BL44" s="22"/>
      <c r="BM44" s="22"/>
      <c r="BN44" s="22"/>
      <c r="BO44" s="22"/>
      <c r="BP44" s="22"/>
    </row>
    <row r="45" spans="2:68" ht="15.75" thickBot="1" x14ac:dyDescent="0.3">
      <c r="BE45" s="118"/>
      <c r="BF45" s="118"/>
      <c r="BG45" s="118"/>
      <c r="BH45" s="118"/>
      <c r="BI45" s="118"/>
      <c r="BJ45" s="118"/>
      <c r="BK45" s="118"/>
      <c r="BL45" s="118"/>
      <c r="BM45" s="118"/>
      <c r="BN45" s="118"/>
      <c r="BO45" s="118"/>
      <c r="BP45" s="118"/>
    </row>
    <row r="46" spans="2:68" x14ac:dyDescent="0.25">
      <c r="B46" s="43" t="s">
        <v>253</v>
      </c>
      <c r="C46" s="71" t="s">
        <v>254</v>
      </c>
      <c r="D46" s="10"/>
      <c r="E46" s="79" t="s">
        <v>255</v>
      </c>
      <c r="F46" s="10"/>
      <c r="G46" s="27"/>
      <c r="H46" s="10"/>
      <c r="I46" s="44"/>
      <c r="J46" s="44"/>
      <c r="K46" s="44"/>
      <c r="L46" s="44"/>
      <c r="M46" s="44"/>
      <c r="N46" s="44"/>
      <c r="O46" s="44"/>
      <c r="P46" s="44"/>
      <c r="Q46" s="44"/>
      <c r="R46" s="44"/>
      <c r="S46" s="44"/>
      <c r="T46" s="10"/>
      <c r="U46" s="10">
        <v>0</v>
      </c>
      <c r="V46" s="10">
        <v>0.3</v>
      </c>
      <c r="W46" s="10">
        <v>0.06</v>
      </c>
      <c r="X46" s="10">
        <v>0.05</v>
      </c>
      <c r="Y46" s="10">
        <v>0.95</v>
      </c>
      <c r="Z46" s="10">
        <v>0.06</v>
      </c>
      <c r="AA46" s="10">
        <v>0.1</v>
      </c>
      <c r="AB46" s="10">
        <v>0.43</v>
      </c>
      <c r="AC46" s="10">
        <v>0.84</v>
      </c>
      <c r="AD46" s="10">
        <v>2.11</v>
      </c>
      <c r="AE46" s="10">
        <v>4.26</v>
      </c>
      <c r="AF46" s="10">
        <v>6.58</v>
      </c>
      <c r="AG46" s="10">
        <v>7.5</v>
      </c>
      <c r="AH46" s="10">
        <v>7.3</v>
      </c>
      <c r="AI46" s="10">
        <v>3.99</v>
      </c>
      <c r="AJ46" s="10">
        <v>4.71</v>
      </c>
      <c r="AK46" s="10">
        <v>5.57</v>
      </c>
      <c r="AL46" s="10">
        <v>6.34</v>
      </c>
      <c r="AM46" s="10">
        <v>7.47</v>
      </c>
      <c r="AN46" s="10">
        <v>8.5299999999999994</v>
      </c>
      <c r="AO46" s="10">
        <v>8.6300000000000008</v>
      </c>
      <c r="AP46" s="10">
        <v>9.39</v>
      </c>
      <c r="AQ46" s="10">
        <v>9.8699999999999992</v>
      </c>
      <c r="AR46" s="10">
        <v>10.55</v>
      </c>
      <c r="AS46" s="10">
        <v>11.04</v>
      </c>
      <c r="AT46" s="10">
        <v>11.7</v>
      </c>
      <c r="AU46" s="10">
        <v>11.65</v>
      </c>
      <c r="AV46" s="10">
        <v>12.93</v>
      </c>
      <c r="AW46" s="10">
        <v>13.34</v>
      </c>
      <c r="AX46" s="10">
        <v>13.78</v>
      </c>
      <c r="AY46" s="10">
        <v>13.64</v>
      </c>
      <c r="AZ46" s="10">
        <v>14.32</v>
      </c>
      <c r="BA46" s="10">
        <v>15.06</v>
      </c>
      <c r="BB46" s="10">
        <v>15</v>
      </c>
      <c r="BC46" s="10">
        <v>15.12</v>
      </c>
      <c r="BD46" s="10">
        <v>16.05</v>
      </c>
      <c r="BE46">
        <v>15.2</v>
      </c>
      <c r="BF46">
        <v>15.79</v>
      </c>
      <c r="BG46">
        <v>15.68</v>
      </c>
      <c r="BH46">
        <v>16.260000000000002</v>
      </c>
      <c r="BI46">
        <v>18.399999999999999</v>
      </c>
      <c r="BJ46">
        <v>23</v>
      </c>
      <c r="BK46">
        <v>25.9</v>
      </c>
    </row>
    <row r="47" spans="2:68" x14ac:dyDescent="0.25">
      <c r="B47" s="42"/>
      <c r="C47" s="61"/>
      <c r="E47" s="77" t="s">
        <v>321</v>
      </c>
      <c r="G47" s="45"/>
      <c r="I47" s="8"/>
      <c r="J47" s="8"/>
      <c r="K47" s="8"/>
      <c r="L47" s="8"/>
      <c r="M47" s="8"/>
      <c r="N47" s="8"/>
      <c r="O47" s="8"/>
      <c r="P47" s="8"/>
      <c r="Q47" s="8"/>
      <c r="R47" s="8"/>
      <c r="S47" s="8"/>
      <c r="U47">
        <v>0</v>
      </c>
      <c r="V47">
        <v>0</v>
      </c>
      <c r="W47">
        <v>0</v>
      </c>
      <c r="X47">
        <v>0</v>
      </c>
      <c r="Y47">
        <v>0</v>
      </c>
      <c r="Z47">
        <v>0</v>
      </c>
      <c r="AA47">
        <v>0</v>
      </c>
      <c r="AB47">
        <v>0</v>
      </c>
      <c r="AC47">
        <v>0</v>
      </c>
      <c r="AD47">
        <v>0</v>
      </c>
      <c r="AE47">
        <v>0</v>
      </c>
      <c r="AF47">
        <v>0</v>
      </c>
      <c r="AG47">
        <v>0</v>
      </c>
      <c r="AH47">
        <v>0</v>
      </c>
      <c r="AI47">
        <v>0</v>
      </c>
      <c r="AJ47">
        <v>0</v>
      </c>
      <c r="AK47">
        <v>0.05</v>
      </c>
      <c r="AL47">
        <v>21.53</v>
      </c>
      <c r="AM47">
        <v>118.01</v>
      </c>
      <c r="AN47">
        <v>187.29</v>
      </c>
      <c r="AO47">
        <v>259.77</v>
      </c>
      <c r="AP47">
        <v>301.85000000000002</v>
      </c>
      <c r="AQ47">
        <v>349.24</v>
      </c>
      <c r="AR47">
        <v>410</v>
      </c>
      <c r="AS47">
        <v>475.83</v>
      </c>
      <c r="AT47">
        <v>576.19000000000005</v>
      </c>
      <c r="AU47">
        <v>586.1</v>
      </c>
      <c r="AV47">
        <v>601.77</v>
      </c>
      <c r="AW47">
        <v>665.61</v>
      </c>
      <c r="AX47">
        <v>756.12</v>
      </c>
      <c r="AY47">
        <v>833.98</v>
      </c>
      <c r="AZ47">
        <v>920.54</v>
      </c>
      <c r="BA47">
        <v>986.41</v>
      </c>
      <c r="BB47">
        <v>1063.58</v>
      </c>
      <c r="BC47">
        <v>1167.1600000000001</v>
      </c>
      <c r="BD47">
        <v>1238.5</v>
      </c>
      <c r="BE47">
        <v>1319.98</v>
      </c>
      <c r="BF47">
        <v>1372.92</v>
      </c>
      <c r="BG47">
        <v>1391.47</v>
      </c>
      <c r="BH47">
        <v>1472.86</v>
      </c>
      <c r="BI47">
        <v>1573.5</v>
      </c>
      <c r="BJ47">
        <v>1654.43</v>
      </c>
      <c r="BK47">
        <v>1723.57</v>
      </c>
    </row>
    <row r="48" spans="2:68" x14ac:dyDescent="0.25">
      <c r="B48" s="42"/>
      <c r="C48" s="61"/>
      <c r="E48" s="77" t="s">
        <v>322</v>
      </c>
      <c r="G48" s="45"/>
      <c r="I48" s="8"/>
      <c r="J48" s="8"/>
      <c r="K48" s="8"/>
      <c r="L48" s="8"/>
      <c r="M48" s="8"/>
      <c r="N48" s="8"/>
      <c r="O48" s="8"/>
      <c r="P48" s="8"/>
      <c r="Q48" s="8"/>
      <c r="R48" s="8"/>
      <c r="S48" s="8"/>
      <c r="U48">
        <v>0</v>
      </c>
      <c r="V48">
        <v>0</v>
      </c>
      <c r="W48">
        <v>0</v>
      </c>
      <c r="X48">
        <v>0</v>
      </c>
      <c r="Y48">
        <v>0</v>
      </c>
      <c r="Z48">
        <v>0</v>
      </c>
      <c r="AA48">
        <v>0</v>
      </c>
      <c r="AB48">
        <v>0</v>
      </c>
      <c r="AC48">
        <v>0</v>
      </c>
      <c r="AD48">
        <v>0</v>
      </c>
      <c r="AE48">
        <v>0</v>
      </c>
      <c r="AF48">
        <v>0</v>
      </c>
      <c r="AG48">
        <v>0</v>
      </c>
      <c r="AH48">
        <v>0</v>
      </c>
      <c r="AI48">
        <v>0</v>
      </c>
      <c r="AJ48">
        <v>0</v>
      </c>
      <c r="AK48">
        <v>0</v>
      </c>
      <c r="AL48">
        <v>0.12</v>
      </c>
      <c r="AM48">
        <v>0.1</v>
      </c>
      <c r="AN48">
        <v>0.1</v>
      </c>
      <c r="AO48">
        <v>0.11</v>
      </c>
      <c r="AP48">
        <v>0.14000000000000001</v>
      </c>
      <c r="AQ48">
        <v>0.14000000000000001</v>
      </c>
      <c r="AR48">
        <v>0.15</v>
      </c>
      <c r="AS48">
        <v>0.18</v>
      </c>
      <c r="AT48">
        <v>0.18</v>
      </c>
      <c r="AU48">
        <v>0.19</v>
      </c>
      <c r="AV48">
        <v>0.23</v>
      </c>
      <c r="AW48">
        <v>0.22</v>
      </c>
      <c r="AX48">
        <v>0.22</v>
      </c>
      <c r="AY48">
        <v>0.36</v>
      </c>
      <c r="AZ48">
        <v>0.37</v>
      </c>
      <c r="BA48">
        <v>0.37</v>
      </c>
      <c r="BB48">
        <v>0.57999999999999996</v>
      </c>
      <c r="BC48">
        <v>0.59</v>
      </c>
      <c r="BD48">
        <v>0.63</v>
      </c>
      <c r="BE48">
        <v>1.51</v>
      </c>
      <c r="BF48">
        <v>1.55</v>
      </c>
      <c r="BG48">
        <v>1.59</v>
      </c>
      <c r="BH48">
        <v>2.0699999999999998</v>
      </c>
      <c r="BI48">
        <v>1.99</v>
      </c>
      <c r="BJ48">
        <v>1.92</v>
      </c>
      <c r="BK48">
        <v>5.85</v>
      </c>
    </row>
    <row r="49" spans="2:68" x14ac:dyDescent="0.25">
      <c r="B49" s="42"/>
      <c r="C49" s="61"/>
      <c r="E49" s="77" t="s">
        <v>323</v>
      </c>
      <c r="G49" s="45"/>
      <c r="I49" s="8"/>
      <c r="J49" s="8"/>
      <c r="K49" s="8"/>
      <c r="L49" s="8"/>
      <c r="M49" s="8"/>
      <c r="N49" s="8"/>
      <c r="O49" s="8"/>
      <c r="P49" s="8"/>
      <c r="Q49" s="8"/>
      <c r="R49" s="8"/>
      <c r="S49" s="8"/>
      <c r="U49">
        <v>0</v>
      </c>
      <c r="V49">
        <v>0</v>
      </c>
      <c r="W49">
        <v>0</v>
      </c>
      <c r="X49">
        <v>0</v>
      </c>
      <c r="Y49">
        <v>0</v>
      </c>
      <c r="Z49">
        <v>0</v>
      </c>
      <c r="AA49">
        <v>0</v>
      </c>
      <c r="AB49">
        <v>0</v>
      </c>
      <c r="AC49">
        <v>0</v>
      </c>
      <c r="AD49">
        <v>0</v>
      </c>
      <c r="AE49">
        <v>0</v>
      </c>
      <c r="AF49">
        <v>0</v>
      </c>
      <c r="AG49">
        <v>0</v>
      </c>
      <c r="AH49">
        <v>0</v>
      </c>
      <c r="AI49">
        <v>0</v>
      </c>
      <c r="AJ49">
        <v>0</v>
      </c>
      <c r="AK49">
        <v>0</v>
      </c>
      <c r="AL49">
        <v>0</v>
      </c>
      <c r="AM49">
        <v>0</v>
      </c>
      <c r="AN49">
        <v>0</v>
      </c>
      <c r="AO49">
        <v>0</v>
      </c>
      <c r="AP49">
        <v>0</v>
      </c>
      <c r="AQ49">
        <v>0</v>
      </c>
      <c r="AR49">
        <v>0</v>
      </c>
      <c r="AS49">
        <v>9.9000000000000005E-2</v>
      </c>
      <c r="AT49">
        <v>9.8000000000000004E-2</v>
      </c>
      <c r="AU49">
        <v>9.9000000000000005E-2</v>
      </c>
      <c r="AV49">
        <v>9.9000000000000005E-2</v>
      </c>
      <c r="AW49">
        <v>9.6000000000000002E-2</v>
      </c>
      <c r="AX49">
        <v>0.1</v>
      </c>
      <c r="AY49">
        <v>0.1</v>
      </c>
      <c r="AZ49">
        <v>0.1</v>
      </c>
      <c r="BA49">
        <v>0.1</v>
      </c>
      <c r="BB49">
        <v>0.1</v>
      </c>
      <c r="BC49">
        <v>0.1</v>
      </c>
      <c r="BD49">
        <v>0.11</v>
      </c>
      <c r="BE49">
        <v>1.04</v>
      </c>
      <c r="BF49">
        <v>1.04</v>
      </c>
      <c r="BG49">
        <v>1.04</v>
      </c>
      <c r="BH49">
        <v>1.04</v>
      </c>
      <c r="BI49">
        <v>1.04</v>
      </c>
      <c r="BJ49">
        <v>1.05</v>
      </c>
      <c r="BK49">
        <v>1.03</v>
      </c>
    </row>
    <row r="50" spans="2:68" x14ac:dyDescent="0.25">
      <c r="B50" s="42"/>
      <c r="C50" s="61"/>
      <c r="E50" s="77" t="s">
        <v>324</v>
      </c>
      <c r="G50" s="45"/>
      <c r="I50" s="8"/>
      <c r="J50" s="8"/>
      <c r="K50" s="8"/>
      <c r="L50" s="8"/>
      <c r="M50" s="8"/>
      <c r="N50" s="8"/>
      <c r="O50" s="8"/>
      <c r="P50" s="8"/>
      <c r="Q50" s="8"/>
      <c r="R50" s="8"/>
      <c r="S50" s="8"/>
      <c r="U50">
        <v>0</v>
      </c>
      <c r="V50">
        <v>0</v>
      </c>
      <c r="W50">
        <v>0</v>
      </c>
      <c r="X50">
        <v>0</v>
      </c>
      <c r="Y50">
        <v>0</v>
      </c>
      <c r="Z50">
        <v>0</v>
      </c>
      <c r="AA50">
        <v>0</v>
      </c>
      <c r="AB50">
        <v>0</v>
      </c>
      <c r="AC50">
        <v>0</v>
      </c>
      <c r="AD50">
        <v>0</v>
      </c>
      <c r="AE50">
        <v>0</v>
      </c>
      <c r="AF50">
        <v>0</v>
      </c>
      <c r="AG50">
        <v>0</v>
      </c>
      <c r="AH50">
        <v>0</v>
      </c>
      <c r="AI50">
        <v>0</v>
      </c>
      <c r="AJ50">
        <v>0</v>
      </c>
      <c r="AK50">
        <v>0</v>
      </c>
      <c r="AL50">
        <v>0</v>
      </c>
      <c r="AM50">
        <v>0</v>
      </c>
      <c r="AN50">
        <v>0</v>
      </c>
      <c r="AO50">
        <v>0</v>
      </c>
      <c r="AP50">
        <v>0</v>
      </c>
      <c r="AQ50">
        <v>0</v>
      </c>
      <c r="AR50">
        <v>0</v>
      </c>
      <c r="AS50">
        <v>0</v>
      </c>
      <c r="AT50">
        <v>0</v>
      </c>
      <c r="AU50">
        <v>0</v>
      </c>
      <c r="AV50">
        <v>0</v>
      </c>
      <c r="AW50">
        <v>0</v>
      </c>
      <c r="AX50">
        <v>0</v>
      </c>
      <c r="AY50">
        <v>0</v>
      </c>
      <c r="AZ50">
        <v>0</v>
      </c>
      <c r="BA50">
        <v>0</v>
      </c>
      <c r="BB50">
        <v>0</v>
      </c>
      <c r="BC50">
        <v>0</v>
      </c>
      <c r="BD50">
        <v>0</v>
      </c>
      <c r="BE50">
        <v>0.11</v>
      </c>
      <c r="BF50">
        <v>0.11</v>
      </c>
      <c r="BG50">
        <v>0.11</v>
      </c>
      <c r="BH50">
        <v>0.11</v>
      </c>
      <c r="BI50">
        <v>0.11</v>
      </c>
      <c r="BJ50">
        <v>0.11</v>
      </c>
      <c r="BK50">
        <v>0.11</v>
      </c>
    </row>
    <row r="51" spans="2:68" x14ac:dyDescent="0.25">
      <c r="B51" s="42"/>
      <c r="C51" s="61"/>
      <c r="E51" s="77" t="s">
        <v>325</v>
      </c>
      <c r="G51" s="45"/>
      <c r="I51" s="8"/>
      <c r="J51" s="8"/>
      <c r="K51" s="8"/>
      <c r="L51" s="8"/>
      <c r="M51" s="8"/>
      <c r="N51" s="8"/>
      <c r="O51" s="8"/>
      <c r="P51" s="8"/>
      <c r="Q51" s="8"/>
      <c r="R51" s="8"/>
      <c r="S51" s="8"/>
      <c r="U51">
        <v>0</v>
      </c>
      <c r="V51">
        <v>0</v>
      </c>
      <c r="W51">
        <v>0</v>
      </c>
      <c r="X51">
        <v>0</v>
      </c>
      <c r="Y51">
        <v>0</v>
      </c>
      <c r="Z51">
        <v>0</v>
      </c>
      <c r="AA51">
        <v>0</v>
      </c>
      <c r="AB51">
        <v>0</v>
      </c>
      <c r="AC51">
        <v>0</v>
      </c>
      <c r="AD51">
        <v>0</v>
      </c>
      <c r="AE51">
        <v>0</v>
      </c>
      <c r="AF51">
        <v>0</v>
      </c>
      <c r="AG51">
        <v>0</v>
      </c>
      <c r="AH51">
        <v>0</v>
      </c>
      <c r="AI51">
        <v>0</v>
      </c>
      <c r="AJ51">
        <v>0</v>
      </c>
      <c r="AK51">
        <v>0</v>
      </c>
      <c r="AL51">
        <v>0</v>
      </c>
      <c r="AM51">
        <v>0</v>
      </c>
      <c r="AN51">
        <v>0</v>
      </c>
      <c r="AO51">
        <v>0</v>
      </c>
      <c r="AP51">
        <v>0</v>
      </c>
      <c r="AQ51">
        <v>0</v>
      </c>
      <c r="AR51">
        <v>0</v>
      </c>
      <c r="AS51">
        <v>0</v>
      </c>
      <c r="AT51">
        <v>0</v>
      </c>
      <c r="AU51">
        <v>0</v>
      </c>
      <c r="AV51">
        <v>0</v>
      </c>
      <c r="AW51">
        <v>0</v>
      </c>
      <c r="AX51">
        <v>0</v>
      </c>
      <c r="AY51">
        <v>0</v>
      </c>
      <c r="AZ51">
        <v>0</v>
      </c>
      <c r="BA51">
        <v>0</v>
      </c>
      <c r="BB51">
        <v>0</v>
      </c>
      <c r="BC51">
        <v>0</v>
      </c>
      <c r="BD51">
        <v>0</v>
      </c>
      <c r="BE51">
        <v>0</v>
      </c>
      <c r="BF51">
        <v>0</v>
      </c>
      <c r="BG51">
        <v>0</v>
      </c>
      <c r="BH51">
        <v>0</v>
      </c>
      <c r="BI51">
        <v>0</v>
      </c>
      <c r="BJ51">
        <v>0</v>
      </c>
      <c r="BK51">
        <v>0</v>
      </c>
    </row>
    <row r="52" spans="2:68" x14ac:dyDescent="0.25">
      <c r="B52" s="14"/>
      <c r="E52" s="77" t="s">
        <v>307</v>
      </c>
      <c r="G52" s="45"/>
      <c r="I52" s="8"/>
      <c r="J52" s="8"/>
      <c r="K52" s="8"/>
      <c r="L52" s="8"/>
      <c r="M52" s="8"/>
      <c r="N52" s="8"/>
      <c r="O52" s="8"/>
      <c r="P52" s="8"/>
      <c r="Q52" s="8"/>
      <c r="R52" s="8"/>
      <c r="S52" s="8"/>
      <c r="T52" s="8"/>
      <c r="U52" s="8">
        <v>17.440000000000001</v>
      </c>
      <c r="V52" s="8">
        <v>17.21</v>
      </c>
      <c r="W52" s="8">
        <v>17.55</v>
      </c>
      <c r="X52" s="8">
        <v>17.78</v>
      </c>
      <c r="Y52" s="8">
        <v>18.2</v>
      </c>
      <c r="Z52" s="8">
        <v>18.579999999999998</v>
      </c>
      <c r="AA52" s="8">
        <v>18.7</v>
      </c>
      <c r="AB52" s="8">
        <v>19</v>
      </c>
      <c r="AC52" s="8">
        <v>19.239999999999998</v>
      </c>
      <c r="AD52" s="8">
        <v>19.600000000000001</v>
      </c>
      <c r="AE52" s="8">
        <v>20.14</v>
      </c>
      <c r="AF52" s="8">
        <v>21.29</v>
      </c>
      <c r="AG52" s="8">
        <v>21.23</v>
      </c>
      <c r="AH52" s="8">
        <v>26.34</v>
      </c>
      <c r="AI52" s="8">
        <v>19.77</v>
      </c>
      <c r="AJ52" s="8">
        <v>20.04</v>
      </c>
      <c r="AK52" s="8">
        <v>20.39</v>
      </c>
      <c r="AL52" s="8">
        <v>20.66</v>
      </c>
      <c r="AM52" s="8">
        <v>23.77</v>
      </c>
      <c r="AN52" s="8">
        <v>25.61</v>
      </c>
      <c r="AO52" s="8">
        <v>26.11</v>
      </c>
      <c r="AP52" s="8">
        <v>26.55</v>
      </c>
      <c r="AQ52" s="8">
        <v>25.86</v>
      </c>
      <c r="AR52" s="8">
        <v>25.8</v>
      </c>
      <c r="AS52" s="8">
        <v>25.28</v>
      </c>
      <c r="AT52" s="8">
        <v>25.16</v>
      </c>
      <c r="AU52" s="8">
        <v>24.73</v>
      </c>
      <c r="AV52" s="8">
        <v>24.52</v>
      </c>
      <c r="AW52" s="8">
        <v>24.29</v>
      </c>
      <c r="AX52" s="8">
        <v>24.04</v>
      </c>
      <c r="AY52" s="8">
        <v>23.76</v>
      </c>
      <c r="AZ52" s="8">
        <v>23.28</v>
      </c>
      <c r="BA52" s="8">
        <v>22.69</v>
      </c>
      <c r="BB52" s="8">
        <v>21.8</v>
      </c>
      <c r="BC52" s="8">
        <v>20.97</v>
      </c>
      <c r="BD52" s="8">
        <v>19.28</v>
      </c>
      <c r="BE52" s="8">
        <v>17.760000000000002</v>
      </c>
      <c r="BF52" s="8">
        <v>17.77</v>
      </c>
      <c r="BG52" s="8">
        <v>17.77</v>
      </c>
      <c r="BH52" s="8">
        <v>17.77</v>
      </c>
      <c r="BI52" s="8">
        <v>17.77</v>
      </c>
      <c r="BJ52" s="8">
        <v>17.77</v>
      </c>
      <c r="BK52" s="8">
        <v>17.2</v>
      </c>
    </row>
    <row r="53" spans="2:68" ht="16.5" customHeight="1" x14ac:dyDescent="0.25">
      <c r="B53" s="19"/>
      <c r="C53" s="16"/>
      <c r="D53" s="16"/>
      <c r="E53" s="16"/>
      <c r="F53" s="16"/>
      <c r="G53" s="16"/>
      <c r="H53" s="16"/>
      <c r="I53" s="65"/>
      <c r="J53" s="65"/>
      <c r="K53" s="65"/>
      <c r="L53" s="65"/>
      <c r="M53" s="65"/>
      <c r="N53" s="65"/>
      <c r="O53" s="65"/>
      <c r="P53" s="65"/>
      <c r="Q53" s="65"/>
      <c r="R53" s="65"/>
      <c r="S53" s="65"/>
      <c r="T53" s="65"/>
      <c r="U53" s="65"/>
      <c r="V53" s="65"/>
      <c r="W53" s="65"/>
      <c r="X53" s="65"/>
      <c r="Y53" s="65"/>
      <c r="Z53" s="65"/>
      <c r="AA53" s="65"/>
      <c r="AB53" s="65"/>
      <c r="AC53" s="65"/>
      <c r="AD53" s="65"/>
      <c r="AE53" s="65"/>
      <c r="AF53" s="65"/>
      <c r="AG53" s="16"/>
      <c r="AH53" s="16"/>
      <c r="AI53" s="16"/>
      <c r="AJ53" s="16"/>
      <c r="AK53" s="16"/>
      <c r="AL53" s="16"/>
      <c r="AM53" s="16"/>
      <c r="AN53" s="16"/>
      <c r="AO53" s="16"/>
      <c r="AP53" s="16"/>
      <c r="AQ53" s="16"/>
      <c r="AR53" s="16"/>
      <c r="AS53" s="16"/>
      <c r="AT53" s="16"/>
      <c r="AU53" s="16"/>
      <c r="AV53" s="16"/>
      <c r="AW53" s="16"/>
      <c r="AX53" s="16"/>
      <c r="AY53" s="16"/>
      <c r="AZ53" s="16"/>
      <c r="BA53" s="16"/>
      <c r="BB53" s="16"/>
      <c r="BC53" s="16"/>
      <c r="BD53" s="16"/>
      <c r="BE53" s="16"/>
      <c r="BF53" s="16"/>
      <c r="BG53" s="16"/>
      <c r="BH53" s="16"/>
      <c r="BI53" s="16"/>
      <c r="BJ53" s="16"/>
      <c r="BK53" s="16"/>
      <c r="BL53" s="16"/>
      <c r="BM53" s="16"/>
      <c r="BN53" s="16"/>
      <c r="BO53" s="16"/>
      <c r="BP53" s="16"/>
    </row>
    <row r="54" spans="2:68" x14ac:dyDescent="0.25">
      <c r="B54" s="14"/>
      <c r="E54" s="16"/>
      <c r="F54" s="16"/>
      <c r="G54" s="16" t="s">
        <v>239</v>
      </c>
      <c r="H54" s="16"/>
      <c r="I54" s="17">
        <f t="shared" ref="I54:AM54" si="25">SUM(I46:I53)</f>
        <v>0</v>
      </c>
      <c r="J54" s="17">
        <f t="shared" si="25"/>
        <v>0</v>
      </c>
      <c r="K54" s="17">
        <f t="shared" si="25"/>
        <v>0</v>
      </c>
      <c r="L54" s="17">
        <f t="shared" si="25"/>
        <v>0</v>
      </c>
      <c r="M54" s="17">
        <f t="shared" si="25"/>
        <v>0</v>
      </c>
      <c r="N54" s="17">
        <f t="shared" si="25"/>
        <v>0</v>
      </c>
      <c r="O54" s="17">
        <f t="shared" si="25"/>
        <v>0</v>
      </c>
      <c r="P54" s="17">
        <f t="shared" si="25"/>
        <v>0</v>
      </c>
      <c r="Q54" s="17">
        <f t="shared" si="25"/>
        <v>0</v>
      </c>
      <c r="R54" s="17">
        <f t="shared" si="25"/>
        <v>0</v>
      </c>
      <c r="S54" s="17">
        <f t="shared" si="25"/>
        <v>0</v>
      </c>
      <c r="T54" s="17">
        <f t="shared" si="25"/>
        <v>0</v>
      </c>
      <c r="U54" s="17">
        <f t="shared" si="25"/>
        <v>17.440000000000001</v>
      </c>
      <c r="V54" s="17">
        <f t="shared" si="25"/>
        <v>17.510000000000002</v>
      </c>
      <c r="W54" s="17">
        <f t="shared" si="25"/>
        <v>17.61</v>
      </c>
      <c r="X54" s="17">
        <f t="shared" si="25"/>
        <v>17.830000000000002</v>
      </c>
      <c r="Y54" s="17">
        <f t="shared" si="25"/>
        <v>19.149999999999999</v>
      </c>
      <c r="Z54" s="17">
        <f t="shared" si="25"/>
        <v>18.639999999999997</v>
      </c>
      <c r="AA54" s="17">
        <f t="shared" si="25"/>
        <v>18.8</v>
      </c>
      <c r="AB54" s="17">
        <f t="shared" si="25"/>
        <v>19.43</v>
      </c>
      <c r="AC54" s="17">
        <f t="shared" si="25"/>
        <v>20.079999999999998</v>
      </c>
      <c r="AD54" s="17">
        <f t="shared" si="25"/>
        <v>21.71</v>
      </c>
      <c r="AE54" s="17">
        <f t="shared" si="25"/>
        <v>24.4</v>
      </c>
      <c r="AF54" s="17">
        <f t="shared" si="25"/>
        <v>27.869999999999997</v>
      </c>
      <c r="AG54" s="17">
        <f t="shared" si="25"/>
        <v>28.73</v>
      </c>
      <c r="AH54" s="17">
        <f t="shared" si="25"/>
        <v>33.64</v>
      </c>
      <c r="AI54" s="17">
        <f t="shared" si="25"/>
        <v>23.759999999999998</v>
      </c>
      <c r="AJ54" s="17">
        <f t="shared" si="25"/>
        <v>24.75</v>
      </c>
      <c r="AK54" s="17">
        <f t="shared" si="25"/>
        <v>26.01</v>
      </c>
      <c r="AL54" s="17">
        <f t="shared" si="25"/>
        <v>48.650000000000006</v>
      </c>
      <c r="AM54" s="17">
        <f t="shared" si="25"/>
        <v>149.35</v>
      </c>
      <c r="AN54" s="17">
        <f>SUM(AN46:AN53)</f>
        <v>221.52999999999997</v>
      </c>
      <c r="AO54" s="17">
        <f>SUM(AO46:AO53)</f>
        <v>294.62</v>
      </c>
      <c r="AP54" s="17">
        <f>SUM(AP46:AP53)</f>
        <v>337.93</v>
      </c>
      <c r="AQ54" s="17">
        <f>SUM(AQ46:AQ53)</f>
        <v>385.11</v>
      </c>
      <c r="AR54" s="17">
        <f>SUM(AR46:AR53)</f>
        <v>446.5</v>
      </c>
      <c r="AS54" s="17">
        <f t="shared" ref="AS54:BD54" si="26">SUM(AS46:AS53)</f>
        <v>512.42899999999997</v>
      </c>
      <c r="AT54" s="17">
        <f t="shared" si="26"/>
        <v>613.32799999999997</v>
      </c>
      <c r="AU54" s="17">
        <f t="shared" si="26"/>
        <v>622.76900000000012</v>
      </c>
      <c r="AV54" s="17">
        <f t="shared" si="26"/>
        <v>639.54899999999998</v>
      </c>
      <c r="AW54" s="17">
        <f t="shared" si="26"/>
        <v>703.55600000000004</v>
      </c>
      <c r="AX54" s="17">
        <f t="shared" si="26"/>
        <v>794.26</v>
      </c>
      <c r="AY54" s="17">
        <f t="shared" si="26"/>
        <v>871.84</v>
      </c>
      <c r="AZ54" s="17">
        <f t="shared" si="26"/>
        <v>958.61</v>
      </c>
      <c r="BA54" s="17">
        <f t="shared" si="26"/>
        <v>1024.6299999999999</v>
      </c>
      <c r="BB54" s="17">
        <f t="shared" si="26"/>
        <v>1101.0599999999997</v>
      </c>
      <c r="BC54" s="17">
        <f t="shared" si="26"/>
        <v>1203.9399999999998</v>
      </c>
      <c r="BD54" s="17">
        <f t="shared" si="26"/>
        <v>1274.57</v>
      </c>
      <c r="BE54" s="17">
        <f t="shared" ref="BE54:BP54" si="27">SUM(BE46:BE53)</f>
        <v>1355.6</v>
      </c>
      <c r="BF54" s="17">
        <f t="shared" si="27"/>
        <v>1409.1799999999998</v>
      </c>
      <c r="BG54" s="17">
        <f t="shared" si="27"/>
        <v>1427.6599999999999</v>
      </c>
      <c r="BH54" s="17">
        <f t="shared" si="27"/>
        <v>1510.1099999999997</v>
      </c>
      <c r="BI54" s="17">
        <f t="shared" si="27"/>
        <v>1612.81</v>
      </c>
      <c r="BJ54" s="17">
        <f t="shared" si="27"/>
        <v>1698.28</v>
      </c>
      <c r="BK54" s="17">
        <f t="shared" si="27"/>
        <v>1773.6599999999999</v>
      </c>
      <c r="BL54" s="17">
        <f t="shared" si="27"/>
        <v>0</v>
      </c>
      <c r="BM54" s="17">
        <f t="shared" si="27"/>
        <v>0</v>
      </c>
      <c r="BN54" s="17">
        <f t="shared" si="27"/>
        <v>0</v>
      </c>
      <c r="BO54" s="17">
        <f t="shared" si="27"/>
        <v>0</v>
      </c>
      <c r="BP54" s="17">
        <f t="shared" si="27"/>
        <v>0</v>
      </c>
    </row>
    <row r="55" spans="2:68" ht="15.75" thickBot="1" x14ac:dyDescent="0.3">
      <c r="B55" s="20"/>
      <c r="C55" s="21"/>
      <c r="D55" s="21"/>
      <c r="E55" s="22"/>
      <c r="F55" s="22"/>
      <c r="G55" s="22"/>
      <c r="H55" s="22"/>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2"/>
      <c r="AI55" s="22"/>
      <c r="AJ55" s="22"/>
      <c r="AK55" s="22"/>
      <c r="AL55" s="22"/>
      <c r="AM55" s="22"/>
      <c r="AN55" s="22"/>
      <c r="AO55" s="22"/>
      <c r="AP55" s="22"/>
      <c r="AQ55" s="22"/>
      <c r="AR55" s="22"/>
      <c r="AS55" s="22"/>
      <c r="AT55" s="22"/>
      <c r="AU55" s="22"/>
      <c r="AV55" s="22"/>
      <c r="AW55" s="22"/>
      <c r="AX55" s="22"/>
      <c r="AY55" s="22"/>
      <c r="AZ55" s="22"/>
      <c r="BA55" s="22"/>
      <c r="BB55" s="22"/>
      <c r="BC55" s="22"/>
      <c r="BD55" s="22"/>
      <c r="BE55" s="22"/>
      <c r="BF55" s="22"/>
      <c r="BG55" s="22"/>
      <c r="BH55" s="22"/>
      <c r="BI55" s="22"/>
      <c r="BJ55" s="22"/>
      <c r="BK55" s="22"/>
      <c r="BL55" s="22"/>
      <c r="BM55" s="22"/>
      <c r="BN55" s="22"/>
      <c r="BO55" s="22"/>
      <c r="BP55" s="22"/>
    </row>
    <row r="56" spans="2:68" ht="15.75" thickBot="1" x14ac:dyDescent="0.3">
      <c r="BE56" s="118"/>
      <c r="BF56" s="118"/>
      <c r="BG56" s="118"/>
      <c r="BH56" s="118"/>
      <c r="BI56" s="118"/>
      <c r="BJ56" s="118"/>
      <c r="BK56" s="118"/>
      <c r="BL56" s="118"/>
      <c r="BM56" s="118"/>
      <c r="BN56" s="118"/>
      <c r="BO56" s="118"/>
      <c r="BP56" s="118"/>
    </row>
    <row r="57" spans="2:68" x14ac:dyDescent="0.25">
      <c r="B57" s="43" t="s">
        <v>256</v>
      </c>
      <c r="C57" s="71" t="s">
        <v>257</v>
      </c>
      <c r="D57" s="10"/>
      <c r="E57" s="79" t="s">
        <v>258</v>
      </c>
      <c r="F57" s="10"/>
      <c r="G57" s="27"/>
      <c r="H57" s="10"/>
      <c r="I57" s="44"/>
      <c r="J57" s="44"/>
      <c r="K57" s="44"/>
      <c r="L57" s="44"/>
      <c r="M57" s="44"/>
      <c r="N57" s="44"/>
      <c r="O57" s="44"/>
      <c r="P57" s="44"/>
      <c r="Q57" s="44"/>
      <c r="R57" s="44"/>
      <c r="S57" s="44"/>
      <c r="T57" s="10"/>
      <c r="U57" s="10">
        <v>759.02</v>
      </c>
      <c r="V57" s="10">
        <v>754.34</v>
      </c>
      <c r="W57" s="10">
        <v>765.22</v>
      </c>
      <c r="X57" s="10">
        <v>852.67</v>
      </c>
      <c r="Y57" s="10">
        <v>1538.09</v>
      </c>
      <c r="Z57" s="10">
        <v>1155.5</v>
      </c>
      <c r="AA57" s="10">
        <v>723.58</v>
      </c>
      <c r="AB57" s="10">
        <v>655.01</v>
      </c>
      <c r="AC57" s="10">
        <v>575.24</v>
      </c>
      <c r="AD57" s="10">
        <v>599.14</v>
      </c>
      <c r="AE57" s="10">
        <v>659.14</v>
      </c>
      <c r="AF57" s="10">
        <v>685.01</v>
      </c>
      <c r="AG57" s="10">
        <v>697.8</v>
      </c>
      <c r="AH57" s="10">
        <v>687.54</v>
      </c>
      <c r="AI57" s="10">
        <v>703.84</v>
      </c>
      <c r="AJ57" s="10">
        <v>714.22</v>
      </c>
      <c r="AK57" s="10">
        <v>760.51</v>
      </c>
      <c r="AL57" s="10">
        <v>744.89</v>
      </c>
      <c r="AM57" s="10">
        <v>723.32</v>
      </c>
      <c r="AN57" s="10">
        <v>757.59</v>
      </c>
      <c r="AO57" s="10">
        <v>798.36</v>
      </c>
      <c r="AP57" s="10">
        <v>788.97</v>
      </c>
      <c r="AQ57" s="10">
        <v>796.55</v>
      </c>
      <c r="AR57" s="10">
        <v>806.4</v>
      </c>
      <c r="AS57" s="10">
        <v>764.9</v>
      </c>
      <c r="AT57" s="10">
        <v>777.86</v>
      </c>
      <c r="AU57" s="10">
        <v>788.56</v>
      </c>
      <c r="AV57" s="10">
        <v>796.26</v>
      </c>
      <c r="AW57" s="10">
        <v>811.68</v>
      </c>
      <c r="AX57" s="10">
        <v>800.14</v>
      </c>
      <c r="AY57" s="10">
        <v>798.77</v>
      </c>
      <c r="AZ57" s="10">
        <v>811.19</v>
      </c>
      <c r="BA57" s="10">
        <v>819.55</v>
      </c>
      <c r="BB57" s="10">
        <v>826.48</v>
      </c>
      <c r="BC57" s="10">
        <v>837.63</v>
      </c>
      <c r="BD57" s="10">
        <v>847.37</v>
      </c>
      <c r="BE57">
        <v>857.81</v>
      </c>
      <c r="BF57">
        <v>884.33</v>
      </c>
      <c r="BG57">
        <v>910.5</v>
      </c>
      <c r="BH57">
        <v>939.23</v>
      </c>
      <c r="BI57">
        <v>977.73</v>
      </c>
      <c r="BJ57">
        <v>1011.85</v>
      </c>
      <c r="BK57">
        <v>1000.53</v>
      </c>
    </row>
    <row r="58" spans="2:68" x14ac:dyDescent="0.25">
      <c r="B58" s="42"/>
      <c r="C58" s="61"/>
      <c r="E58" s="77" t="s">
        <v>259</v>
      </c>
      <c r="G58" s="45"/>
      <c r="I58" s="8"/>
      <c r="J58" s="8"/>
      <c r="K58" s="8"/>
      <c r="L58" s="8"/>
      <c r="M58" s="8"/>
      <c r="N58" s="8"/>
      <c r="O58" s="8"/>
      <c r="P58" s="8"/>
      <c r="Q58" s="8"/>
      <c r="R58" s="8"/>
      <c r="S58" s="8"/>
      <c r="U58">
        <v>0</v>
      </c>
      <c r="V58">
        <v>0</v>
      </c>
      <c r="W58">
        <v>0</v>
      </c>
      <c r="X58">
        <v>0</v>
      </c>
      <c r="Y58">
        <v>0</v>
      </c>
      <c r="Z58">
        <v>0</v>
      </c>
      <c r="AA58">
        <v>0</v>
      </c>
      <c r="AB58">
        <v>0</v>
      </c>
      <c r="AC58">
        <v>0</v>
      </c>
      <c r="AD58">
        <v>0</v>
      </c>
      <c r="AE58">
        <v>0</v>
      </c>
      <c r="AF58">
        <v>0</v>
      </c>
      <c r="AG58">
        <v>0</v>
      </c>
      <c r="AH58">
        <v>0</v>
      </c>
      <c r="AI58">
        <v>0</v>
      </c>
      <c r="AJ58">
        <v>0</v>
      </c>
      <c r="AK58">
        <v>0</v>
      </c>
      <c r="AL58">
        <v>0</v>
      </c>
      <c r="AM58">
        <v>0</v>
      </c>
      <c r="AN58">
        <v>0</v>
      </c>
      <c r="AO58">
        <v>0</v>
      </c>
      <c r="AP58">
        <v>0</v>
      </c>
      <c r="AQ58">
        <v>0</v>
      </c>
      <c r="AR58">
        <v>0</v>
      </c>
      <c r="AS58" s="8">
        <v>0</v>
      </c>
      <c r="AT58" s="8">
        <v>0</v>
      </c>
      <c r="AU58" s="8">
        <v>0</v>
      </c>
      <c r="AV58" s="8">
        <v>0</v>
      </c>
      <c r="AW58" s="8">
        <v>0</v>
      </c>
      <c r="AX58" s="8">
        <v>0</v>
      </c>
      <c r="AY58" s="8">
        <v>0</v>
      </c>
      <c r="AZ58" s="8">
        <v>0</v>
      </c>
      <c r="BA58" s="8">
        <v>0</v>
      </c>
      <c r="BB58" s="8">
        <v>0</v>
      </c>
      <c r="BC58" s="8">
        <v>0</v>
      </c>
      <c r="BD58" s="8">
        <v>0</v>
      </c>
      <c r="BE58" s="8">
        <v>0</v>
      </c>
      <c r="BF58" s="8">
        <v>0</v>
      </c>
      <c r="BG58" s="8">
        <v>0</v>
      </c>
      <c r="BH58" s="8">
        <v>0</v>
      </c>
      <c r="BI58" s="8">
        <v>0</v>
      </c>
      <c r="BJ58" s="8">
        <v>0</v>
      </c>
      <c r="BK58" s="8">
        <v>0</v>
      </c>
    </row>
    <row r="59" spans="2:68" x14ac:dyDescent="0.25">
      <c r="B59" s="14"/>
      <c r="E59" s="77" t="s">
        <v>260</v>
      </c>
      <c r="G59" s="45"/>
      <c r="I59" s="8"/>
      <c r="J59" s="8"/>
      <c r="K59" s="8"/>
      <c r="L59" s="8"/>
      <c r="M59" s="8"/>
      <c r="N59" s="8"/>
      <c r="O59" s="8"/>
      <c r="P59" s="8"/>
      <c r="Q59" s="8"/>
      <c r="R59" s="8"/>
      <c r="S59" s="8"/>
      <c r="T59" s="8"/>
      <c r="U59" s="8">
        <v>41.48</v>
      </c>
      <c r="V59" s="8">
        <v>41.09</v>
      </c>
      <c r="W59" s="8">
        <v>41.35</v>
      </c>
      <c r="X59" s="8">
        <v>43.55</v>
      </c>
      <c r="Y59" s="8">
        <v>43.83</v>
      </c>
      <c r="Z59" s="8">
        <v>44.9</v>
      </c>
      <c r="AA59" s="8">
        <v>46.05</v>
      </c>
      <c r="AB59" s="8">
        <v>46.73</v>
      </c>
      <c r="AC59" s="8">
        <v>47</v>
      </c>
      <c r="AD59" s="8">
        <v>612.84</v>
      </c>
      <c r="AE59" s="8">
        <v>46.35</v>
      </c>
      <c r="AF59" s="8">
        <v>46.11</v>
      </c>
      <c r="AG59" s="82">
        <v>45.86</v>
      </c>
      <c r="AH59" s="8">
        <v>45.62</v>
      </c>
      <c r="AI59" s="8">
        <v>45.41</v>
      </c>
      <c r="AJ59" s="8">
        <v>45.34</v>
      </c>
      <c r="AK59" s="8">
        <v>45.35</v>
      </c>
      <c r="AL59" s="8">
        <v>45.35</v>
      </c>
      <c r="AM59" s="8">
        <v>51.39</v>
      </c>
      <c r="AN59" s="8">
        <v>53.1</v>
      </c>
      <c r="AO59" s="8">
        <v>53.1</v>
      </c>
      <c r="AP59" s="8">
        <v>53.1</v>
      </c>
      <c r="AQ59" s="8">
        <v>53.1</v>
      </c>
      <c r="AR59" s="8">
        <v>53.1</v>
      </c>
      <c r="AS59" s="8">
        <v>53.1</v>
      </c>
      <c r="AT59" s="8">
        <v>53.1</v>
      </c>
      <c r="AU59" s="8">
        <v>53.1</v>
      </c>
      <c r="AV59" s="8">
        <v>21.24</v>
      </c>
      <c r="AW59" s="8">
        <v>0</v>
      </c>
      <c r="AX59" s="8">
        <v>0</v>
      </c>
      <c r="AY59" s="8">
        <v>0</v>
      </c>
      <c r="AZ59" s="8">
        <v>0</v>
      </c>
      <c r="BA59" s="8">
        <v>0</v>
      </c>
      <c r="BB59" s="8">
        <v>0</v>
      </c>
      <c r="BC59" s="8">
        <v>0</v>
      </c>
      <c r="BD59" s="8">
        <v>0</v>
      </c>
      <c r="BE59" s="8">
        <v>0</v>
      </c>
      <c r="BF59" s="8">
        <v>0</v>
      </c>
      <c r="BG59" s="8">
        <v>0</v>
      </c>
      <c r="BH59" s="8">
        <v>0</v>
      </c>
      <c r="BI59" s="8">
        <v>0</v>
      </c>
      <c r="BJ59" s="8">
        <v>0</v>
      </c>
      <c r="BK59" s="8">
        <v>0</v>
      </c>
    </row>
    <row r="60" spans="2:68" x14ac:dyDescent="0.25">
      <c r="B60" s="14"/>
      <c r="E60" s="77" t="s">
        <v>326</v>
      </c>
      <c r="G60" s="45"/>
      <c r="I60" s="8"/>
      <c r="J60" s="8"/>
      <c r="K60" s="8"/>
      <c r="L60" s="8"/>
      <c r="M60" s="8"/>
      <c r="N60" s="8"/>
      <c r="O60" s="8"/>
      <c r="P60" s="8"/>
      <c r="Q60" s="8"/>
      <c r="R60" s="8"/>
      <c r="S60" s="8"/>
      <c r="T60" s="8"/>
      <c r="U60">
        <v>0</v>
      </c>
      <c r="V60">
        <v>0</v>
      </c>
      <c r="W60">
        <v>0</v>
      </c>
      <c r="X60">
        <v>0</v>
      </c>
      <c r="Y60">
        <v>0</v>
      </c>
      <c r="Z60">
        <v>0</v>
      </c>
      <c r="AA60">
        <v>0</v>
      </c>
      <c r="AB60">
        <v>0</v>
      </c>
      <c r="AC60">
        <v>0</v>
      </c>
      <c r="AD60">
        <v>0</v>
      </c>
      <c r="AE60">
        <v>0</v>
      </c>
      <c r="AF60">
        <v>0</v>
      </c>
      <c r="AG60">
        <v>0</v>
      </c>
      <c r="AH60">
        <v>0</v>
      </c>
      <c r="AI60">
        <v>0</v>
      </c>
      <c r="AJ60">
        <v>0</v>
      </c>
      <c r="AK60">
        <v>0</v>
      </c>
      <c r="AL60">
        <v>0</v>
      </c>
      <c r="AM60">
        <v>0</v>
      </c>
      <c r="AN60">
        <v>0</v>
      </c>
      <c r="AO60">
        <v>0</v>
      </c>
      <c r="AP60" s="8">
        <v>0</v>
      </c>
      <c r="AQ60" s="8">
        <v>0</v>
      </c>
      <c r="AR60" s="8">
        <v>0</v>
      </c>
      <c r="AS60" s="8">
        <v>0</v>
      </c>
      <c r="AT60" s="8">
        <v>0</v>
      </c>
      <c r="AU60" s="8">
        <v>0</v>
      </c>
      <c r="AV60" s="8">
        <v>0</v>
      </c>
      <c r="AW60" s="8">
        <v>0</v>
      </c>
      <c r="AX60" s="8">
        <v>0</v>
      </c>
      <c r="AY60" s="8">
        <v>0</v>
      </c>
      <c r="AZ60" s="8">
        <v>0</v>
      </c>
      <c r="BA60" s="8">
        <v>0</v>
      </c>
      <c r="BB60" s="8">
        <v>0</v>
      </c>
      <c r="BC60" s="8">
        <v>0</v>
      </c>
      <c r="BD60" s="8">
        <v>0</v>
      </c>
      <c r="BE60" s="8">
        <v>0</v>
      </c>
      <c r="BF60" s="8">
        <v>0</v>
      </c>
      <c r="BG60" s="8">
        <v>0</v>
      </c>
      <c r="BH60" s="8">
        <v>0</v>
      </c>
      <c r="BI60" s="8">
        <v>0</v>
      </c>
      <c r="BJ60" s="8">
        <v>0</v>
      </c>
      <c r="BK60" s="8">
        <v>0</v>
      </c>
    </row>
    <row r="61" spans="2:68" x14ac:dyDescent="0.25">
      <c r="B61" s="14"/>
      <c r="E61" s="77" t="s">
        <v>327</v>
      </c>
      <c r="G61" s="45"/>
      <c r="I61" s="8"/>
      <c r="J61" s="8"/>
      <c r="K61" s="8"/>
      <c r="L61" s="8"/>
      <c r="M61" s="8"/>
      <c r="N61" s="8"/>
      <c r="O61" s="8"/>
      <c r="P61" s="8"/>
      <c r="Q61" s="8"/>
      <c r="R61" s="8"/>
      <c r="S61" s="8"/>
      <c r="T61" s="8"/>
      <c r="U61">
        <v>0</v>
      </c>
      <c r="V61">
        <v>0</v>
      </c>
      <c r="W61">
        <v>0</v>
      </c>
      <c r="X61">
        <v>0</v>
      </c>
      <c r="Y61">
        <v>0</v>
      </c>
      <c r="Z61">
        <v>0</v>
      </c>
      <c r="AA61">
        <v>0</v>
      </c>
      <c r="AB61">
        <v>0</v>
      </c>
      <c r="AC61">
        <v>0</v>
      </c>
      <c r="AD61">
        <v>0</v>
      </c>
      <c r="AE61">
        <v>0</v>
      </c>
      <c r="AF61">
        <v>0</v>
      </c>
      <c r="AG61">
        <v>0</v>
      </c>
      <c r="AH61">
        <v>0</v>
      </c>
      <c r="AI61">
        <v>0</v>
      </c>
      <c r="AJ61">
        <v>0</v>
      </c>
      <c r="AK61">
        <v>0</v>
      </c>
      <c r="AL61">
        <v>0</v>
      </c>
      <c r="AM61">
        <v>0</v>
      </c>
      <c r="AN61">
        <v>1.01</v>
      </c>
      <c r="AO61">
        <v>2.4500000000000002</v>
      </c>
      <c r="AP61" s="8">
        <v>3.1</v>
      </c>
      <c r="AQ61" s="8">
        <v>3.37</v>
      </c>
      <c r="AR61" s="8">
        <v>3.53</v>
      </c>
      <c r="AS61" s="8">
        <v>3.99</v>
      </c>
      <c r="AT61" s="8">
        <v>4.18</v>
      </c>
      <c r="AU61" s="8">
        <v>4.3</v>
      </c>
      <c r="AV61" s="8">
        <v>4.7300000000000004</v>
      </c>
      <c r="AW61" s="8">
        <v>4.83</v>
      </c>
      <c r="AX61" s="8">
        <v>4.93</v>
      </c>
      <c r="AY61" s="8">
        <v>5.36</v>
      </c>
      <c r="AZ61" s="8">
        <v>5.46</v>
      </c>
      <c r="BA61" s="8">
        <v>5.62</v>
      </c>
      <c r="BB61" s="8">
        <v>8.4</v>
      </c>
      <c r="BC61" s="8">
        <v>8.51</v>
      </c>
      <c r="BD61" s="8">
        <v>8.6</v>
      </c>
      <c r="BE61" s="8">
        <v>8.8800000000000008</v>
      </c>
      <c r="BF61" s="8">
        <v>8.94</v>
      </c>
      <c r="BG61" s="8">
        <v>9.02</v>
      </c>
      <c r="BH61" s="8">
        <v>9.2799999999999994</v>
      </c>
      <c r="BI61" s="8">
        <v>9.33</v>
      </c>
      <c r="BJ61" s="8">
        <v>9.4</v>
      </c>
      <c r="BK61" s="8">
        <v>9.32</v>
      </c>
    </row>
    <row r="62" spans="2:68" x14ac:dyDescent="0.25">
      <c r="B62" s="14"/>
      <c r="E62" s="77" t="s">
        <v>328</v>
      </c>
      <c r="G62" s="45"/>
      <c r="I62" s="8"/>
      <c r="J62" s="8"/>
      <c r="K62" s="8"/>
      <c r="L62" s="8"/>
      <c r="M62" s="8"/>
      <c r="N62" s="8"/>
      <c r="O62" s="8"/>
      <c r="P62" s="8"/>
      <c r="Q62" s="8"/>
      <c r="R62" s="8"/>
      <c r="S62" s="8"/>
      <c r="T62" s="8"/>
      <c r="U62">
        <v>0</v>
      </c>
      <c r="V62">
        <v>0</v>
      </c>
      <c r="W62">
        <v>0</v>
      </c>
      <c r="X62">
        <v>0</v>
      </c>
      <c r="Y62">
        <v>0</v>
      </c>
      <c r="Z62">
        <v>0</v>
      </c>
      <c r="AA62">
        <v>0</v>
      </c>
      <c r="AB62">
        <v>0</v>
      </c>
      <c r="AC62">
        <v>0</v>
      </c>
      <c r="AD62">
        <v>0</v>
      </c>
      <c r="AE62">
        <v>0</v>
      </c>
      <c r="AF62">
        <v>0</v>
      </c>
      <c r="AG62">
        <v>0</v>
      </c>
      <c r="AH62">
        <v>0</v>
      </c>
      <c r="AI62">
        <v>0</v>
      </c>
      <c r="AJ62">
        <v>0</v>
      </c>
      <c r="AK62">
        <v>0</v>
      </c>
      <c r="AL62">
        <v>0</v>
      </c>
      <c r="AM62">
        <v>0</v>
      </c>
      <c r="AN62">
        <v>0</v>
      </c>
      <c r="AO62">
        <v>0</v>
      </c>
      <c r="AP62" s="8">
        <v>0</v>
      </c>
      <c r="AQ62" s="8">
        <v>0</v>
      </c>
      <c r="AR62" s="8">
        <v>0</v>
      </c>
      <c r="AS62" s="8">
        <v>0</v>
      </c>
      <c r="AT62" s="8">
        <v>0</v>
      </c>
      <c r="AU62" s="8">
        <v>0</v>
      </c>
      <c r="AV62" s="8">
        <v>0</v>
      </c>
      <c r="AW62" s="8">
        <v>0</v>
      </c>
      <c r="AX62" s="8">
        <v>0</v>
      </c>
      <c r="AY62" s="8">
        <v>0</v>
      </c>
      <c r="AZ62" s="8">
        <v>0</v>
      </c>
      <c r="BA62" s="8">
        <v>0</v>
      </c>
      <c r="BB62" s="8">
        <v>0</v>
      </c>
      <c r="BC62" s="8">
        <v>0</v>
      </c>
      <c r="BD62" s="8">
        <v>0</v>
      </c>
      <c r="BE62" s="8">
        <v>0</v>
      </c>
      <c r="BF62" s="8">
        <v>0</v>
      </c>
      <c r="BG62" s="8">
        <v>0</v>
      </c>
      <c r="BH62" s="8">
        <v>0</v>
      </c>
      <c r="BI62" s="8">
        <v>0</v>
      </c>
      <c r="BJ62" s="8">
        <v>0</v>
      </c>
      <c r="BK62" s="8">
        <v>0</v>
      </c>
    </row>
    <row r="63" spans="2:68" x14ac:dyDescent="0.25">
      <c r="B63" s="14"/>
      <c r="E63" s="77" t="s">
        <v>329</v>
      </c>
      <c r="G63" s="45"/>
      <c r="I63" s="8"/>
      <c r="J63" s="8"/>
      <c r="K63" s="8"/>
      <c r="L63" s="8"/>
      <c r="M63" s="8"/>
      <c r="N63" s="8"/>
      <c r="O63" s="8"/>
      <c r="P63" s="8"/>
      <c r="Q63" s="8"/>
      <c r="R63" s="8"/>
      <c r="S63" s="8"/>
      <c r="T63" s="8"/>
      <c r="U63">
        <v>0</v>
      </c>
      <c r="V63">
        <v>0</v>
      </c>
      <c r="W63">
        <v>0</v>
      </c>
      <c r="X63">
        <v>0</v>
      </c>
      <c r="Y63">
        <v>0</v>
      </c>
      <c r="Z63">
        <v>0</v>
      </c>
      <c r="AA63">
        <v>0</v>
      </c>
      <c r="AB63">
        <v>0</v>
      </c>
      <c r="AC63">
        <v>0</v>
      </c>
      <c r="AD63">
        <v>0</v>
      </c>
      <c r="AE63">
        <v>0</v>
      </c>
      <c r="AF63">
        <v>0</v>
      </c>
      <c r="AG63">
        <v>0</v>
      </c>
      <c r="AH63">
        <v>0</v>
      </c>
      <c r="AI63">
        <v>0</v>
      </c>
      <c r="AJ63">
        <v>0</v>
      </c>
      <c r="AK63">
        <v>0</v>
      </c>
      <c r="AL63">
        <v>0</v>
      </c>
      <c r="AM63">
        <v>0</v>
      </c>
      <c r="AN63">
        <v>0.98</v>
      </c>
      <c r="AO63">
        <v>2.21</v>
      </c>
      <c r="AP63">
        <v>2.2799999999999998</v>
      </c>
      <c r="AQ63">
        <v>2.2799999999999998</v>
      </c>
      <c r="AR63">
        <v>2.2799999999999998</v>
      </c>
      <c r="AS63" s="8">
        <v>2.73</v>
      </c>
      <c r="AT63" s="8">
        <v>2.78</v>
      </c>
      <c r="AU63" s="8">
        <v>2.78</v>
      </c>
      <c r="AV63" s="8">
        <v>2.88</v>
      </c>
      <c r="AW63" s="8">
        <v>2.9</v>
      </c>
      <c r="AX63" s="8">
        <v>2.9</v>
      </c>
      <c r="AY63" s="8">
        <v>2.9</v>
      </c>
      <c r="AZ63" s="8">
        <v>2.9</v>
      </c>
      <c r="BA63" s="8">
        <v>2.9</v>
      </c>
      <c r="BB63" s="8">
        <v>2.9</v>
      </c>
      <c r="BC63" s="8">
        <v>2.9</v>
      </c>
      <c r="BD63" s="8">
        <v>3.09</v>
      </c>
      <c r="BE63" s="8">
        <v>5.1100000000000003</v>
      </c>
      <c r="BF63" s="8">
        <v>5.13</v>
      </c>
      <c r="BG63" s="8">
        <v>5.26</v>
      </c>
      <c r="BH63" s="8">
        <v>5.29</v>
      </c>
      <c r="BI63" s="8">
        <v>5.29</v>
      </c>
      <c r="BJ63" s="8">
        <v>5.29</v>
      </c>
      <c r="BK63" s="8">
        <v>5.12</v>
      </c>
    </row>
    <row r="64" spans="2:68" x14ac:dyDescent="0.25">
      <c r="B64" s="14"/>
      <c r="E64" s="77" t="s">
        <v>330</v>
      </c>
      <c r="G64" s="45"/>
      <c r="I64" s="8"/>
      <c r="J64" s="8"/>
      <c r="K64" s="8"/>
      <c r="L64" s="8"/>
      <c r="M64" s="8"/>
      <c r="N64" s="8"/>
      <c r="O64" s="8"/>
      <c r="P64" s="8"/>
      <c r="Q64" s="8"/>
      <c r="R64" s="8"/>
      <c r="S64" s="8"/>
      <c r="T64" s="8"/>
      <c r="U64">
        <v>0</v>
      </c>
      <c r="V64">
        <v>0</v>
      </c>
      <c r="W64">
        <v>0</v>
      </c>
      <c r="X64">
        <v>0</v>
      </c>
      <c r="Y64">
        <v>0</v>
      </c>
      <c r="Z64">
        <v>0</v>
      </c>
      <c r="AA64">
        <v>0</v>
      </c>
      <c r="AB64">
        <v>0</v>
      </c>
      <c r="AC64">
        <v>0</v>
      </c>
      <c r="AD64">
        <v>0</v>
      </c>
      <c r="AE64">
        <v>0</v>
      </c>
      <c r="AF64">
        <v>0</v>
      </c>
      <c r="AG64">
        <v>0</v>
      </c>
      <c r="AH64">
        <v>0</v>
      </c>
      <c r="AI64">
        <v>0</v>
      </c>
      <c r="AJ64">
        <v>0</v>
      </c>
      <c r="AK64">
        <v>0</v>
      </c>
      <c r="AL64">
        <v>0</v>
      </c>
      <c r="AM64">
        <v>0</v>
      </c>
      <c r="AN64">
        <v>9.36</v>
      </c>
      <c r="AO64">
        <v>64.27</v>
      </c>
      <c r="AP64" s="8">
        <v>173.02</v>
      </c>
      <c r="AQ64" s="8">
        <v>252.99</v>
      </c>
      <c r="AR64" s="8">
        <v>331.68</v>
      </c>
      <c r="AS64" s="8">
        <v>400</v>
      </c>
      <c r="AT64" s="8">
        <v>450</v>
      </c>
      <c r="AU64" s="8">
        <v>513.5</v>
      </c>
      <c r="AV64" s="8">
        <v>595.16</v>
      </c>
      <c r="AW64" s="8">
        <v>662.91</v>
      </c>
      <c r="AX64" s="8">
        <v>747.55</v>
      </c>
      <c r="AY64" s="8">
        <v>820.66</v>
      </c>
      <c r="AZ64" s="8">
        <v>885.11</v>
      </c>
      <c r="BA64" s="8">
        <v>943</v>
      </c>
      <c r="BB64" s="8">
        <v>1010.72</v>
      </c>
      <c r="BC64" s="8">
        <v>1054.74</v>
      </c>
      <c r="BD64" s="8">
        <v>1143.55</v>
      </c>
      <c r="BE64" s="8">
        <v>1184.31</v>
      </c>
      <c r="BF64" s="8">
        <v>1269.5899999999999</v>
      </c>
      <c r="BG64" s="8">
        <v>1301.8399999999999</v>
      </c>
      <c r="BH64" s="8">
        <v>1392.4</v>
      </c>
      <c r="BI64" s="8">
        <v>1432.17</v>
      </c>
      <c r="BJ64" s="8">
        <v>1535.36</v>
      </c>
      <c r="BK64" s="8">
        <v>1543.89</v>
      </c>
    </row>
    <row r="65" spans="2:68" ht="16.5" customHeight="1" x14ac:dyDescent="0.25">
      <c r="B65" s="19"/>
      <c r="C65" s="16"/>
      <c r="D65" s="16"/>
      <c r="E65" s="16"/>
      <c r="F65" s="16"/>
      <c r="G65" s="16"/>
      <c r="H65" s="16"/>
      <c r="I65" s="65"/>
      <c r="J65" s="65"/>
      <c r="K65" s="65"/>
      <c r="L65" s="65"/>
      <c r="M65" s="65"/>
      <c r="N65" s="65"/>
      <c r="O65" s="65"/>
      <c r="P65" s="65"/>
      <c r="Q65" s="65"/>
      <c r="R65" s="65"/>
      <c r="S65" s="65"/>
      <c r="T65" s="65"/>
      <c r="U65" s="65"/>
      <c r="V65" s="65"/>
      <c r="W65" s="65"/>
      <c r="X65" s="65"/>
      <c r="Y65" s="65"/>
      <c r="Z65" s="65"/>
      <c r="AA65" s="65"/>
      <c r="AB65" s="65"/>
      <c r="AC65" s="65"/>
      <c r="AD65" s="65"/>
      <c r="AE65" s="65"/>
      <c r="AF65" s="65"/>
      <c r="AG65" s="16"/>
      <c r="AH65" s="16"/>
      <c r="AI65" s="16"/>
      <c r="AJ65" s="16"/>
      <c r="AK65" s="16"/>
      <c r="AL65" s="16"/>
      <c r="AM65" s="16"/>
      <c r="AN65" s="16"/>
      <c r="AO65" s="16"/>
      <c r="AP65" s="16"/>
      <c r="AQ65" s="16"/>
      <c r="AR65" s="16"/>
      <c r="AS65" s="16"/>
      <c r="AT65" s="16"/>
      <c r="AU65" s="16"/>
      <c r="AV65" s="16"/>
      <c r="AW65" s="16"/>
      <c r="AX65" s="16"/>
      <c r="AY65" s="16"/>
      <c r="AZ65" s="16"/>
      <c r="BA65" s="16"/>
      <c r="BB65" s="16"/>
      <c r="BC65" s="16"/>
      <c r="BD65" s="16"/>
      <c r="BE65" s="16"/>
      <c r="BF65" s="16"/>
      <c r="BG65" s="16"/>
      <c r="BH65" s="16"/>
      <c r="BI65" s="16"/>
      <c r="BJ65" s="16"/>
      <c r="BK65" s="16"/>
      <c r="BL65" s="16"/>
      <c r="BM65" s="16"/>
      <c r="BN65" s="16"/>
      <c r="BO65" s="16"/>
      <c r="BP65" s="16"/>
    </row>
    <row r="66" spans="2:68" x14ac:dyDescent="0.25">
      <c r="B66" s="14"/>
      <c r="E66" s="16"/>
      <c r="F66" s="16"/>
      <c r="G66" s="16" t="s">
        <v>239</v>
      </c>
      <c r="H66" s="16"/>
      <c r="I66" s="17">
        <f t="shared" ref="I66:AG66" si="28">SUM(I57:I65)</f>
        <v>0</v>
      </c>
      <c r="J66" s="17">
        <f t="shared" si="28"/>
        <v>0</v>
      </c>
      <c r="K66" s="17">
        <f t="shared" si="28"/>
        <v>0</v>
      </c>
      <c r="L66" s="17">
        <f t="shared" si="28"/>
        <v>0</v>
      </c>
      <c r="M66" s="17">
        <f t="shared" si="28"/>
        <v>0</v>
      </c>
      <c r="N66" s="17">
        <f t="shared" si="28"/>
        <v>0</v>
      </c>
      <c r="O66" s="17">
        <f t="shared" si="28"/>
        <v>0</v>
      </c>
      <c r="P66" s="17">
        <f t="shared" si="28"/>
        <v>0</v>
      </c>
      <c r="Q66" s="17">
        <f t="shared" si="28"/>
        <v>0</v>
      </c>
      <c r="R66" s="17">
        <f t="shared" si="28"/>
        <v>0</v>
      </c>
      <c r="S66" s="17">
        <f t="shared" si="28"/>
        <v>0</v>
      </c>
      <c r="T66" s="17">
        <f t="shared" si="28"/>
        <v>0</v>
      </c>
      <c r="U66" s="17">
        <f t="shared" si="28"/>
        <v>800.5</v>
      </c>
      <c r="V66" s="17">
        <f t="shared" si="28"/>
        <v>795.43000000000006</v>
      </c>
      <c r="W66" s="17">
        <f t="shared" si="28"/>
        <v>806.57</v>
      </c>
      <c r="X66" s="17">
        <f t="shared" si="28"/>
        <v>896.21999999999991</v>
      </c>
      <c r="Y66" s="17">
        <f t="shared" si="28"/>
        <v>1581.9199999999998</v>
      </c>
      <c r="Z66" s="17">
        <f t="shared" si="28"/>
        <v>1200.4000000000001</v>
      </c>
      <c r="AA66" s="17">
        <f t="shared" si="28"/>
        <v>769.63</v>
      </c>
      <c r="AB66" s="17">
        <f t="shared" si="28"/>
        <v>701.74</v>
      </c>
      <c r="AC66" s="17">
        <f t="shared" si="28"/>
        <v>622.24</v>
      </c>
      <c r="AD66" s="17">
        <f t="shared" si="28"/>
        <v>1211.98</v>
      </c>
      <c r="AE66" s="17">
        <f t="shared" si="28"/>
        <v>705.49</v>
      </c>
      <c r="AF66" s="17">
        <f t="shared" si="28"/>
        <v>731.12</v>
      </c>
      <c r="AG66" s="17">
        <f t="shared" si="28"/>
        <v>743.66</v>
      </c>
      <c r="AH66" s="17">
        <f>SUM(AH57:AH65)</f>
        <v>733.16</v>
      </c>
      <c r="AI66" s="17">
        <f>SUM(AI57:AI65)</f>
        <v>749.25</v>
      </c>
      <c r="AJ66" s="17">
        <f t="shared" ref="AJ66:AM66" si="29">SUM(AJ57:AJ65)</f>
        <v>759.56000000000006</v>
      </c>
      <c r="AK66" s="17">
        <f t="shared" si="29"/>
        <v>805.86</v>
      </c>
      <c r="AL66" s="17">
        <f t="shared" si="29"/>
        <v>790.24</v>
      </c>
      <c r="AM66" s="17">
        <f t="shared" si="29"/>
        <v>774.71</v>
      </c>
      <c r="AN66" s="17">
        <f>SUM(AN57:AN65)</f>
        <v>822.04000000000008</v>
      </c>
      <c r="AO66" s="17">
        <f>SUM(AO57:AO65)</f>
        <v>920.3900000000001</v>
      </c>
      <c r="AP66" s="17">
        <f>SUM(AP57:AP65)</f>
        <v>1020.47</v>
      </c>
      <c r="AQ66" s="17">
        <f>SUM(AQ57:AQ65)</f>
        <v>1108.29</v>
      </c>
      <c r="AR66" s="17">
        <f>SUM(AR57:AR65)</f>
        <v>1196.99</v>
      </c>
      <c r="AS66" s="17">
        <f t="shared" ref="AS66:BD66" si="30">SUM(AS57:AS65)</f>
        <v>1224.72</v>
      </c>
      <c r="AT66" s="17">
        <f t="shared" si="30"/>
        <v>1287.92</v>
      </c>
      <c r="AU66" s="17">
        <f t="shared" si="30"/>
        <v>1362.2399999999998</v>
      </c>
      <c r="AV66" s="17">
        <f t="shared" si="30"/>
        <v>1420.27</v>
      </c>
      <c r="AW66" s="17">
        <f t="shared" si="30"/>
        <v>1482.32</v>
      </c>
      <c r="AX66" s="17">
        <f t="shared" si="30"/>
        <v>1555.52</v>
      </c>
      <c r="AY66" s="17">
        <f t="shared" si="30"/>
        <v>1627.69</v>
      </c>
      <c r="AZ66" s="17">
        <f t="shared" si="30"/>
        <v>1704.66</v>
      </c>
      <c r="BA66" s="17">
        <f t="shared" si="30"/>
        <v>1771.07</v>
      </c>
      <c r="BB66" s="17">
        <f t="shared" si="30"/>
        <v>1848.5</v>
      </c>
      <c r="BC66" s="17">
        <f t="shared" si="30"/>
        <v>1903.78</v>
      </c>
      <c r="BD66" s="17">
        <f t="shared" si="30"/>
        <v>2002.6100000000001</v>
      </c>
      <c r="BE66" s="17">
        <f t="shared" ref="BE66:BP66" si="31">SUM(BE57:BE65)</f>
        <v>2056.1099999999997</v>
      </c>
      <c r="BF66" s="17">
        <f t="shared" si="31"/>
        <v>2167.9899999999998</v>
      </c>
      <c r="BG66" s="17">
        <f t="shared" si="31"/>
        <v>2226.62</v>
      </c>
      <c r="BH66" s="17">
        <f t="shared" si="31"/>
        <v>2346.1999999999998</v>
      </c>
      <c r="BI66" s="17">
        <f t="shared" si="31"/>
        <v>2424.52</v>
      </c>
      <c r="BJ66" s="17">
        <f t="shared" si="31"/>
        <v>2561.8999999999996</v>
      </c>
      <c r="BK66" s="17">
        <f t="shared" si="31"/>
        <v>2558.86</v>
      </c>
      <c r="BL66" s="17">
        <f t="shared" si="31"/>
        <v>0</v>
      </c>
      <c r="BM66" s="17">
        <f t="shared" si="31"/>
        <v>0</v>
      </c>
      <c r="BN66" s="17">
        <f t="shared" si="31"/>
        <v>0</v>
      </c>
      <c r="BO66" s="17">
        <f t="shared" si="31"/>
        <v>0</v>
      </c>
      <c r="BP66" s="17">
        <f t="shared" si="31"/>
        <v>0</v>
      </c>
    </row>
    <row r="67" spans="2:68" ht="15.75" thickBot="1" x14ac:dyDescent="0.3">
      <c r="B67" s="20"/>
      <c r="C67" s="21"/>
      <c r="D67" s="21"/>
      <c r="E67" s="22"/>
      <c r="F67" s="22"/>
      <c r="G67" s="22"/>
      <c r="H67" s="22"/>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2"/>
      <c r="AI67" s="22"/>
      <c r="AJ67" s="22"/>
      <c r="AK67" s="22"/>
      <c r="AL67" s="22"/>
      <c r="AM67" s="22"/>
      <c r="AN67" s="22"/>
      <c r="AO67" s="22"/>
      <c r="AP67" s="22"/>
      <c r="AQ67" s="22"/>
      <c r="AR67" s="22"/>
      <c r="AS67" s="22"/>
      <c r="AT67" s="22"/>
      <c r="AU67" s="22"/>
      <c r="AV67" s="22"/>
      <c r="AW67" s="22"/>
      <c r="AX67" s="22"/>
      <c r="AY67" s="22"/>
      <c r="AZ67" s="22"/>
      <c r="BA67" s="22"/>
      <c r="BB67" s="22"/>
      <c r="BC67" s="22"/>
      <c r="BD67" s="22"/>
      <c r="BE67" s="22"/>
      <c r="BF67" s="22"/>
      <c r="BG67" s="22"/>
      <c r="BH67" s="22"/>
      <c r="BI67" s="22"/>
      <c r="BJ67" s="22"/>
      <c r="BK67" s="22"/>
      <c r="BL67" s="22"/>
      <c r="BM67" s="22"/>
      <c r="BN67" s="22"/>
      <c r="BO67" s="22"/>
      <c r="BP67" s="22"/>
    </row>
    <row r="68" spans="2:68" x14ac:dyDescent="0.25"/>
    <row r="70" spans="2:68" ht="15" customHeight="1" x14ac:dyDescent="0.25">
      <c r="AL70" s="113"/>
    </row>
  </sheetData>
  <mergeCells count="1">
    <mergeCell ref="I8:T8"/>
  </mergeCells>
  <conditionalFormatting sqref="I34:S34">
    <cfRule type="cellIs" dxfId="13" priority="17" operator="greaterThan">
      <formula>0.9</formula>
    </cfRule>
    <cfRule type="cellIs" dxfId="12" priority="18" operator="greaterThan">
      <formula>0.8</formula>
    </cfRule>
  </conditionalFormatting>
  <conditionalFormatting sqref="I39:S39">
    <cfRule type="cellIs" dxfId="11" priority="15" operator="greaterThan">
      <formula>0.9</formula>
    </cfRule>
    <cfRule type="cellIs" dxfId="10" priority="16" operator="greaterThan">
      <formula>0.8</formula>
    </cfRule>
  </conditionalFormatting>
  <conditionalFormatting sqref="I44:S44">
    <cfRule type="cellIs" dxfId="9" priority="13" operator="greaterThan">
      <formula>0.9</formula>
    </cfRule>
    <cfRule type="cellIs" dxfId="8" priority="14" operator="greaterThan">
      <formula>0.8</formula>
    </cfRule>
  </conditionalFormatting>
  <conditionalFormatting sqref="I23:AG23">
    <cfRule type="cellIs" dxfId="7" priority="9" operator="greaterThan">
      <formula>0.9</formula>
    </cfRule>
    <cfRule type="cellIs" dxfId="6" priority="10" operator="greaterThan">
      <formula>0.8</formula>
    </cfRule>
  </conditionalFormatting>
  <conditionalFormatting sqref="I29:AG29">
    <cfRule type="cellIs" dxfId="5" priority="3" operator="greaterThan">
      <formula>0.9</formula>
    </cfRule>
    <cfRule type="cellIs" dxfId="4" priority="4" operator="greaterThan">
      <formula>0.8</formula>
    </cfRule>
  </conditionalFormatting>
  <conditionalFormatting sqref="I55:AG55">
    <cfRule type="cellIs" dxfId="3" priority="19" operator="greaterThan">
      <formula>0.9</formula>
    </cfRule>
    <cfRule type="cellIs" dxfId="2" priority="20" operator="greaterThan">
      <formula>0.8</formula>
    </cfRule>
  </conditionalFormatting>
  <conditionalFormatting sqref="I67:AG67">
    <cfRule type="cellIs" dxfId="1" priority="1" operator="greaterThan">
      <formula>0.9</formula>
    </cfRule>
    <cfRule type="cellIs" dxfId="0" priority="2" operator="greaterThan">
      <formula>0.8</formula>
    </cfRule>
  </conditionalFormatting>
  <pageMargins left="0.7" right="0.7" top="0.75" bottom="0.75" header="0.3" footer="0.3"/>
  <pageSetup paperSize="9" orientation="portrait"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00D03-99A7-4216-BBA6-03D1C20E332E}">
  <dimension ref="A1:G105"/>
  <sheetViews>
    <sheetView workbookViewId="0">
      <selection activeCell="J45" sqref="J45"/>
    </sheetView>
  </sheetViews>
  <sheetFormatPr defaultRowHeight="15" x14ac:dyDescent="0.25"/>
  <cols>
    <col min="1" max="1" width="39.5703125" customWidth="1"/>
    <col min="2" max="2" width="13.7109375" bestFit="1" customWidth="1"/>
    <col min="3" max="4" width="8.7109375" bestFit="1" customWidth="1"/>
    <col min="5" max="5" width="11.140625" bestFit="1" customWidth="1"/>
    <col min="6" max="6" width="10.7109375" bestFit="1" customWidth="1"/>
    <col min="7" max="7" width="12.42578125" customWidth="1"/>
    <col min="8" max="8" width="8.7109375" bestFit="1" customWidth="1"/>
    <col min="9" max="9" width="17.7109375" bestFit="1" customWidth="1"/>
    <col min="10" max="10" width="31.7109375" bestFit="1" customWidth="1"/>
    <col min="11" max="11" width="45.7109375" bestFit="1" customWidth="1"/>
    <col min="12" max="14" width="8.7109375" bestFit="1" customWidth="1"/>
  </cols>
  <sheetData>
    <row r="1" spans="1:7" x14ac:dyDescent="0.25">
      <c r="A1" s="61" t="s">
        <v>261</v>
      </c>
      <c r="B1" s="61" t="s">
        <v>119</v>
      </c>
      <c r="C1" s="61" t="s">
        <v>2</v>
      </c>
      <c r="D1" s="61" t="s">
        <v>262</v>
      </c>
      <c r="E1" s="61" t="s">
        <v>263</v>
      </c>
      <c r="F1" s="61" t="s">
        <v>122</v>
      </c>
      <c r="G1" s="61" t="s">
        <v>264</v>
      </c>
    </row>
    <row r="2" spans="1:7" x14ac:dyDescent="0.25">
      <c r="B2">
        <v>45</v>
      </c>
      <c r="C2" s="57">
        <v>44927</v>
      </c>
      <c r="D2" s="80">
        <f>('Commvault S3 Data Collection'!U3)</f>
        <v>7250.5899999999992</v>
      </c>
      <c r="E2" s="38"/>
      <c r="F2" s="38"/>
      <c r="G2" s="38"/>
    </row>
    <row r="3" spans="1:7" x14ac:dyDescent="0.25">
      <c r="B3">
        <v>45</v>
      </c>
      <c r="C3" s="57">
        <v>44958</v>
      </c>
      <c r="D3" s="80">
        <f>('Commvault S3 Data Collection'!V3)</f>
        <v>6874.0400000000009</v>
      </c>
      <c r="E3" s="38"/>
      <c r="F3" s="38"/>
      <c r="G3" s="38"/>
    </row>
    <row r="4" spans="1:7" x14ac:dyDescent="0.25">
      <c r="B4">
        <v>45</v>
      </c>
      <c r="C4" s="57">
        <v>44986</v>
      </c>
      <c r="D4" s="80">
        <f>'Commvault S3 Data Collection'!W3</f>
        <v>7082.67</v>
      </c>
      <c r="E4" s="38"/>
      <c r="G4" s="38"/>
    </row>
    <row r="5" spans="1:7" x14ac:dyDescent="0.25">
      <c r="B5">
        <v>45</v>
      </c>
      <c r="C5" s="57">
        <v>45017</v>
      </c>
      <c r="D5" s="80">
        <f>'Commvault S3 Data Collection'!X3</f>
        <v>7374.99</v>
      </c>
      <c r="G5" s="38"/>
    </row>
    <row r="6" spans="1:7" x14ac:dyDescent="0.25">
      <c r="B6">
        <v>45</v>
      </c>
      <c r="C6" s="57">
        <v>45047</v>
      </c>
      <c r="D6" s="80">
        <f>'Commvault S3 Data Collection'!Y3</f>
        <v>8099.07</v>
      </c>
      <c r="G6" s="38"/>
    </row>
    <row r="7" spans="1:7" x14ac:dyDescent="0.25">
      <c r="B7">
        <v>45</v>
      </c>
      <c r="C7" s="57">
        <v>45078</v>
      </c>
      <c r="D7" s="80">
        <f>'Commvault S3 Data Collection'!Z3</f>
        <v>7791.510000000002</v>
      </c>
      <c r="G7" s="38"/>
    </row>
    <row r="8" spans="1:7" x14ac:dyDescent="0.25">
      <c r="B8">
        <v>45</v>
      </c>
      <c r="C8" s="57">
        <v>45108</v>
      </c>
      <c r="D8" s="80">
        <f>'Commvault S3 Data Collection'!AA3</f>
        <v>7448.4600000000009</v>
      </c>
      <c r="G8" s="38"/>
    </row>
    <row r="9" spans="1:7" x14ac:dyDescent="0.25">
      <c r="B9">
        <v>45</v>
      </c>
      <c r="C9" s="57">
        <v>45139</v>
      </c>
      <c r="D9" s="80">
        <f>'Commvault S3 Data Collection'!AB3</f>
        <v>8091.27</v>
      </c>
      <c r="G9" s="38"/>
    </row>
    <row r="10" spans="1:7" x14ac:dyDescent="0.25">
      <c r="B10">
        <v>45</v>
      </c>
      <c r="C10" s="57">
        <v>45170</v>
      </c>
      <c r="D10" s="80">
        <f>'Commvault S3 Data Collection'!AC3</f>
        <v>8709.11</v>
      </c>
      <c r="G10" s="38"/>
    </row>
    <row r="11" spans="1:7" x14ac:dyDescent="0.25">
      <c r="B11">
        <v>45</v>
      </c>
      <c r="C11" s="57">
        <v>45200</v>
      </c>
      <c r="D11" s="80">
        <f>'Commvault S3 Data Collection'!AD3</f>
        <v>10345.689999999999</v>
      </c>
      <c r="G11" s="38"/>
    </row>
    <row r="12" spans="1:7" x14ac:dyDescent="0.25">
      <c r="B12">
        <v>45</v>
      </c>
      <c r="C12" s="57">
        <v>45231</v>
      </c>
      <c r="D12" s="80">
        <f>'Commvault S3 Data Collection'!AE3</f>
        <v>10377.599999999999</v>
      </c>
      <c r="G12" s="38"/>
    </row>
    <row r="13" spans="1:7" ht="15" customHeight="1" x14ac:dyDescent="0.25">
      <c r="A13" s="125" t="s">
        <v>265</v>
      </c>
      <c r="B13">
        <v>45</v>
      </c>
      <c r="C13" s="57">
        <v>45261</v>
      </c>
      <c r="D13" s="80">
        <f>'Commvault S3 Data Collection'!AF3</f>
        <v>12020.330000000004</v>
      </c>
      <c r="G13" s="80"/>
    </row>
    <row r="14" spans="1:7" ht="15" customHeight="1" x14ac:dyDescent="0.25">
      <c r="A14" s="125"/>
      <c r="B14">
        <v>45</v>
      </c>
      <c r="C14" s="57">
        <v>45292</v>
      </c>
      <c r="D14" s="80">
        <f>'Commvault S3 Data Collection'!AG3</f>
        <v>12648.78</v>
      </c>
      <c r="G14" s="80"/>
    </row>
    <row r="15" spans="1:7" ht="15" customHeight="1" x14ac:dyDescent="0.25">
      <c r="A15" s="125"/>
      <c r="B15">
        <v>45</v>
      </c>
      <c r="C15" s="57">
        <v>45323</v>
      </c>
      <c r="D15" s="80">
        <f>'Commvault S3 Data Collection'!AH3</f>
        <v>13149.659999999998</v>
      </c>
      <c r="G15" s="80"/>
    </row>
    <row r="16" spans="1:7" ht="15" customHeight="1" x14ac:dyDescent="0.25">
      <c r="A16" s="125"/>
      <c r="B16">
        <v>45</v>
      </c>
      <c r="C16" s="57">
        <v>45352</v>
      </c>
      <c r="D16" s="80">
        <f>'Commvault S3 Data Collection'!AI3</f>
        <v>12793.519999999997</v>
      </c>
      <c r="G16" s="80"/>
    </row>
    <row r="17" spans="1:7" x14ac:dyDescent="0.25">
      <c r="A17" t="s">
        <v>266</v>
      </c>
      <c r="B17">
        <v>45</v>
      </c>
      <c r="C17" s="57">
        <v>45383</v>
      </c>
      <c r="D17" s="80">
        <f>'Commvault S3 Data Collection'!AJ3</f>
        <v>15804.969999999996</v>
      </c>
      <c r="G17" s="80"/>
    </row>
    <row r="18" spans="1:7" x14ac:dyDescent="0.25">
      <c r="B18">
        <v>45</v>
      </c>
      <c r="C18" s="57">
        <v>45413</v>
      </c>
      <c r="D18" s="80">
        <f>'Commvault S3 Data Collection'!AK3</f>
        <v>13299.499999999998</v>
      </c>
      <c r="G18" s="80"/>
    </row>
    <row r="19" spans="1:7" x14ac:dyDescent="0.25">
      <c r="B19">
        <v>45</v>
      </c>
      <c r="C19" s="57">
        <v>45444</v>
      </c>
      <c r="D19" s="80">
        <f>'Commvault S3 Data Collection'!AL3</f>
        <v>13048.129999999997</v>
      </c>
      <c r="G19" s="80"/>
    </row>
    <row r="20" spans="1:7" x14ac:dyDescent="0.25">
      <c r="B20">
        <v>45</v>
      </c>
      <c r="C20" s="57">
        <v>45474</v>
      </c>
      <c r="D20" s="80">
        <f>'Commvault S3 Data Collection'!AM3</f>
        <v>13456.77</v>
      </c>
      <c r="G20" s="80"/>
    </row>
    <row r="21" spans="1:7" x14ac:dyDescent="0.25">
      <c r="B21">
        <v>45</v>
      </c>
      <c r="C21" s="57">
        <v>45505</v>
      </c>
      <c r="D21" s="80">
        <f>'Commvault S3 Data Collection'!AN3</f>
        <v>14332.817100000002</v>
      </c>
      <c r="G21" s="80"/>
    </row>
    <row r="22" spans="1:7" x14ac:dyDescent="0.25">
      <c r="B22">
        <v>45</v>
      </c>
      <c r="C22" s="57">
        <v>45536</v>
      </c>
      <c r="D22" s="80">
        <f>'Commvault S3 Data Collection'!AO3</f>
        <v>14348.564700000001</v>
      </c>
      <c r="G22" s="80"/>
    </row>
    <row r="23" spans="1:7" x14ac:dyDescent="0.25">
      <c r="B23">
        <v>45</v>
      </c>
      <c r="C23" s="57">
        <v>45566</v>
      </c>
      <c r="D23" s="80">
        <f>'Commvault S3 Data Collection'!AP3</f>
        <v>14473.784700000002</v>
      </c>
      <c r="G23" s="80"/>
    </row>
    <row r="24" spans="1:7" x14ac:dyDescent="0.25">
      <c r="B24">
        <v>45</v>
      </c>
      <c r="C24" s="57">
        <v>45597</v>
      </c>
      <c r="D24" s="80">
        <f>'Commvault S3 Data Collection'!AQ3</f>
        <v>14572.98</v>
      </c>
      <c r="G24" s="80"/>
    </row>
    <row r="25" spans="1:7" x14ac:dyDescent="0.25">
      <c r="B25">
        <v>45</v>
      </c>
      <c r="C25" s="57">
        <v>45627</v>
      </c>
      <c r="D25" s="80">
        <f>'Commvault S3 Data Collection'!AR3</f>
        <v>15033.880000000003</v>
      </c>
      <c r="G25" s="80"/>
    </row>
    <row r="26" spans="1:7" x14ac:dyDescent="0.25">
      <c r="A26" t="s">
        <v>266</v>
      </c>
      <c r="B26">
        <v>45</v>
      </c>
      <c r="C26" s="57">
        <v>45658</v>
      </c>
      <c r="D26" s="80">
        <f>'Commvault S3 Data Collection'!AS3</f>
        <v>15704.298999999997</v>
      </c>
      <c r="G26" s="80"/>
    </row>
    <row r="27" spans="1:7" x14ac:dyDescent="0.25">
      <c r="B27">
        <v>45</v>
      </c>
      <c r="C27" s="57">
        <v>45689</v>
      </c>
      <c r="D27" s="80">
        <f>'Commvault S3 Data Collection'!AT3</f>
        <v>15882.768</v>
      </c>
      <c r="G27" s="80"/>
    </row>
    <row r="28" spans="1:7" x14ac:dyDescent="0.25">
      <c r="B28">
        <v>45</v>
      </c>
      <c r="C28" s="57">
        <v>45717</v>
      </c>
      <c r="D28" s="80">
        <f>'Commvault S3 Data Collection'!AU3</f>
        <v>16045.789000000004</v>
      </c>
      <c r="G28" s="80"/>
    </row>
    <row r="29" spans="1:7" x14ac:dyDescent="0.25">
      <c r="A29" t="s">
        <v>267</v>
      </c>
      <c r="B29">
        <v>45</v>
      </c>
      <c r="C29" s="57">
        <v>45748</v>
      </c>
      <c r="D29" s="80">
        <f>'Commvault S3 Data Collection'!AV3</f>
        <v>16472.119000000002</v>
      </c>
      <c r="G29" s="80"/>
    </row>
    <row r="30" spans="1:7" x14ac:dyDescent="0.25">
      <c r="B30">
        <v>45</v>
      </c>
      <c r="C30" s="57">
        <v>45778</v>
      </c>
      <c r="D30" s="80">
        <f>'Commvault S3 Data Collection'!AW3</f>
        <v>17095.926000000003</v>
      </c>
      <c r="G30" s="80"/>
    </row>
    <row r="31" spans="1:7" x14ac:dyDescent="0.25">
      <c r="B31">
        <v>45</v>
      </c>
      <c r="C31" s="57">
        <v>45809</v>
      </c>
      <c r="D31" s="80">
        <f>'Commvault S3 Data Collection'!AX3</f>
        <v>17429.420000000002</v>
      </c>
      <c r="G31" s="80"/>
    </row>
    <row r="32" spans="1:7" x14ac:dyDescent="0.25">
      <c r="B32">
        <v>45</v>
      </c>
      <c r="C32" s="57">
        <v>45839</v>
      </c>
      <c r="D32" s="80">
        <f>'Commvault S3 Data Collection'!AY3</f>
        <v>18353.389999999996</v>
      </c>
      <c r="G32" s="80"/>
    </row>
    <row r="33" spans="2:7" x14ac:dyDescent="0.25">
      <c r="B33">
        <v>45</v>
      </c>
      <c r="C33" s="57">
        <v>45870</v>
      </c>
      <c r="D33" s="80">
        <f>'Commvault S3 Data Collection'!AZ3</f>
        <v>19058.850000000002</v>
      </c>
      <c r="G33" s="80"/>
    </row>
    <row r="34" spans="2:7" x14ac:dyDescent="0.25">
      <c r="B34">
        <v>45</v>
      </c>
      <c r="C34" s="57">
        <v>45901</v>
      </c>
      <c r="D34" s="80">
        <f>'Commvault S3 Data Collection'!BA3</f>
        <v>19829.440000000002</v>
      </c>
      <c r="G34" s="80"/>
    </row>
    <row r="35" spans="2:7" x14ac:dyDescent="0.25">
      <c r="B35">
        <v>45</v>
      </c>
      <c r="C35" s="57">
        <v>45931</v>
      </c>
      <c r="D35" s="80">
        <f>'Commvault S3 Data Collection'!BB3</f>
        <v>20694.270000000004</v>
      </c>
      <c r="G35" s="80"/>
    </row>
    <row r="36" spans="2:7" x14ac:dyDescent="0.25">
      <c r="B36">
        <v>45</v>
      </c>
      <c r="C36" s="57">
        <v>45962</v>
      </c>
      <c r="D36" s="80">
        <f>'Commvault S3 Data Collection'!BC3</f>
        <v>21120.269999999997</v>
      </c>
      <c r="G36" s="80"/>
    </row>
    <row r="37" spans="2:7" x14ac:dyDescent="0.25">
      <c r="B37">
        <v>45</v>
      </c>
      <c r="C37" s="57">
        <v>45992</v>
      </c>
      <c r="D37" s="80">
        <f>'Commvault S3 Data Collection'!BD3</f>
        <v>21381.170000000002</v>
      </c>
      <c r="G37" s="80"/>
    </row>
    <row r="38" spans="2:7" x14ac:dyDescent="0.25">
      <c r="B38">
        <v>45</v>
      </c>
      <c r="C38" s="57">
        <v>46023</v>
      </c>
      <c r="D38" s="80">
        <f>'Commvault S3 Data Collection'!BE3</f>
        <v>21931.739999999998</v>
      </c>
      <c r="G38" s="80"/>
    </row>
    <row r="39" spans="2:7" x14ac:dyDescent="0.25">
      <c r="B39">
        <v>45</v>
      </c>
      <c r="C39" s="57">
        <v>46054</v>
      </c>
      <c r="D39" s="80">
        <f>'Commvault S3 Data Collection'!BF3</f>
        <v>21964.11</v>
      </c>
      <c r="G39" s="80"/>
    </row>
    <row r="40" spans="2:7" x14ac:dyDescent="0.25">
      <c r="B40">
        <v>45</v>
      </c>
      <c r="C40" s="57">
        <v>46082</v>
      </c>
      <c r="D40" s="80">
        <f>'Commvault S3 Data Collection'!BG3</f>
        <v>22411.27</v>
      </c>
      <c r="G40" s="80"/>
    </row>
    <row r="41" spans="2:7" x14ac:dyDescent="0.25">
      <c r="B41">
        <v>45</v>
      </c>
      <c r="C41" s="57">
        <v>46113</v>
      </c>
      <c r="D41" s="80">
        <f>'Commvault S3 Data Collection'!BH3</f>
        <v>23000.92</v>
      </c>
      <c r="G41" s="80"/>
    </row>
    <row r="42" spans="2:7" x14ac:dyDescent="0.25">
      <c r="B42">
        <v>45</v>
      </c>
      <c r="C42" s="57">
        <v>46143</v>
      </c>
      <c r="D42" s="80">
        <f>'Commvault S3 Data Collection'!BI3</f>
        <v>23623.34</v>
      </c>
      <c r="G42" s="80"/>
    </row>
    <row r="43" spans="2:7" x14ac:dyDescent="0.25">
      <c r="B43">
        <v>45</v>
      </c>
      <c r="C43" s="57">
        <v>46174</v>
      </c>
      <c r="D43" s="80">
        <f>'Commvault S3 Data Collection'!BJ3</f>
        <v>24672.249999999993</v>
      </c>
      <c r="F43">
        <v>1.1000000000000001</v>
      </c>
      <c r="G43" s="80">
        <f>D43</f>
        <v>24672.249999999993</v>
      </c>
    </row>
    <row r="44" spans="2:7" x14ac:dyDescent="0.25">
      <c r="B44">
        <v>45</v>
      </c>
      <c r="C44" s="57">
        <v>46204</v>
      </c>
      <c r="F44">
        <v>1.1000000000000001</v>
      </c>
      <c r="G44" s="80">
        <f t="shared" ref="G44:G78" si="0">G43*(1+(F44^(1/12)-1))+E44</f>
        <v>24868.989986197015</v>
      </c>
    </row>
    <row r="45" spans="2:7" x14ac:dyDescent="0.25">
      <c r="B45">
        <v>45</v>
      </c>
      <c r="C45" s="57">
        <v>46235</v>
      </c>
      <c r="F45">
        <v>1.1000000000000001</v>
      </c>
      <c r="G45" s="80">
        <f t="shared" si="0"/>
        <v>25067.298804671951</v>
      </c>
    </row>
    <row r="46" spans="2:7" x14ac:dyDescent="0.25">
      <c r="B46">
        <v>45</v>
      </c>
      <c r="C46" s="57">
        <v>46266</v>
      </c>
      <c r="F46">
        <v>1.1000000000000001</v>
      </c>
      <c r="G46" s="80">
        <f t="shared" si="0"/>
        <v>25267.188965513698</v>
      </c>
    </row>
    <row r="47" spans="2:7" x14ac:dyDescent="0.25">
      <c r="B47">
        <v>45</v>
      </c>
      <c r="C47" s="57">
        <v>46296</v>
      </c>
      <c r="F47">
        <v>1.1000000000000001</v>
      </c>
      <c r="G47" s="80">
        <f t="shared" si="0"/>
        <v>25468.673078568354</v>
      </c>
    </row>
    <row r="48" spans="2:7" x14ac:dyDescent="0.25">
      <c r="B48">
        <v>45</v>
      </c>
      <c r="C48" s="57">
        <v>46327</v>
      </c>
      <c r="F48">
        <v>1.1000000000000001</v>
      </c>
      <c r="G48" s="80">
        <f t="shared" si="0"/>
        <v>25671.763854234698</v>
      </c>
    </row>
    <row r="49" spans="2:7" x14ac:dyDescent="0.25">
      <c r="B49">
        <v>45</v>
      </c>
      <c r="C49" s="57">
        <v>46357</v>
      </c>
      <c r="F49">
        <v>1.1000000000000001</v>
      </c>
      <c r="G49" s="80">
        <f t="shared" si="0"/>
        <v>25876.474104266021</v>
      </c>
    </row>
    <row r="50" spans="2:7" x14ac:dyDescent="0.25">
      <c r="B50">
        <v>45</v>
      </c>
      <c r="C50" s="57">
        <v>46388</v>
      </c>
      <c r="D50" s="38"/>
      <c r="F50">
        <v>1.1000000000000001</v>
      </c>
      <c r="G50" s="80">
        <f t="shared" si="0"/>
        <v>26082.816742578329</v>
      </c>
    </row>
    <row r="51" spans="2:7" x14ac:dyDescent="0.25">
      <c r="B51">
        <v>45</v>
      </c>
      <c r="C51" s="57">
        <v>46419</v>
      </c>
      <c r="D51" s="38"/>
      <c r="F51">
        <v>1.1000000000000001</v>
      </c>
      <c r="G51" s="80">
        <f t="shared" si="0"/>
        <v>26290.804786065011</v>
      </c>
    </row>
    <row r="52" spans="2:7" x14ac:dyDescent="0.25">
      <c r="B52">
        <v>45</v>
      </c>
      <c r="C52" s="57">
        <v>46447</v>
      </c>
      <c r="D52" s="38"/>
      <c r="F52">
        <v>1.1000000000000001</v>
      </c>
      <c r="G52" s="80">
        <f t="shared" si="0"/>
        <v>26500.45135541799</v>
      </c>
    </row>
    <row r="53" spans="2:7" x14ac:dyDescent="0.25">
      <c r="B53">
        <v>45</v>
      </c>
      <c r="C53" s="57">
        <v>46478</v>
      </c>
      <c r="D53" s="38"/>
      <c r="F53">
        <v>1.1000000000000001</v>
      </c>
      <c r="G53" s="80">
        <f t="shared" si="0"/>
        <v>26711.769675955427</v>
      </c>
    </row>
    <row r="54" spans="2:7" x14ac:dyDescent="0.25">
      <c r="B54">
        <v>45</v>
      </c>
      <c r="C54" s="57">
        <v>46508</v>
      </c>
      <c r="D54" s="38"/>
      <c r="F54">
        <v>1.1000000000000001</v>
      </c>
      <c r="G54" s="80">
        <f t="shared" si="0"/>
        <v>26924.77307845603</v>
      </c>
    </row>
    <row r="55" spans="2:7" x14ac:dyDescent="0.25">
      <c r="B55">
        <v>45</v>
      </c>
      <c r="C55" s="57">
        <v>46539</v>
      </c>
      <c r="D55" s="38"/>
      <c r="F55">
        <v>1.1000000000000001</v>
      </c>
      <c r="G55" s="80">
        <f t="shared" si="0"/>
        <v>27139.475000000006</v>
      </c>
    </row>
    <row r="56" spans="2:7" x14ac:dyDescent="0.25">
      <c r="B56">
        <v>45</v>
      </c>
      <c r="C56" s="57">
        <v>46569</v>
      </c>
      <c r="F56">
        <v>1.1000000000000001</v>
      </c>
      <c r="G56" s="80">
        <f t="shared" si="0"/>
        <v>27355.888984816727</v>
      </c>
    </row>
    <row r="57" spans="2:7" x14ac:dyDescent="0.25">
      <c r="B57">
        <v>45</v>
      </c>
      <c r="C57" s="57">
        <v>46600</v>
      </c>
      <c r="F57">
        <v>1.1000000000000001</v>
      </c>
      <c r="G57" s="80">
        <f t="shared" si="0"/>
        <v>27574.028685139157</v>
      </c>
    </row>
    <row r="58" spans="2:7" x14ac:dyDescent="0.25">
      <c r="B58">
        <v>45</v>
      </c>
      <c r="C58" s="57">
        <v>46631</v>
      </c>
      <c r="F58">
        <v>1.1000000000000001</v>
      </c>
      <c r="G58" s="80">
        <f t="shared" si="0"/>
        <v>27793.907862065076</v>
      </c>
    </row>
    <row r="59" spans="2:7" x14ac:dyDescent="0.25">
      <c r="B59">
        <v>45</v>
      </c>
      <c r="C59" s="57">
        <v>46661</v>
      </c>
      <c r="F59">
        <v>1.1000000000000001</v>
      </c>
      <c r="G59" s="80">
        <f t="shared" si="0"/>
        <v>28015.540386425197</v>
      </c>
    </row>
    <row r="60" spans="2:7" x14ac:dyDescent="0.25">
      <c r="B60">
        <v>45</v>
      </c>
      <c r="C60" s="57">
        <v>46692</v>
      </c>
      <c r="E60" s="38"/>
      <c r="F60">
        <v>1.1000000000000001</v>
      </c>
      <c r="G60" s="80">
        <f t="shared" si="0"/>
        <v>28238.940239658175</v>
      </c>
    </row>
    <row r="61" spans="2:7" x14ac:dyDescent="0.25">
      <c r="B61">
        <v>45</v>
      </c>
      <c r="C61" s="57">
        <v>46722</v>
      </c>
      <c r="E61" s="38"/>
      <c r="F61">
        <v>1.1000000000000001</v>
      </c>
      <c r="G61" s="80">
        <f t="shared" si="0"/>
        <v>28464.12151469263</v>
      </c>
    </row>
    <row r="62" spans="2:7" x14ac:dyDescent="0.25">
      <c r="B62">
        <v>45</v>
      </c>
      <c r="C62" s="57">
        <v>46753</v>
      </c>
      <c r="E62" s="38"/>
      <c r="F62">
        <v>1.1000000000000001</v>
      </c>
      <c r="G62" s="80">
        <f t="shared" si="0"/>
        <v>28691.098416836168</v>
      </c>
    </row>
    <row r="63" spans="2:7" x14ac:dyDescent="0.25">
      <c r="B63">
        <v>45</v>
      </c>
      <c r="C63" s="57">
        <v>46784</v>
      </c>
      <c r="F63">
        <v>1.1000000000000001</v>
      </c>
      <c r="G63" s="80">
        <f t="shared" si="0"/>
        <v>28919.885264671517</v>
      </c>
    </row>
    <row r="64" spans="2:7" x14ac:dyDescent="0.25">
      <c r="B64">
        <v>45</v>
      </c>
      <c r="C64" s="57">
        <v>46813</v>
      </c>
      <c r="F64">
        <v>1.1000000000000001</v>
      </c>
      <c r="G64" s="80">
        <f t="shared" si="0"/>
        <v>29150.496490959791</v>
      </c>
    </row>
    <row r="65" spans="2:7" x14ac:dyDescent="0.25">
      <c r="B65">
        <v>45</v>
      </c>
      <c r="C65" s="57">
        <v>46844</v>
      </c>
      <c r="F65">
        <v>1.1000000000000001</v>
      </c>
      <c r="G65" s="80">
        <f t="shared" si="0"/>
        <v>29382.946643550971</v>
      </c>
    </row>
    <row r="66" spans="2:7" x14ac:dyDescent="0.25">
      <c r="B66">
        <v>45</v>
      </c>
      <c r="C66" s="57">
        <v>46874</v>
      </c>
      <c r="F66">
        <v>1.1000000000000001</v>
      </c>
      <c r="G66" s="80">
        <f t="shared" si="0"/>
        <v>29617.250386301632</v>
      </c>
    </row>
    <row r="67" spans="2:7" x14ac:dyDescent="0.25">
      <c r="B67">
        <v>45</v>
      </c>
      <c r="C67" s="57">
        <v>46905</v>
      </c>
      <c r="F67">
        <v>1.1000000000000001</v>
      </c>
      <c r="G67" s="80">
        <f t="shared" si="0"/>
        <v>29853.422500000004</v>
      </c>
    </row>
    <row r="68" spans="2:7" x14ac:dyDescent="0.25">
      <c r="B68">
        <v>45</v>
      </c>
      <c r="C68" s="57">
        <v>46935</v>
      </c>
      <c r="F68">
        <v>1.1000000000000001</v>
      </c>
      <c r="G68" s="80">
        <f t="shared" si="0"/>
        <v>30091.477883298401</v>
      </c>
    </row>
    <row r="69" spans="2:7" x14ac:dyDescent="0.25">
      <c r="B69">
        <v>45</v>
      </c>
      <c r="C69" s="57">
        <v>46966</v>
      </c>
      <c r="F69">
        <v>1.1000000000000001</v>
      </c>
      <c r="G69" s="80">
        <f t="shared" si="0"/>
        <v>30331.431553653074</v>
      </c>
    </row>
    <row r="70" spans="2:7" x14ac:dyDescent="0.25">
      <c r="B70">
        <v>45</v>
      </c>
      <c r="C70" s="57">
        <v>46997</v>
      </c>
      <c r="F70">
        <v>1.1000000000000001</v>
      </c>
      <c r="G70" s="80">
        <f t="shared" si="0"/>
        <v>30573.298648271586</v>
      </c>
    </row>
    <row r="71" spans="2:7" x14ac:dyDescent="0.25">
      <c r="B71">
        <v>45</v>
      </c>
      <c r="C71" s="57">
        <v>47027</v>
      </c>
      <c r="F71">
        <v>1.1000000000000001</v>
      </c>
      <c r="G71" s="80">
        <f t="shared" si="0"/>
        <v>30817.094425067717</v>
      </c>
    </row>
    <row r="72" spans="2:7" x14ac:dyDescent="0.25">
      <c r="B72">
        <v>45</v>
      </c>
      <c r="C72" s="57">
        <v>47058</v>
      </c>
      <c r="F72">
        <v>1.1000000000000001</v>
      </c>
      <c r="G72" s="80">
        <f t="shared" si="0"/>
        <v>31062.834263623994</v>
      </c>
    </row>
    <row r="73" spans="2:7" x14ac:dyDescent="0.25">
      <c r="B73">
        <v>45</v>
      </c>
      <c r="C73" s="57">
        <v>47088</v>
      </c>
      <c r="F73">
        <v>1.1000000000000001</v>
      </c>
      <c r="G73" s="80">
        <f t="shared" si="0"/>
        <v>31310.533666161897</v>
      </c>
    </row>
    <row r="74" spans="2:7" x14ac:dyDescent="0.25">
      <c r="B74">
        <v>45</v>
      </c>
      <c r="C74" s="57">
        <v>47119</v>
      </c>
      <c r="D74" s="38"/>
      <c r="F74">
        <v>1.1000000000000001</v>
      </c>
      <c r="G74" s="80">
        <f t="shared" si="0"/>
        <v>31560.20825851979</v>
      </c>
    </row>
    <row r="75" spans="2:7" x14ac:dyDescent="0.25">
      <c r="B75">
        <v>45</v>
      </c>
      <c r="C75" s="57">
        <v>47150</v>
      </c>
      <c r="D75" s="38"/>
      <c r="F75">
        <v>1.1000000000000001</v>
      </c>
      <c r="G75" s="80">
        <f t="shared" si="0"/>
        <v>31811.873791138674</v>
      </c>
    </row>
    <row r="76" spans="2:7" x14ac:dyDescent="0.25">
      <c r="B76">
        <v>45</v>
      </c>
      <c r="C76" s="57">
        <v>47178</v>
      </c>
      <c r="D76" s="38"/>
      <c r="F76">
        <v>1.1000000000000001</v>
      </c>
      <c r="G76" s="80">
        <f t="shared" si="0"/>
        <v>32065.546140055776</v>
      </c>
    </row>
    <row r="77" spans="2:7" x14ac:dyDescent="0.25">
      <c r="B77">
        <v>45</v>
      </c>
      <c r="C77" s="57">
        <v>47209</v>
      </c>
      <c r="D77" s="38"/>
      <c r="F77">
        <v>1.1000000000000001</v>
      </c>
      <c r="G77" s="80">
        <f t="shared" si="0"/>
        <v>32321.241307906075</v>
      </c>
    </row>
    <row r="78" spans="2:7" x14ac:dyDescent="0.25">
      <c r="B78">
        <v>45</v>
      </c>
      <c r="C78" s="57">
        <v>47239</v>
      </c>
      <c r="D78" s="38"/>
      <c r="F78">
        <v>1.1000000000000001</v>
      </c>
      <c r="G78" s="80">
        <f t="shared" si="0"/>
        <v>32578.975424931803</v>
      </c>
    </row>
    <row r="79" spans="2:7" x14ac:dyDescent="0.25">
      <c r="B79">
        <v>45</v>
      </c>
      <c r="C79" s="57">
        <v>47270</v>
      </c>
      <c r="D79" s="38"/>
      <c r="F79">
        <v>1.1000000000000001</v>
      </c>
      <c r="G79" s="80">
        <f t="shared" ref="G79:G97" si="1">G78*(1+(F79^(1/12)-1))+E79</f>
        <v>32838.764750000017</v>
      </c>
    </row>
    <row r="80" spans="2:7" x14ac:dyDescent="0.25">
      <c r="B80">
        <v>45</v>
      </c>
      <c r="C80" s="57">
        <v>47300</v>
      </c>
      <c r="F80">
        <v>1.1000000000000001</v>
      </c>
      <c r="G80" s="80">
        <f t="shared" si="1"/>
        <v>33100.625671628251</v>
      </c>
    </row>
    <row r="81" spans="2:7" x14ac:dyDescent="0.25">
      <c r="B81">
        <v>45</v>
      </c>
      <c r="C81" s="57">
        <v>47331</v>
      </c>
      <c r="F81">
        <v>1.1000000000000001</v>
      </c>
      <c r="G81" s="80">
        <f t="shared" si="1"/>
        <v>33364.574709018394</v>
      </c>
    </row>
    <row r="82" spans="2:7" x14ac:dyDescent="0.25">
      <c r="B82">
        <v>45</v>
      </c>
      <c r="C82" s="57">
        <v>47362</v>
      </c>
      <c r="F82">
        <v>1.1000000000000001</v>
      </c>
      <c r="G82" s="80">
        <f t="shared" si="1"/>
        <v>33630.62851309876</v>
      </c>
    </row>
    <row r="83" spans="2:7" x14ac:dyDescent="0.25">
      <c r="B83">
        <v>45</v>
      </c>
      <c r="C83" s="57">
        <v>47392</v>
      </c>
      <c r="F83">
        <v>1.1000000000000001</v>
      </c>
      <c r="G83" s="80">
        <f t="shared" si="1"/>
        <v>33898.803867574505</v>
      </c>
    </row>
    <row r="84" spans="2:7" x14ac:dyDescent="0.25">
      <c r="B84">
        <v>45</v>
      </c>
      <c r="C84" s="57">
        <v>47423</v>
      </c>
      <c r="F84">
        <v>1.1000000000000001</v>
      </c>
      <c r="G84" s="80">
        <f t="shared" si="1"/>
        <v>34169.117689986408</v>
      </c>
    </row>
    <row r="85" spans="2:7" x14ac:dyDescent="0.25">
      <c r="B85">
        <v>45</v>
      </c>
      <c r="C85" s="57">
        <v>47453</v>
      </c>
      <c r="F85">
        <v>1.1000000000000001</v>
      </c>
      <c r="G85" s="80">
        <f t="shared" si="1"/>
        <v>34441.587032778101</v>
      </c>
    </row>
    <row r="86" spans="2:7" x14ac:dyDescent="0.25">
      <c r="B86">
        <v>45</v>
      </c>
      <c r="C86" s="57">
        <v>47484</v>
      </c>
      <c r="F86">
        <v>1.1000000000000001</v>
      </c>
      <c r="G86" s="80">
        <f t="shared" si="1"/>
        <v>34716.229084371786</v>
      </c>
    </row>
    <row r="87" spans="2:7" x14ac:dyDescent="0.25">
      <c r="B87">
        <v>45</v>
      </c>
      <c r="C87" s="57">
        <v>47515</v>
      </c>
      <c r="F87">
        <v>1.1000000000000001</v>
      </c>
      <c r="G87" s="80">
        <f t="shared" si="1"/>
        <v>34993.061170252557</v>
      </c>
    </row>
    <row r="88" spans="2:7" x14ac:dyDescent="0.25">
      <c r="B88">
        <v>45</v>
      </c>
      <c r="C88" s="57">
        <v>47543</v>
      </c>
      <c r="F88">
        <v>1.1000000000000001</v>
      </c>
      <c r="G88" s="80">
        <f t="shared" si="1"/>
        <v>35272.100754061372</v>
      </c>
    </row>
    <row r="89" spans="2:7" x14ac:dyDescent="0.25">
      <c r="B89">
        <v>45</v>
      </c>
      <c r="C89" s="57">
        <v>47574</v>
      </c>
      <c r="F89">
        <v>1.1000000000000001</v>
      </c>
      <c r="G89" s="80">
        <f t="shared" si="1"/>
        <v>35553.365438696703</v>
      </c>
    </row>
    <row r="90" spans="2:7" x14ac:dyDescent="0.25">
      <c r="B90">
        <v>45</v>
      </c>
      <c r="C90" s="57">
        <v>47604</v>
      </c>
      <c r="F90">
        <v>1.1000000000000001</v>
      </c>
      <c r="G90" s="80">
        <f t="shared" si="1"/>
        <v>35836.872967425006</v>
      </c>
    </row>
    <row r="91" spans="2:7" x14ac:dyDescent="0.25">
      <c r="B91">
        <v>45</v>
      </c>
      <c r="C91" s="57">
        <v>47635</v>
      </c>
      <c r="F91">
        <v>1.1000000000000001</v>
      </c>
      <c r="G91" s="80">
        <f t="shared" si="1"/>
        <v>36122.641225000036</v>
      </c>
    </row>
    <row r="92" spans="2:7" x14ac:dyDescent="0.25">
      <c r="B92">
        <v>45</v>
      </c>
      <c r="C92" s="57">
        <v>47665</v>
      </c>
      <c r="E92" s="38"/>
      <c r="F92">
        <v>1.1000000000000001</v>
      </c>
      <c r="G92" s="80">
        <f t="shared" si="1"/>
        <v>36410.688238791096</v>
      </c>
    </row>
    <row r="93" spans="2:7" x14ac:dyDescent="0.25">
      <c r="B93">
        <v>45</v>
      </c>
      <c r="C93" s="57">
        <v>47696</v>
      </c>
      <c r="F93">
        <v>1.1000000000000001</v>
      </c>
      <c r="G93" s="80">
        <f t="shared" si="1"/>
        <v>36701.03217992025</v>
      </c>
    </row>
    <row r="94" spans="2:7" x14ac:dyDescent="0.25">
      <c r="B94">
        <v>45</v>
      </c>
      <c r="C94" s="57">
        <v>47727</v>
      </c>
      <c r="F94">
        <v>1.1000000000000001</v>
      </c>
      <c r="G94" s="80">
        <f t="shared" si="1"/>
        <v>36993.691364408653</v>
      </c>
    </row>
    <row r="95" spans="2:7" x14ac:dyDescent="0.25">
      <c r="B95">
        <v>45</v>
      </c>
      <c r="C95" s="57">
        <v>47757</v>
      </c>
      <c r="F95">
        <v>1.1000000000000001</v>
      </c>
      <c r="G95" s="80">
        <f t="shared" si="1"/>
        <v>37288.684254331973</v>
      </c>
    </row>
    <row r="96" spans="2:7" x14ac:dyDescent="0.25">
      <c r="B96">
        <v>45</v>
      </c>
      <c r="C96" s="57">
        <v>47788</v>
      </c>
      <c r="F96">
        <v>1.1000000000000001</v>
      </c>
      <c r="G96" s="80">
        <f t="shared" si="1"/>
        <v>37586.029458985067</v>
      </c>
    </row>
    <row r="97" spans="2:7" x14ac:dyDescent="0.25">
      <c r="B97">
        <v>45</v>
      </c>
      <c r="C97" s="57">
        <v>47818</v>
      </c>
      <c r="F97">
        <v>1.1000000000000001</v>
      </c>
      <c r="G97" s="80">
        <f t="shared" si="1"/>
        <v>37885.745736055927</v>
      </c>
    </row>
    <row r="98" spans="2:7" x14ac:dyDescent="0.25">
      <c r="C98" s="57"/>
      <c r="G98" s="38"/>
    </row>
    <row r="99" spans="2:7" x14ac:dyDescent="0.25">
      <c r="C99" s="57"/>
      <c r="G99" s="38"/>
    </row>
    <row r="100" spans="2:7" x14ac:dyDescent="0.25">
      <c r="C100" s="57"/>
      <c r="G100" s="38"/>
    </row>
    <row r="101" spans="2:7" x14ac:dyDescent="0.25">
      <c r="C101" s="57"/>
      <c r="G101" s="38"/>
    </row>
    <row r="102" spans="2:7" x14ac:dyDescent="0.25">
      <c r="C102" s="57"/>
      <c r="G102" s="38"/>
    </row>
    <row r="103" spans="2:7" x14ac:dyDescent="0.25">
      <c r="C103" s="57"/>
      <c r="G103" s="38"/>
    </row>
    <row r="104" spans="2:7" x14ac:dyDescent="0.25">
      <c r="C104" s="57"/>
      <c r="G104" s="38"/>
    </row>
    <row r="105" spans="2:7" x14ac:dyDescent="0.25">
      <c r="C105" s="57"/>
      <c r="G105" s="38"/>
    </row>
  </sheetData>
  <mergeCells count="1">
    <mergeCell ref="A13:A16"/>
  </mergeCells>
  <pageMargins left="0.7" right="0.7" top="0.75" bottom="0.75" header="0.3" footer="0.3"/>
  <pageSetup paperSize="9"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111F6-5898-4FC4-B799-48EDA1A683CA}">
  <dimension ref="A1:U56"/>
  <sheetViews>
    <sheetView topLeftCell="C1" zoomScale="78" zoomScaleNormal="78" workbookViewId="0">
      <selection activeCell="H38" sqref="H38"/>
    </sheetView>
  </sheetViews>
  <sheetFormatPr defaultRowHeight="15" x14ac:dyDescent="0.25"/>
  <cols>
    <col min="1" max="1" width="14.42578125" customWidth="1"/>
    <col min="2" max="2" width="30" customWidth="1"/>
    <col min="3" max="3" width="10.5703125" customWidth="1"/>
    <col min="4" max="4" width="12.42578125" customWidth="1"/>
    <col min="5" max="5" width="16" bestFit="1" customWidth="1"/>
    <col min="6" max="6" width="15.42578125" bestFit="1" customWidth="1"/>
    <col min="7" max="7" width="13.140625" style="90" bestFit="1" customWidth="1"/>
    <col min="8" max="8" width="18.140625" bestFit="1" customWidth="1"/>
    <col min="9" max="9" width="10.7109375" bestFit="1" customWidth="1"/>
    <col min="10" max="10" width="21.140625" bestFit="1" customWidth="1"/>
    <col min="11" max="11" width="12.140625" bestFit="1" customWidth="1"/>
    <col min="12" max="12" width="18.5703125" bestFit="1" customWidth="1"/>
    <col min="13" max="13" width="12.140625" bestFit="1" customWidth="1"/>
    <col min="14" max="14" width="18" bestFit="1" customWidth="1"/>
    <col min="15" max="15" width="9.7109375" bestFit="1" customWidth="1"/>
    <col min="16" max="16" width="18.42578125" bestFit="1" customWidth="1"/>
    <col min="17" max="17" width="9.7109375" bestFit="1" customWidth="1"/>
    <col min="18" max="18" width="25.7109375" bestFit="1" customWidth="1"/>
    <col min="19" max="19" width="10.7109375" bestFit="1" customWidth="1"/>
    <col min="20" max="20" width="17.7109375" bestFit="1" customWidth="1"/>
    <col min="21" max="21" width="10.7109375" bestFit="1" customWidth="1"/>
  </cols>
  <sheetData>
    <row r="1" spans="1:21" ht="34.5" x14ac:dyDescent="0.25">
      <c r="H1" s="83" t="s">
        <v>232</v>
      </c>
      <c r="I1" s="83"/>
      <c r="J1" s="84" t="s">
        <v>277</v>
      </c>
      <c r="K1" s="84"/>
      <c r="L1" s="83" t="s">
        <v>249</v>
      </c>
      <c r="M1" s="83"/>
      <c r="N1" s="83" t="s">
        <v>243</v>
      </c>
      <c r="O1" s="83"/>
      <c r="P1" s="83" t="s">
        <v>246</v>
      </c>
      <c r="Q1" s="83"/>
      <c r="R1" s="84" t="s">
        <v>276</v>
      </c>
      <c r="S1" s="84"/>
      <c r="T1" s="83" t="s">
        <v>252</v>
      </c>
    </row>
    <row r="2" spans="1:21" s="61" customFormat="1" ht="45" x14ac:dyDescent="0.25">
      <c r="A2" s="126" t="s">
        <v>282</v>
      </c>
      <c r="B2" s="85" t="s">
        <v>283</v>
      </c>
      <c r="C2" s="61" t="s">
        <v>139</v>
      </c>
      <c r="D2" s="61" t="s">
        <v>122</v>
      </c>
      <c r="E2" s="66" t="s">
        <v>304</v>
      </c>
      <c r="F2" s="66" t="s">
        <v>305</v>
      </c>
      <c r="G2" s="91" t="s">
        <v>2</v>
      </c>
      <c r="H2" s="61" t="s">
        <v>272</v>
      </c>
      <c r="I2" s="61" t="s">
        <v>123</v>
      </c>
      <c r="J2" s="66" t="s">
        <v>306</v>
      </c>
      <c r="K2" s="61" t="s">
        <v>123</v>
      </c>
      <c r="L2" s="61" t="s">
        <v>273</v>
      </c>
      <c r="M2" s="61" t="s">
        <v>123</v>
      </c>
      <c r="N2" s="61" t="s">
        <v>280</v>
      </c>
      <c r="O2" s="61" t="s">
        <v>123</v>
      </c>
      <c r="P2" s="61" t="s">
        <v>274</v>
      </c>
      <c r="Q2" s="61" t="s">
        <v>123</v>
      </c>
      <c r="R2" s="66" t="s">
        <v>275</v>
      </c>
      <c r="S2" s="61" t="s">
        <v>123</v>
      </c>
      <c r="T2" s="61" t="s">
        <v>281</v>
      </c>
      <c r="U2" s="61" t="s">
        <v>123</v>
      </c>
    </row>
    <row r="3" spans="1:21" x14ac:dyDescent="0.25">
      <c r="A3" s="126"/>
      <c r="B3" s="85"/>
      <c r="D3">
        <v>1.1000000000000001</v>
      </c>
      <c r="E3" s="88">
        <f>SUM(H3,J3,L3,N3,P3,R3,T3)</f>
        <v>7416.329999999999</v>
      </c>
      <c r="F3" s="88"/>
      <c r="G3" s="90">
        <v>45108</v>
      </c>
      <c r="H3" s="89">
        <f>'Commvault S3 Data Collection'!AA12</f>
        <v>577.78</v>
      </c>
      <c r="I3" s="89"/>
      <c r="J3" s="89">
        <f>SUM('Commvault S3 Data Collection'!AA10:AA11)</f>
        <v>4330.3099999999995</v>
      </c>
      <c r="K3" s="89"/>
      <c r="L3" s="89">
        <f>'Commvault S3 Data Collection'!AA36</f>
        <v>1021.04</v>
      </c>
      <c r="M3" s="89"/>
      <c r="N3" s="89">
        <v>0</v>
      </c>
      <c r="O3" s="89"/>
      <c r="P3" s="89">
        <v>0</v>
      </c>
      <c r="Q3" s="89"/>
      <c r="R3" s="89">
        <f>SUM('Commvault S3 Data Collection'!AA57,'Commvault S3 Data Collection'!AA59)</f>
        <v>769.63</v>
      </c>
      <c r="S3" s="89"/>
      <c r="T3" s="89">
        <f>'Commvault S3 Data Collection'!AA41</f>
        <v>717.57</v>
      </c>
      <c r="U3" s="88"/>
    </row>
    <row r="4" spans="1:21" x14ac:dyDescent="0.25">
      <c r="A4" s="126"/>
      <c r="B4" s="85"/>
      <c r="D4">
        <v>1.1000000000000001</v>
      </c>
      <c r="E4" s="88">
        <f t="shared" ref="E4:E44" si="0">SUM(H4,J4,L4,N4,P4,R4,T4)</f>
        <v>7877.1899999999987</v>
      </c>
      <c r="F4" s="88"/>
      <c r="G4" s="90">
        <v>45139</v>
      </c>
      <c r="H4" s="89">
        <f>'Commvault S3 Data Collection'!AB12</f>
        <v>661</v>
      </c>
      <c r="I4" s="89"/>
      <c r="J4" s="89">
        <f>SUM('Commvault S3 Data Collection'!AB10:AB11)</f>
        <v>4754.6499999999996</v>
      </c>
      <c r="K4" s="89"/>
      <c r="L4" s="89">
        <f>'Commvault S3 Data Collection'!AB36</f>
        <v>1051.98</v>
      </c>
      <c r="M4" s="89"/>
      <c r="N4" s="89">
        <v>0</v>
      </c>
      <c r="O4" s="89"/>
      <c r="P4" s="89">
        <v>0</v>
      </c>
      <c r="Q4" s="89"/>
      <c r="R4" s="89">
        <f>SUM('Commvault S3 Data Collection'!AB57,'Commvault S3 Data Collection'!AB59)</f>
        <v>701.74</v>
      </c>
      <c r="S4" s="89"/>
      <c r="T4" s="89">
        <f>'Commvault S3 Data Collection'!AB41</f>
        <v>707.82</v>
      </c>
      <c r="U4" s="88"/>
    </row>
    <row r="5" spans="1:21" x14ac:dyDescent="0.25">
      <c r="A5" s="126"/>
      <c r="B5" s="85"/>
      <c r="D5">
        <v>1.1000000000000001</v>
      </c>
      <c r="E5" s="88">
        <f t="shared" si="0"/>
        <v>8289.5</v>
      </c>
      <c r="F5" s="88"/>
      <c r="G5" s="90">
        <v>45170</v>
      </c>
      <c r="H5" s="89">
        <f>'Commvault S3 Data Collection'!AC12</f>
        <v>608.19000000000005</v>
      </c>
      <c r="I5" s="89"/>
      <c r="J5" s="89">
        <f>SUM('Commvault S3 Data Collection'!AC10:AC11)</f>
        <v>5255.13</v>
      </c>
      <c r="K5" s="89"/>
      <c r="L5" s="89">
        <f>'Commvault S3 Data Collection'!AC36</f>
        <v>1105.19</v>
      </c>
      <c r="M5" s="89"/>
      <c r="N5" s="89">
        <v>0</v>
      </c>
      <c r="O5" s="89"/>
      <c r="P5" s="89">
        <v>0</v>
      </c>
      <c r="Q5" s="89"/>
      <c r="R5" s="89">
        <f>SUM('Commvault S3 Data Collection'!AC57,'Commvault S3 Data Collection'!AC59)</f>
        <v>622.24</v>
      </c>
      <c r="S5" s="89"/>
      <c r="T5" s="89">
        <f>'Commvault S3 Data Collection'!AC41</f>
        <v>698.75</v>
      </c>
      <c r="U5" s="88"/>
    </row>
    <row r="6" spans="1:21" x14ac:dyDescent="0.25">
      <c r="A6" s="126"/>
      <c r="B6" s="85"/>
      <c r="D6">
        <v>1.1000000000000001</v>
      </c>
      <c r="E6" s="88">
        <f t="shared" si="0"/>
        <v>9374.27</v>
      </c>
      <c r="F6" s="88"/>
      <c r="G6" s="90">
        <v>45200</v>
      </c>
      <c r="H6" s="89">
        <f>'Commvault S3 Data Collection'!AD12</f>
        <v>633.35</v>
      </c>
      <c r="I6" s="89"/>
      <c r="J6" s="89">
        <f>SUM('Commvault S3 Data Collection'!AD10:AD11)</f>
        <v>5689.8099999999995</v>
      </c>
      <c r="K6" s="89"/>
      <c r="L6" s="89">
        <f>'Commvault S3 Data Collection'!AD36</f>
        <v>1132.94</v>
      </c>
      <c r="M6" s="89"/>
      <c r="N6" s="89">
        <f>'Commvault S3 Data Collection'!AD26</f>
        <v>2.5499999999999998</v>
      </c>
      <c r="O6" s="89"/>
      <c r="P6" s="89">
        <f>'Commvault S3 Data Collection'!AD31</f>
        <v>1.56</v>
      </c>
      <c r="Q6" s="89"/>
      <c r="R6" s="89">
        <f>SUM('Commvault S3 Data Collection'!AD57,'Commvault S3 Data Collection'!AD59)</f>
        <v>1211.98</v>
      </c>
      <c r="S6" s="89"/>
      <c r="T6" s="89">
        <f>'Commvault S3 Data Collection'!AD41</f>
        <v>702.08</v>
      </c>
      <c r="U6" s="88"/>
    </row>
    <row r="7" spans="1:21" x14ac:dyDescent="0.25">
      <c r="A7" s="126"/>
      <c r="B7" s="85"/>
      <c r="D7">
        <v>1.1000000000000001</v>
      </c>
      <c r="E7" s="88">
        <f t="shared" si="0"/>
        <v>9201.3700000000008</v>
      </c>
      <c r="F7" s="88"/>
      <c r="G7" s="90">
        <v>45231</v>
      </c>
      <c r="H7" s="89">
        <f>'Commvault S3 Data Collection'!AE12</f>
        <v>596.63</v>
      </c>
      <c r="I7" s="89"/>
      <c r="J7" s="89">
        <f>SUM('Commvault S3 Data Collection'!AE10:AE11)</f>
        <v>6001.69</v>
      </c>
      <c r="K7" s="89"/>
      <c r="L7" s="89">
        <f>'Commvault S3 Data Collection'!AE36</f>
        <v>1173.3499999999999</v>
      </c>
      <c r="M7" s="89"/>
      <c r="N7" s="89">
        <f>'Commvault S3 Data Collection'!AE26</f>
        <v>8.57</v>
      </c>
      <c r="O7" s="89"/>
      <c r="P7" s="89">
        <f>'Commvault S3 Data Collection'!AE31</f>
        <v>10.56</v>
      </c>
      <c r="Q7" s="89"/>
      <c r="R7" s="89">
        <f>SUM('Commvault S3 Data Collection'!AE57,'Commvault S3 Data Collection'!AE59)</f>
        <v>705.49</v>
      </c>
      <c r="S7" s="89"/>
      <c r="T7" s="89">
        <f>'Commvault S3 Data Collection'!AE41</f>
        <v>705.08</v>
      </c>
      <c r="U7" s="88"/>
    </row>
    <row r="8" spans="1:21" x14ac:dyDescent="0.25">
      <c r="A8" s="126"/>
      <c r="B8" s="85"/>
      <c r="D8">
        <v>1.1000000000000001</v>
      </c>
      <c r="E8" s="88">
        <f t="shared" si="0"/>
        <v>10415.540000000001</v>
      </c>
      <c r="F8" s="88"/>
      <c r="G8" s="90">
        <v>45261</v>
      </c>
      <c r="H8" s="89">
        <f>'Commvault S3 Data Collection'!AF12</f>
        <v>672.04</v>
      </c>
      <c r="I8" s="89"/>
      <c r="J8" s="89">
        <f>SUM('Commvault S3 Data Collection'!AF10:AF11)</f>
        <v>7061.46</v>
      </c>
      <c r="K8" s="89"/>
      <c r="L8" s="89">
        <f>'Commvault S3 Data Collection'!AF36</f>
        <v>1188.92</v>
      </c>
      <c r="M8" s="89"/>
      <c r="N8" s="89">
        <f>'Commvault S3 Data Collection'!AF26</f>
        <v>21.65</v>
      </c>
      <c r="O8" s="89"/>
      <c r="P8" s="89">
        <f>'Commvault S3 Data Collection'!AF31</f>
        <v>27.28</v>
      </c>
      <c r="Q8" s="89"/>
      <c r="R8" s="89">
        <f>SUM('Commvault S3 Data Collection'!AF57,'Commvault S3 Data Collection'!AF59)</f>
        <v>731.12</v>
      </c>
      <c r="S8" s="89"/>
      <c r="T8" s="89">
        <f>'Commvault S3 Data Collection'!AF41</f>
        <v>713.07</v>
      </c>
      <c r="U8" s="88"/>
    </row>
    <row r="9" spans="1:21" x14ac:dyDescent="0.25">
      <c r="A9" s="126"/>
      <c r="B9" s="85"/>
      <c r="D9">
        <v>1.1000000000000001</v>
      </c>
      <c r="E9" s="88">
        <f t="shared" si="0"/>
        <v>10764.22</v>
      </c>
      <c r="F9" s="88"/>
      <c r="G9" s="90">
        <v>45292</v>
      </c>
      <c r="H9" s="89">
        <f>'Commvault S3 Data Collection'!AG12</f>
        <v>781.07</v>
      </c>
      <c r="I9" s="89"/>
      <c r="J9" s="89">
        <f>SUM('Commvault S3 Data Collection'!AG10:AG11)</f>
        <v>7268.2699999999995</v>
      </c>
      <c r="K9" s="89"/>
      <c r="L9" s="89">
        <f>'Commvault S3 Data Collection'!AG36</f>
        <v>1196.6199999999999</v>
      </c>
      <c r="M9" s="89"/>
      <c r="N9" s="89">
        <f>'Commvault S3 Data Collection'!AG26</f>
        <v>26.35</v>
      </c>
      <c r="O9" s="89"/>
      <c r="P9" s="89">
        <f>'Commvault S3 Data Collection'!AG31</f>
        <v>35.74</v>
      </c>
      <c r="Q9" s="89"/>
      <c r="R9" s="89">
        <f>SUM('Commvault S3 Data Collection'!AG57,'Commvault S3 Data Collection'!AG59)</f>
        <v>743.66</v>
      </c>
      <c r="S9" s="89"/>
      <c r="T9" s="89">
        <f>'Commvault S3 Data Collection'!AG41</f>
        <v>712.51</v>
      </c>
      <c r="U9" s="88"/>
    </row>
    <row r="10" spans="1:21" x14ac:dyDescent="0.25">
      <c r="A10" s="126"/>
      <c r="B10" s="85"/>
      <c r="D10">
        <v>1.1000000000000001</v>
      </c>
      <c r="E10" s="88">
        <f t="shared" si="0"/>
        <v>11101.96</v>
      </c>
      <c r="F10" s="88"/>
      <c r="G10" s="90">
        <v>45323</v>
      </c>
      <c r="H10" s="89">
        <f>'Commvault S3 Data Collection'!AH12</f>
        <v>738.59</v>
      </c>
      <c r="I10" s="89"/>
      <c r="J10" s="89">
        <f>SUM('Commvault S3 Data Collection'!AH10:AH11)</f>
        <v>7581.86</v>
      </c>
      <c r="K10" s="89"/>
      <c r="L10" s="89">
        <f>'Commvault S3 Data Collection'!AH36</f>
        <v>1265.97</v>
      </c>
      <c r="M10" s="89"/>
      <c r="N10" s="89">
        <f>'Commvault S3 Data Collection'!AH26</f>
        <v>30.84</v>
      </c>
      <c r="O10" s="89"/>
      <c r="P10" s="89">
        <f>'Commvault S3 Data Collection'!AH31</f>
        <v>43.44</v>
      </c>
      <c r="Q10" s="89"/>
      <c r="R10" s="89">
        <f>SUM('Commvault S3 Data Collection'!AH57,'Commvault S3 Data Collection'!AH59)</f>
        <v>733.16</v>
      </c>
      <c r="S10" s="89"/>
      <c r="T10" s="89">
        <f>'Commvault S3 Data Collection'!AH41</f>
        <v>708.1</v>
      </c>
      <c r="U10" s="88"/>
    </row>
    <row r="11" spans="1:21" ht="30" x14ac:dyDescent="0.25">
      <c r="A11" s="126"/>
      <c r="B11" s="87" t="s">
        <v>284</v>
      </c>
      <c r="D11">
        <v>1.1000000000000001</v>
      </c>
      <c r="E11" s="88">
        <f t="shared" si="0"/>
        <v>10726.57</v>
      </c>
      <c r="F11" s="88"/>
      <c r="G11" s="90">
        <v>45352</v>
      </c>
      <c r="H11" s="89">
        <f>'Commvault S3 Data Collection'!AI12</f>
        <v>681.9</v>
      </c>
      <c r="I11" s="89"/>
      <c r="J11" s="89">
        <f>SUM('Commvault S3 Data Collection'!AI10:AI11)</f>
        <v>7235.46</v>
      </c>
      <c r="K11" s="89"/>
      <c r="L11" s="89">
        <f>'Commvault S3 Data Collection'!AI36</f>
        <v>1260.3900000000001</v>
      </c>
      <c r="M11" s="89"/>
      <c r="N11" s="89">
        <f>'Commvault S3 Data Collection'!AI26</f>
        <v>35.64</v>
      </c>
      <c r="O11" s="89"/>
      <c r="P11" s="89">
        <f>'Commvault S3 Data Collection'!AI31</f>
        <v>50.25</v>
      </c>
      <c r="Q11" s="89"/>
      <c r="R11" s="89">
        <f>SUM('Commvault S3 Data Collection'!AI57,'Commvault S3 Data Collection'!AI59)</f>
        <v>749.25</v>
      </c>
      <c r="S11" s="89"/>
      <c r="T11" s="89">
        <f>'Commvault S3 Data Collection'!AI41</f>
        <v>713.68</v>
      </c>
      <c r="U11" s="88"/>
    </row>
    <row r="12" spans="1:21" x14ac:dyDescent="0.25">
      <c r="A12" s="126"/>
      <c r="B12" t="s">
        <v>285</v>
      </c>
      <c r="D12">
        <v>1.1000000000000001</v>
      </c>
      <c r="E12" s="88">
        <f t="shared" si="0"/>
        <v>12935.279999999997</v>
      </c>
      <c r="F12" s="88"/>
      <c r="G12" s="90">
        <v>45383</v>
      </c>
      <c r="H12" s="89">
        <f>'Commvault S3 Data Collection'!AJ12</f>
        <v>804.63</v>
      </c>
      <c r="I12" s="89"/>
      <c r="J12" s="89">
        <f>SUM('Commvault S3 Data Collection'!AJ10:AJ11)</f>
        <v>9266.99</v>
      </c>
      <c r="K12" s="89"/>
      <c r="L12" s="89">
        <f>'Commvault S3 Data Collection'!AJ36</f>
        <v>1294.3</v>
      </c>
      <c r="M12" s="89"/>
      <c r="N12" s="89">
        <f>'Commvault S3 Data Collection'!AJ26</f>
        <v>42.96</v>
      </c>
      <c r="O12" s="89"/>
      <c r="P12" s="89">
        <f>'Commvault S3 Data Collection'!AJ31</f>
        <v>53.31</v>
      </c>
      <c r="Q12" s="89"/>
      <c r="R12" s="89">
        <f>SUM('Commvault S3 Data Collection'!AJ57,'Commvault S3 Data Collection'!AJ59)</f>
        <v>759.56000000000006</v>
      </c>
      <c r="S12" s="89"/>
      <c r="T12" s="89">
        <f>'Commvault S3 Data Collection'!AJ41</f>
        <v>713.53</v>
      </c>
      <c r="U12" s="88"/>
    </row>
    <row r="13" spans="1:21" x14ac:dyDescent="0.25">
      <c r="A13" s="126"/>
      <c r="B13" s="85"/>
      <c r="D13">
        <v>1.1000000000000001</v>
      </c>
      <c r="E13" s="88">
        <f t="shared" si="0"/>
        <v>10712.779999999999</v>
      </c>
      <c r="F13" s="88"/>
      <c r="G13" s="90">
        <v>45413</v>
      </c>
      <c r="H13" s="89">
        <f>'Commvault S3 Data Collection'!AK12</f>
        <v>682.23</v>
      </c>
      <c r="I13" s="89"/>
      <c r="J13" s="89">
        <f>SUM('Commvault S3 Data Collection'!AK10:AK11)</f>
        <v>7117.11</v>
      </c>
      <c r="K13" s="89"/>
      <c r="L13" s="89">
        <f>'Commvault S3 Data Collection'!AK36</f>
        <v>1283.6500000000001</v>
      </c>
      <c r="M13" s="89"/>
      <c r="N13" s="89">
        <f>'Commvault S3 Data Collection'!AK26</f>
        <v>52.97</v>
      </c>
      <c r="O13" s="89"/>
      <c r="P13" s="89">
        <f>'Commvault S3 Data Collection'!AK31</f>
        <v>62.8</v>
      </c>
      <c r="Q13" s="89"/>
      <c r="R13" s="89">
        <f>SUM('Commvault S3 Data Collection'!AK57,'Commvault S3 Data Collection'!AK59)</f>
        <v>805.86</v>
      </c>
      <c r="S13" s="89"/>
      <c r="T13" s="89">
        <f>'Commvault S3 Data Collection'!AK41</f>
        <v>708.16</v>
      </c>
      <c r="U13" s="88"/>
    </row>
    <row r="14" spans="1:21" x14ac:dyDescent="0.25">
      <c r="A14" s="126"/>
      <c r="B14" s="85"/>
      <c r="D14">
        <v>1.1000000000000001</v>
      </c>
      <c r="E14" s="88">
        <f t="shared" si="0"/>
        <v>10490.269999999997</v>
      </c>
      <c r="F14" s="88"/>
      <c r="G14" s="90">
        <v>45444</v>
      </c>
      <c r="H14" s="89">
        <f>'Commvault S3 Data Collection'!AL12</f>
        <v>723.62</v>
      </c>
      <c r="I14" s="89"/>
      <c r="J14" s="89">
        <f>SUM('Commvault S3 Data Collection'!AL10:AL11)</f>
        <v>6863.9</v>
      </c>
      <c r="K14" s="89"/>
      <c r="L14" s="89">
        <f>'Commvault S3 Data Collection'!AL36</f>
        <v>1156.3399999999999</v>
      </c>
      <c r="M14" s="89"/>
      <c r="N14" s="89">
        <f>'Commvault S3 Data Collection'!AL26</f>
        <v>57.4</v>
      </c>
      <c r="O14" s="89"/>
      <c r="P14" s="89">
        <f>'Commvault S3 Data Collection'!AL31</f>
        <v>64.3</v>
      </c>
      <c r="Q14" s="89"/>
      <c r="R14" s="89">
        <f>SUM('Commvault S3 Data Collection'!AL57,'Commvault S3 Data Collection'!AL59)</f>
        <v>790.24</v>
      </c>
      <c r="S14" s="89"/>
      <c r="T14" s="89">
        <f>'Commvault S3 Data Collection'!AL41</f>
        <v>834.47</v>
      </c>
      <c r="U14" s="88"/>
    </row>
    <row r="15" spans="1:21" x14ac:dyDescent="0.25">
      <c r="A15" s="126"/>
      <c r="B15" t="s">
        <v>285</v>
      </c>
      <c r="D15">
        <v>1.1000000000000001</v>
      </c>
      <c r="E15" s="88">
        <f t="shared" si="0"/>
        <v>10211.18</v>
      </c>
      <c r="F15" s="88"/>
      <c r="G15" s="90">
        <v>45474</v>
      </c>
      <c r="H15" s="89">
        <f>'Commvault S3 Data Collection'!AM12</f>
        <v>727.2</v>
      </c>
      <c r="I15" s="89"/>
      <c r="J15" s="89">
        <f>SUM('Commvault S3 Data Collection'!AM10:AM11)</f>
        <v>6440.46</v>
      </c>
      <c r="K15" s="89"/>
      <c r="L15" s="89">
        <f>'Commvault S3 Data Collection'!AM36</f>
        <v>1100.8699999999999</v>
      </c>
      <c r="M15" s="89"/>
      <c r="N15" s="89">
        <f>'Commvault S3 Data Collection'!AM26</f>
        <v>57.6</v>
      </c>
      <c r="O15" s="89"/>
      <c r="P15" s="89">
        <f>'Commvault S3 Data Collection'!AM31</f>
        <v>69.89</v>
      </c>
      <c r="Q15" s="89"/>
      <c r="R15" s="89">
        <f>SUM('Commvault S3 Data Collection'!AM57,'Commvault S3 Data Collection'!AM59)</f>
        <v>774.71</v>
      </c>
      <c r="S15" s="89"/>
      <c r="T15" s="89">
        <f>'Commvault S3 Data Collection'!AM41</f>
        <v>1040.45</v>
      </c>
      <c r="U15" s="88"/>
    </row>
    <row r="16" spans="1:21" x14ac:dyDescent="0.25">
      <c r="A16" s="126"/>
      <c r="B16" s="85"/>
      <c r="D16">
        <v>1.1000000000000001</v>
      </c>
      <c r="E16" s="88">
        <f t="shared" si="0"/>
        <v>10526.352500000001</v>
      </c>
      <c r="F16" s="88"/>
      <c r="G16" s="90">
        <v>45505</v>
      </c>
      <c r="H16" s="89">
        <f>'Commvault S3 Data Collection'!AN12</f>
        <v>752.221</v>
      </c>
      <c r="I16" s="89"/>
      <c r="J16" s="89">
        <f>SUM('Commvault S3 Data Collection'!AN10:AN11)</f>
        <v>6567.8482999999997</v>
      </c>
      <c r="K16" s="89"/>
      <c r="L16" s="89">
        <f>'Commvault S3 Data Collection'!AN36</f>
        <v>1190.28</v>
      </c>
      <c r="M16" s="89"/>
      <c r="N16" s="89">
        <f>'Commvault S3 Data Collection'!AN26</f>
        <v>61.913200000000003</v>
      </c>
      <c r="O16" s="89"/>
      <c r="P16" s="89">
        <f>'Commvault S3 Data Collection'!AN31</f>
        <v>79.489999999999995</v>
      </c>
      <c r="Q16" s="89"/>
      <c r="R16" s="89">
        <f>SUM('Commvault S3 Data Collection'!AN57,'Commvault S3 Data Collection'!AN59)</f>
        <v>810.69</v>
      </c>
      <c r="S16" s="89"/>
      <c r="T16" s="89">
        <f>'Commvault S3 Data Collection'!AN41</f>
        <v>1063.9100000000001</v>
      </c>
      <c r="U16" s="88"/>
    </row>
    <row r="17" spans="1:21" x14ac:dyDescent="0.25">
      <c r="A17" s="126"/>
      <c r="B17" s="85"/>
      <c r="D17">
        <v>1.1000000000000001</v>
      </c>
      <c r="E17" s="88">
        <f t="shared" si="0"/>
        <v>10331.43</v>
      </c>
      <c r="F17" s="88"/>
      <c r="G17" s="90">
        <v>45536</v>
      </c>
      <c r="H17" s="89">
        <f>'Commvault S3 Data Collection'!AO12</f>
        <v>725</v>
      </c>
      <c r="I17" s="89"/>
      <c r="J17" s="89">
        <f>SUM('Commvault S3 Data Collection'!AO10:AO11)</f>
        <v>6519.16</v>
      </c>
      <c r="K17" s="89"/>
      <c r="L17" s="89">
        <f>'Commvault S3 Data Collection'!AO36</f>
        <v>1217.8399999999999</v>
      </c>
      <c r="M17" s="89"/>
      <c r="N17" s="89">
        <f>'Commvault S3 Data Collection'!AO26</f>
        <v>64.680000000000007</v>
      </c>
      <c r="O17" s="89"/>
      <c r="P17" s="89">
        <f>'Commvault S3 Data Collection'!AO31</f>
        <v>81.97</v>
      </c>
      <c r="Q17" s="89"/>
      <c r="R17" s="89">
        <f>SUM('Commvault S3 Data Collection'!AO57,'Commvault S3 Data Collection'!AO59)</f>
        <v>851.46</v>
      </c>
      <c r="S17" s="89"/>
      <c r="T17" s="89">
        <f>'Commvault S3 Data Collection'!AO41</f>
        <v>871.32</v>
      </c>
      <c r="U17" s="88"/>
    </row>
    <row r="18" spans="1:21" x14ac:dyDescent="0.25">
      <c r="A18" s="126"/>
      <c r="B18" t="s">
        <v>285</v>
      </c>
      <c r="D18">
        <v>1.1000000000000001</v>
      </c>
      <c r="E18" s="88">
        <f t="shared" si="0"/>
        <v>9969.5</v>
      </c>
      <c r="F18" s="88"/>
      <c r="G18" s="90">
        <v>45566</v>
      </c>
      <c r="H18" s="89">
        <f>'Commvault S3 Data Collection'!AP12</f>
        <v>726</v>
      </c>
      <c r="I18" s="89"/>
      <c r="J18" s="89">
        <f>SUM('Commvault S3 Data Collection'!AP10:AP11)</f>
        <v>6484.79</v>
      </c>
      <c r="K18" s="89"/>
      <c r="L18" s="89">
        <f>'Commvault S3 Data Collection'!AP36</f>
        <v>1254.6400000000001</v>
      </c>
      <c r="M18" s="89"/>
      <c r="N18" s="89">
        <f>'Commvault S3 Data Collection'!AP26</f>
        <v>64.069999999999993</v>
      </c>
      <c r="O18" s="89"/>
      <c r="P18" s="89">
        <f>'Commvault S3 Data Collection'!AP31</f>
        <v>84.77</v>
      </c>
      <c r="Q18" s="89"/>
      <c r="R18" s="89">
        <f>SUM('Commvault S3 Data Collection'!AP57,'Commvault S3 Data Collection'!AP59)</f>
        <v>842.07</v>
      </c>
      <c r="S18" s="89"/>
      <c r="T18" s="89">
        <f>'Commvault S3 Data Collection'!AP41</f>
        <v>513.16</v>
      </c>
      <c r="U18" s="88"/>
    </row>
    <row r="19" spans="1:21" x14ac:dyDescent="0.25">
      <c r="A19" s="126"/>
      <c r="B19" s="85"/>
      <c r="D19">
        <v>1.1000000000000001</v>
      </c>
      <c r="E19" s="88">
        <f t="shared" si="0"/>
        <v>9924.1999999999989</v>
      </c>
      <c r="F19" s="88"/>
      <c r="G19" s="90">
        <v>45597</v>
      </c>
      <c r="H19" s="89">
        <f>'Commvault S3 Data Collection'!AQ12</f>
        <v>728.66</v>
      </c>
      <c r="I19" s="89"/>
      <c r="J19" s="89">
        <f>SUM('Commvault S3 Data Collection'!AQ10:AQ11)</f>
        <v>6481.32</v>
      </c>
      <c r="K19" s="89"/>
      <c r="L19" s="89">
        <f>'Commvault S3 Data Collection'!AQ36</f>
        <v>1250.92</v>
      </c>
      <c r="M19" s="89"/>
      <c r="N19" s="89">
        <f>'Commvault S3 Data Collection'!AQ26</f>
        <v>66.069999999999993</v>
      </c>
      <c r="O19" s="89"/>
      <c r="P19" s="89">
        <f>'Commvault S3 Data Collection'!AQ31</f>
        <v>87.34</v>
      </c>
      <c r="Q19" s="89"/>
      <c r="R19" s="89">
        <f>SUM('Commvault S3 Data Collection'!AQ57,'Commvault S3 Data Collection'!AQ59)</f>
        <v>849.65</v>
      </c>
      <c r="S19" s="89"/>
      <c r="T19" s="89">
        <f>'Commvault S3 Data Collection'!AQ41</f>
        <v>460.24</v>
      </c>
      <c r="U19" s="88"/>
    </row>
    <row r="20" spans="1:21" x14ac:dyDescent="0.25">
      <c r="A20" s="126"/>
      <c r="B20" s="85"/>
      <c r="D20">
        <v>1.1000000000000001</v>
      </c>
      <c r="E20" s="88">
        <f t="shared" si="0"/>
        <v>9869.5500000000011</v>
      </c>
      <c r="F20" s="88"/>
      <c r="G20" s="90">
        <v>45627</v>
      </c>
      <c r="H20" s="89">
        <f>'Commvault S3 Data Collection'!AR12</f>
        <v>733.75</v>
      </c>
      <c r="I20" s="89"/>
      <c r="J20" s="89">
        <f>SUM('Commvault S3 Data Collection'!AR10:AR11)</f>
        <v>6346.57</v>
      </c>
      <c r="K20" s="89"/>
      <c r="L20" s="89">
        <f>'Commvault S3 Data Collection'!AR36</f>
        <v>1305.8800000000001</v>
      </c>
      <c r="M20" s="89"/>
      <c r="N20" s="89">
        <f>'Commvault S3 Data Collection'!AR26</f>
        <v>68.680000000000007</v>
      </c>
      <c r="O20" s="89"/>
      <c r="P20" s="89">
        <f>'Commvault S3 Data Collection'!AR31</f>
        <v>90.1</v>
      </c>
      <c r="Q20" s="89"/>
      <c r="R20" s="89">
        <f>SUM('Commvault S3 Data Collection'!AR57,'Commvault S3 Data Collection'!AR59)</f>
        <v>859.5</v>
      </c>
      <c r="S20" s="89"/>
      <c r="T20" s="89">
        <f>'Commvault S3 Data Collection'!AR41</f>
        <v>465.07</v>
      </c>
      <c r="U20" s="88"/>
    </row>
    <row r="21" spans="1:21" x14ac:dyDescent="0.25">
      <c r="A21" s="126"/>
      <c r="B21" t="s">
        <v>286</v>
      </c>
      <c r="D21">
        <v>1.1000000000000001</v>
      </c>
      <c r="E21" s="88">
        <f t="shared" si="0"/>
        <v>9946.3499999999985</v>
      </c>
      <c r="F21" s="88"/>
      <c r="G21" s="90">
        <v>45658</v>
      </c>
      <c r="H21" s="89">
        <f>'Commvault S3 Data Collection'!AS12</f>
        <v>756.69</v>
      </c>
      <c r="I21" s="89"/>
      <c r="J21" s="89">
        <f>SUM('Commvault S3 Data Collection'!AS10:AS11)</f>
        <v>6238.2</v>
      </c>
      <c r="K21" s="89"/>
      <c r="L21" s="89">
        <f>'Commvault S3 Data Collection'!AS36</f>
        <v>1508.6</v>
      </c>
      <c r="M21" s="89"/>
      <c r="N21" s="89">
        <f>'Commvault S3 Data Collection'!AS26</f>
        <v>68.989999999999995</v>
      </c>
      <c r="O21" s="89"/>
      <c r="P21" s="89">
        <f>'Commvault S3 Data Collection'!AS31</f>
        <v>89.21</v>
      </c>
      <c r="Q21" s="89"/>
      <c r="R21" s="89">
        <f>SUM('Commvault S3 Data Collection'!AS57,'Commvault S3 Data Collection'!AS59)</f>
        <v>818</v>
      </c>
      <c r="S21" s="89"/>
      <c r="T21" s="89">
        <f>'Commvault S3 Data Collection'!AS41</f>
        <v>466.66</v>
      </c>
      <c r="U21" s="88"/>
    </row>
    <row r="22" spans="1:21" x14ac:dyDescent="0.25">
      <c r="A22" s="126"/>
      <c r="B22" s="85"/>
      <c r="D22">
        <v>1.1000000000000001</v>
      </c>
      <c r="E22" s="88">
        <f t="shared" si="0"/>
        <v>10007.41</v>
      </c>
      <c r="F22" s="88"/>
      <c r="G22" s="90">
        <v>45689</v>
      </c>
      <c r="H22" s="89">
        <f>'Commvault S3 Data Collection'!AT12</f>
        <v>762.26</v>
      </c>
      <c r="I22" s="89"/>
      <c r="J22" s="89">
        <f>SUM('Commvault S3 Data Collection'!AT10:AT11)</f>
        <v>6225.86</v>
      </c>
      <c r="K22" s="89"/>
      <c r="L22" s="89">
        <f>'Commvault S3 Data Collection'!AT36</f>
        <v>1557.29</v>
      </c>
      <c r="M22" s="89"/>
      <c r="N22" s="89">
        <f>'Commvault S3 Data Collection'!AT26</f>
        <v>70.78</v>
      </c>
      <c r="O22" s="89"/>
      <c r="P22" s="89">
        <f>'Commvault S3 Data Collection'!AT31</f>
        <v>90.06</v>
      </c>
      <c r="Q22" s="89"/>
      <c r="R22" s="89">
        <f>SUM('Commvault S3 Data Collection'!AT57,'Commvault S3 Data Collection'!AT59)</f>
        <v>830.96</v>
      </c>
      <c r="S22" s="89"/>
      <c r="T22" s="89">
        <f>'Commvault S3 Data Collection'!AT41</f>
        <v>470.2</v>
      </c>
      <c r="U22" s="88"/>
    </row>
    <row r="23" spans="1:21" x14ac:dyDescent="0.25">
      <c r="A23" s="126"/>
      <c r="B23" s="85"/>
      <c r="D23">
        <v>1.1000000000000001</v>
      </c>
      <c r="E23" s="88">
        <f t="shared" si="0"/>
        <v>10029.990000000002</v>
      </c>
      <c r="F23" s="88"/>
      <c r="G23" s="90">
        <v>45717</v>
      </c>
      <c r="H23" s="89">
        <f>'Commvault S3 Data Collection'!AU12</f>
        <v>765.43</v>
      </c>
      <c r="I23" s="89"/>
      <c r="J23" s="89">
        <f>SUM('Commvault S3 Data Collection'!AU10:AU11)</f>
        <v>6163.83</v>
      </c>
      <c r="K23" s="89"/>
      <c r="L23" s="89">
        <f>'Commvault S3 Data Collection'!AU36</f>
        <v>1602.01</v>
      </c>
      <c r="M23" s="89"/>
      <c r="N23" s="89">
        <f>'Commvault S3 Data Collection'!AU26</f>
        <v>73.510000000000005</v>
      </c>
      <c r="O23" s="89"/>
      <c r="P23" s="89">
        <f>'Commvault S3 Data Collection'!AU31</f>
        <v>91.43</v>
      </c>
      <c r="Q23" s="89"/>
      <c r="R23" s="89">
        <f>SUM('Commvault S3 Data Collection'!AU57,'Commvault S3 Data Collection'!AU59)</f>
        <v>841.66</v>
      </c>
      <c r="S23" s="89"/>
      <c r="T23" s="89">
        <f>'Commvault S3 Data Collection'!AU41</f>
        <v>492.12</v>
      </c>
      <c r="U23" s="88"/>
    </row>
    <row r="24" spans="1:21" x14ac:dyDescent="0.25">
      <c r="A24" s="126"/>
      <c r="B24" t="s">
        <v>285</v>
      </c>
      <c r="D24">
        <v>1.1000000000000001</v>
      </c>
      <c r="E24" s="88">
        <f t="shared" si="0"/>
        <v>10179.1</v>
      </c>
      <c r="F24" s="88"/>
      <c r="G24" s="90">
        <v>45748</v>
      </c>
      <c r="H24" s="89">
        <f>'Commvault S3 Data Collection'!AV12</f>
        <v>765.02</v>
      </c>
      <c r="I24" s="89"/>
      <c r="J24" s="89">
        <f>SUM('Commvault S3 Data Collection'!AV10:AV11)</f>
        <v>6240.8899999999994</v>
      </c>
      <c r="K24" s="89"/>
      <c r="L24" s="89">
        <f>'Commvault S3 Data Collection'!AV36</f>
        <v>1628.54</v>
      </c>
      <c r="M24" s="89"/>
      <c r="N24" s="89">
        <f>'Commvault S3 Data Collection'!AV26</f>
        <v>76.56</v>
      </c>
      <c r="O24" s="89"/>
      <c r="P24" s="89">
        <f>'Commvault S3 Data Collection'!AV31</f>
        <v>91.51</v>
      </c>
      <c r="Q24" s="89"/>
      <c r="R24" s="89">
        <f>SUM('Commvault S3 Data Collection'!AV57,'Commvault S3 Data Collection'!AV59)</f>
        <v>817.5</v>
      </c>
      <c r="S24" s="89"/>
      <c r="T24" s="89">
        <f>'Commvault S3 Data Collection'!AV41</f>
        <v>559.08000000000004</v>
      </c>
      <c r="U24" s="88"/>
    </row>
    <row r="25" spans="1:21" x14ac:dyDescent="0.25">
      <c r="A25" s="126"/>
      <c r="B25" s="85"/>
      <c r="D25">
        <v>1.1000000000000001</v>
      </c>
      <c r="E25" s="88">
        <f t="shared" si="0"/>
        <v>10324.98</v>
      </c>
      <c r="F25" s="88"/>
      <c r="G25" s="90">
        <v>45778</v>
      </c>
      <c r="H25" s="89">
        <f>'Commvault S3 Data Collection'!AW12</f>
        <v>766.52</v>
      </c>
      <c r="I25" s="89"/>
      <c r="J25" s="89">
        <f>SUM('Commvault S3 Data Collection'!AW10:AW11)</f>
        <v>6337.72</v>
      </c>
      <c r="K25" s="89"/>
      <c r="L25" s="89">
        <f>'Commvault S3 Data Collection'!AW36</f>
        <v>1666.73</v>
      </c>
      <c r="M25" s="89"/>
      <c r="N25" s="89">
        <f>'Commvault S3 Data Collection'!AW26</f>
        <v>81.489999999999995</v>
      </c>
      <c r="O25" s="89"/>
      <c r="P25" s="89">
        <f>'Commvault S3 Data Collection'!AW31</f>
        <v>95.06</v>
      </c>
      <c r="Q25" s="89"/>
      <c r="R25" s="89">
        <f>SUM('Commvault S3 Data Collection'!AW57,'Commvault S3 Data Collection'!AW59)</f>
        <v>811.68</v>
      </c>
      <c r="S25" s="89"/>
      <c r="T25" s="89">
        <f>'Commvault S3 Data Collection'!AW41</f>
        <v>565.78</v>
      </c>
      <c r="U25" s="88"/>
    </row>
    <row r="26" spans="1:21" x14ac:dyDescent="0.25">
      <c r="A26" s="126"/>
      <c r="B26" s="85"/>
      <c r="D26">
        <v>1.1000000000000001</v>
      </c>
      <c r="E26" s="88">
        <f t="shared" si="0"/>
        <v>10387.84</v>
      </c>
      <c r="F26" s="88"/>
      <c r="G26" s="90">
        <v>45809</v>
      </c>
      <c r="H26" s="89">
        <f>'Commvault S3 Data Collection'!AX12</f>
        <v>769.13</v>
      </c>
      <c r="I26" s="89"/>
      <c r="J26" s="89">
        <f>SUM('Commvault S3 Data Collection'!AX10:AX11)</f>
        <v>6376.57</v>
      </c>
      <c r="K26" s="89"/>
      <c r="L26" s="89">
        <f>'Commvault S3 Data Collection'!AX36</f>
        <v>1692.25</v>
      </c>
      <c r="M26" s="89"/>
      <c r="N26" s="89">
        <f>'Commvault S3 Data Collection'!AX26</f>
        <v>85.08</v>
      </c>
      <c r="O26" s="89"/>
      <c r="P26" s="89">
        <f>'Commvault S3 Data Collection'!AX31</f>
        <v>97.77</v>
      </c>
      <c r="Q26" s="89"/>
      <c r="R26" s="89">
        <f>SUM('Commvault S3 Data Collection'!AX57,'Commvault S3 Data Collection'!AX59)</f>
        <v>800.14</v>
      </c>
      <c r="S26" s="89"/>
      <c r="T26" s="89">
        <f>'Commvault S3 Data Collection'!AX41</f>
        <v>566.9</v>
      </c>
      <c r="U26" s="88"/>
    </row>
    <row r="27" spans="1:21" x14ac:dyDescent="0.25">
      <c r="A27" s="126"/>
      <c r="B27" s="85"/>
      <c r="D27">
        <v>1.1000000000000001</v>
      </c>
      <c r="E27" s="88">
        <f t="shared" si="0"/>
        <v>10882.3</v>
      </c>
      <c r="F27" s="88"/>
      <c r="G27" s="90">
        <v>45839</v>
      </c>
      <c r="H27" s="89">
        <f>'Commvault S3 Data Collection'!AY12</f>
        <v>776.03</v>
      </c>
      <c r="I27" s="89"/>
      <c r="J27" s="89">
        <f>SUM('Commvault S3 Data Collection'!AY10:AY11)</f>
        <v>6815.51</v>
      </c>
      <c r="K27" s="89"/>
      <c r="L27" s="89">
        <f>'Commvault S3 Data Collection'!AY36</f>
        <v>1703.01</v>
      </c>
      <c r="M27" s="89"/>
      <c r="N27" s="89">
        <f>'Commvault S3 Data Collection'!AY26</f>
        <v>89.13</v>
      </c>
      <c r="O27" s="89"/>
      <c r="P27" s="89">
        <f>'Commvault S3 Data Collection'!AY31</f>
        <v>102.32</v>
      </c>
      <c r="Q27" s="89"/>
      <c r="R27" s="89">
        <f>SUM('Commvault S3 Data Collection'!AY57,'Commvault S3 Data Collection'!AY59)</f>
        <v>798.77</v>
      </c>
      <c r="S27" s="89"/>
      <c r="T27" s="89">
        <f>'Commvault S3 Data Collection'!AY41</f>
        <v>597.53</v>
      </c>
      <c r="U27" s="88"/>
    </row>
    <row r="28" spans="1:21" x14ac:dyDescent="0.25">
      <c r="D28">
        <v>1.1000000000000001</v>
      </c>
      <c r="E28" s="88">
        <f t="shared" si="0"/>
        <v>11254.449999999999</v>
      </c>
      <c r="F28" s="88"/>
      <c r="G28" s="90">
        <v>45870</v>
      </c>
      <c r="H28" s="89">
        <f>'Commvault S3 Data Collection'!AZ12</f>
        <v>782.68</v>
      </c>
      <c r="I28" s="89"/>
      <c r="J28" s="89">
        <f>SUM('Commvault S3 Data Collection'!AZ10:AZ11)</f>
        <v>7148.62</v>
      </c>
      <c r="K28" s="89"/>
      <c r="L28" s="89">
        <f>'Commvault S3 Data Collection'!AZ36</f>
        <v>1725.51</v>
      </c>
      <c r="M28" s="89"/>
      <c r="N28" s="89">
        <f>'Commvault S3 Data Collection'!AZ26</f>
        <v>91.5</v>
      </c>
      <c r="O28" s="89"/>
      <c r="P28" s="89">
        <f>'Commvault S3 Data Collection'!AZ31</f>
        <v>106.9</v>
      </c>
      <c r="Q28" s="89"/>
      <c r="R28" s="89">
        <f>SUM('Commvault S3 Data Collection'!AZ57,'Commvault S3 Data Collection'!AZ59)</f>
        <v>811.19</v>
      </c>
      <c r="S28" s="89"/>
      <c r="T28" s="89">
        <f>'Commvault S3 Data Collection'!AZ41</f>
        <v>588.04999999999995</v>
      </c>
      <c r="U28" s="88"/>
    </row>
    <row r="29" spans="1:21" x14ac:dyDescent="0.25">
      <c r="D29">
        <v>1.1000000000000001</v>
      </c>
      <c r="E29" s="88">
        <f t="shared" si="0"/>
        <v>11452.48</v>
      </c>
      <c r="F29" s="88"/>
      <c r="G29" s="90">
        <v>45901</v>
      </c>
      <c r="H29" s="89">
        <f>'Commvault S3 Data Collection'!BA12</f>
        <v>789.16</v>
      </c>
      <c r="I29" s="89"/>
      <c r="J29" s="89">
        <f>SUM('Commvault S3 Data Collection'!BA10:BA11)</f>
        <v>7306.09</v>
      </c>
      <c r="K29" s="89"/>
      <c r="L29" s="89">
        <f>'Commvault S3 Data Collection'!BA36</f>
        <v>1753.81</v>
      </c>
      <c r="M29" s="89"/>
      <c r="N29" s="89">
        <f>'Commvault S3 Data Collection'!BA26</f>
        <v>94.77</v>
      </c>
      <c r="O29" s="89"/>
      <c r="P29" s="89">
        <f>'Commvault S3 Data Collection'!BA31</f>
        <v>110.4</v>
      </c>
      <c r="Q29" s="89"/>
      <c r="R29" s="89">
        <f>SUM('Commvault S3 Data Collection'!BA57,'Commvault S3 Data Collection'!BA59)</f>
        <v>819.55</v>
      </c>
      <c r="S29" s="89"/>
      <c r="T29" s="89">
        <f>'Commvault S3 Data Collection'!BA41</f>
        <v>578.70000000000005</v>
      </c>
      <c r="U29" s="88"/>
    </row>
    <row r="30" spans="1:21" x14ac:dyDescent="0.25">
      <c r="D30">
        <v>1.1000000000000001</v>
      </c>
      <c r="E30" s="88">
        <f t="shared" si="0"/>
        <v>11807.699999999999</v>
      </c>
      <c r="F30" s="88"/>
      <c r="G30" s="90">
        <v>45931</v>
      </c>
      <c r="H30" s="89">
        <f>'Commvault S3 Data Collection'!BB12</f>
        <v>793.46</v>
      </c>
      <c r="I30" s="89"/>
      <c r="J30" s="89">
        <f>SUM('Commvault S3 Data Collection'!BB10:BB11)</f>
        <v>7606.54</v>
      </c>
      <c r="K30" s="89"/>
      <c r="L30" s="89">
        <f>'Commvault S3 Data Collection'!BB36</f>
        <v>1779.92</v>
      </c>
      <c r="M30" s="89"/>
      <c r="N30" s="89">
        <f>'Commvault S3 Data Collection'!BB26</f>
        <v>97.39</v>
      </c>
      <c r="O30" s="89"/>
      <c r="P30" s="89">
        <f>'Commvault S3 Data Collection'!BB31</f>
        <v>115.75</v>
      </c>
      <c r="Q30" s="89"/>
      <c r="R30" s="89">
        <f>SUM('Commvault S3 Data Collection'!BB57,'Commvault S3 Data Collection'!BB59)</f>
        <v>826.48</v>
      </c>
      <c r="S30" s="89"/>
      <c r="T30" s="89">
        <f>'Commvault S3 Data Collection'!BB41</f>
        <v>588.16</v>
      </c>
      <c r="U30" s="88"/>
    </row>
    <row r="31" spans="1:21" x14ac:dyDescent="0.25">
      <c r="D31">
        <v>1.1000000000000001</v>
      </c>
      <c r="E31" s="88">
        <f t="shared" si="0"/>
        <v>11806.339999999997</v>
      </c>
      <c r="F31" s="88"/>
      <c r="G31" s="90">
        <v>45962</v>
      </c>
      <c r="H31" s="89">
        <f>'Commvault S3 Data Collection'!BC12</f>
        <v>798.75</v>
      </c>
      <c r="I31" s="89"/>
      <c r="J31" s="89">
        <f>SUM('Commvault S3 Data Collection'!BC10:BC11)</f>
        <v>7625.21</v>
      </c>
      <c r="K31" s="89"/>
      <c r="L31" s="89">
        <f>'Commvault S3 Data Collection'!BC36</f>
        <v>1745.62</v>
      </c>
      <c r="M31" s="89"/>
      <c r="N31" s="89">
        <f>'Commvault S3 Data Collection'!BC26</f>
        <v>99.05</v>
      </c>
      <c r="O31" s="89"/>
      <c r="P31" s="89">
        <f>'Commvault S3 Data Collection'!BC31</f>
        <v>120.17</v>
      </c>
      <c r="Q31" s="89"/>
      <c r="R31" s="89">
        <f>SUM('Commvault S3 Data Collection'!BC57,'Commvault S3 Data Collection'!BC59)</f>
        <v>837.63</v>
      </c>
      <c r="S31" s="89"/>
      <c r="T31" s="89">
        <f>'Commvault S3 Data Collection'!BC41</f>
        <v>579.91</v>
      </c>
      <c r="U31" s="88"/>
    </row>
    <row r="32" spans="1:21" x14ac:dyDescent="0.25">
      <c r="D32">
        <v>1.1000000000000001</v>
      </c>
      <c r="E32" s="88">
        <f t="shared" si="0"/>
        <v>11589.180000000002</v>
      </c>
      <c r="F32" s="88"/>
      <c r="G32" s="90">
        <v>45992</v>
      </c>
      <c r="H32" s="89">
        <f>'Commvault S3 Data Collection'!BD12</f>
        <v>808.95</v>
      </c>
      <c r="I32" s="89"/>
      <c r="J32" s="89">
        <f>SUM('Commvault S3 Data Collection'!BD10:BD11)</f>
        <v>7547.2</v>
      </c>
      <c r="K32" s="89"/>
      <c r="L32" s="89">
        <f>'Commvault S3 Data Collection'!BD36</f>
        <v>1675.2</v>
      </c>
      <c r="M32" s="89"/>
      <c r="N32" s="89">
        <f>'Commvault S3 Data Collection'!BD26</f>
        <v>101.32</v>
      </c>
      <c r="O32" s="89"/>
      <c r="P32" s="89">
        <f>'Commvault S3 Data Collection'!BD31</f>
        <v>122.69</v>
      </c>
      <c r="Q32" s="89"/>
      <c r="R32" s="89">
        <f>SUM('Commvault S3 Data Collection'!BD57,'Commvault S3 Data Collection'!BD59)</f>
        <v>847.37</v>
      </c>
      <c r="S32" s="89"/>
      <c r="T32" s="89">
        <f>'Commvault S3 Data Collection'!BD41</f>
        <v>486.45</v>
      </c>
      <c r="U32" s="88"/>
    </row>
    <row r="33" spans="4:21" x14ac:dyDescent="0.25">
      <c r="D33">
        <v>1.1000000000000001</v>
      </c>
      <c r="E33" s="88">
        <f t="shared" si="0"/>
        <v>11746.499999999998</v>
      </c>
      <c r="F33" s="88"/>
      <c r="G33" s="90">
        <v>46023</v>
      </c>
      <c r="H33" s="89">
        <f>'Commvault S3 Data Collection'!BE12</f>
        <v>817.95</v>
      </c>
      <c r="I33" s="89"/>
      <c r="J33" s="89">
        <f>SUM('Commvault S3 Data Collection'!BE10:BE11)</f>
        <v>7693.8</v>
      </c>
      <c r="K33" s="89"/>
      <c r="L33" s="89">
        <f>'Commvault S3 Data Collection'!BE36</f>
        <v>1666.1</v>
      </c>
      <c r="M33" s="89"/>
      <c r="N33" s="89">
        <f>'Commvault S3 Data Collection'!BE26</f>
        <v>104.05</v>
      </c>
      <c r="O33" s="89"/>
      <c r="P33" s="89">
        <f>'Commvault S3 Data Collection'!BE31</f>
        <v>124.66</v>
      </c>
      <c r="Q33" s="89"/>
      <c r="R33" s="89">
        <f>SUM('Commvault S3 Data Collection'!BE57,'Commvault S3 Data Collection'!BE59)</f>
        <v>857.81</v>
      </c>
      <c r="S33" s="89"/>
      <c r="T33" s="89">
        <f>'Commvault S3 Data Collection'!BE41</f>
        <v>482.13</v>
      </c>
      <c r="U33" s="88"/>
    </row>
    <row r="34" spans="4:21" x14ac:dyDescent="0.25">
      <c r="D34">
        <v>1.1000000000000001</v>
      </c>
      <c r="E34" s="88">
        <f t="shared" si="0"/>
        <v>11828.980000000001</v>
      </c>
      <c r="F34" s="88"/>
      <c r="G34" s="90">
        <v>46054</v>
      </c>
      <c r="H34" s="89">
        <f>'Commvault S3 Data Collection'!BF12</f>
        <v>829</v>
      </c>
      <c r="I34" s="89"/>
      <c r="J34" s="89">
        <f>SUM('Commvault S3 Data Collection'!BF10:BF11)</f>
        <v>7714.01</v>
      </c>
      <c r="K34" s="89"/>
      <c r="L34" s="89">
        <f>'Commvault S3 Data Collection'!BF36</f>
        <v>1695.27</v>
      </c>
      <c r="M34" s="89"/>
      <c r="N34" s="89">
        <f>'Commvault S3 Data Collection'!BF26</f>
        <v>109.1</v>
      </c>
      <c r="O34" s="89"/>
      <c r="P34" s="89">
        <f>'Commvault S3 Data Collection'!BF31</f>
        <v>129.79</v>
      </c>
      <c r="Q34" s="89"/>
      <c r="R34" s="89">
        <f>SUM('Commvault S3 Data Collection'!BF57,'Commvault S3 Data Collection'!BF59)</f>
        <v>884.33</v>
      </c>
      <c r="S34" s="89"/>
      <c r="T34" s="89">
        <f>'Commvault S3 Data Collection'!BF41</f>
        <v>467.48</v>
      </c>
      <c r="U34" s="88"/>
    </row>
    <row r="35" spans="4:21" x14ac:dyDescent="0.25">
      <c r="D35">
        <v>1.1000000000000001</v>
      </c>
      <c r="E35" s="88">
        <f t="shared" si="0"/>
        <v>11923.18</v>
      </c>
      <c r="F35" s="88"/>
      <c r="G35" s="90">
        <v>46082</v>
      </c>
      <c r="H35" s="89">
        <f>'Commvault S3 Data Collection'!BG12</f>
        <v>836.59</v>
      </c>
      <c r="I35" s="89"/>
      <c r="J35" s="89">
        <f>SUM('Commvault S3 Data Collection'!BG10:BG11)</f>
        <v>7753.31</v>
      </c>
      <c r="K35" s="89"/>
      <c r="L35" s="89">
        <f>'Commvault S3 Data Collection'!BG36</f>
        <v>1715.43</v>
      </c>
      <c r="M35" s="89"/>
      <c r="N35" s="89">
        <f>'Commvault S3 Data Collection'!BG26</f>
        <v>112.6</v>
      </c>
      <c r="O35" s="89"/>
      <c r="P35" s="89">
        <f>'Commvault S3 Data Collection'!BG31</f>
        <v>131.93</v>
      </c>
      <c r="Q35" s="89"/>
      <c r="R35" s="89">
        <f>SUM('Commvault S3 Data Collection'!BG57,'Commvault S3 Data Collection'!BG59)</f>
        <v>910.5</v>
      </c>
      <c r="S35" s="89"/>
      <c r="T35" s="89">
        <f>'Commvault S3 Data Collection'!BG41</f>
        <v>462.82</v>
      </c>
      <c r="U35" s="88"/>
    </row>
    <row r="36" spans="4:21" x14ac:dyDescent="0.25">
      <c r="D36">
        <v>1.1000000000000001</v>
      </c>
      <c r="E36" s="88">
        <f t="shared" si="0"/>
        <v>12022.14</v>
      </c>
      <c r="F36" s="88"/>
      <c r="G36" s="90">
        <v>46113</v>
      </c>
      <c r="H36" s="89">
        <f>'Commvault S3 Data Collection'!BH12</f>
        <v>822.4</v>
      </c>
      <c r="I36" s="89"/>
      <c r="J36" s="89">
        <f>SUM('Commvault S3 Data Collection'!BH10:BH11)</f>
        <v>7813.9400000000005</v>
      </c>
      <c r="K36" s="89"/>
      <c r="L36" s="89">
        <f>'Commvault S3 Data Collection'!BH36</f>
        <v>1732.14</v>
      </c>
      <c r="M36" s="89"/>
      <c r="N36" s="89">
        <f>'Commvault S3 Data Collection'!BH26</f>
        <v>113.98</v>
      </c>
      <c r="O36" s="89"/>
      <c r="P36" s="89">
        <f>'Commvault S3 Data Collection'!BH31</f>
        <v>136.68</v>
      </c>
      <c r="Q36" s="89"/>
      <c r="R36" s="89">
        <f>SUM('Commvault S3 Data Collection'!BH57,'Commvault S3 Data Collection'!BH59)</f>
        <v>939.23</v>
      </c>
      <c r="S36" s="89"/>
      <c r="T36" s="89">
        <f>'Commvault S3 Data Collection'!BH41</f>
        <v>463.77</v>
      </c>
      <c r="U36" s="88"/>
    </row>
    <row r="37" spans="4:21" x14ac:dyDescent="0.25">
      <c r="D37">
        <v>1.1000000000000001</v>
      </c>
      <c r="E37" s="88">
        <f t="shared" si="0"/>
        <v>12301.38</v>
      </c>
      <c r="F37" s="88"/>
      <c r="G37" s="90">
        <v>46143</v>
      </c>
      <c r="H37" s="89">
        <f>'Commvault S3 Data Collection'!BI12</f>
        <v>827.27</v>
      </c>
      <c r="I37" s="89"/>
      <c r="J37" s="89">
        <f>SUM('Commvault S3 Data Collection'!BI10:BI11)</f>
        <v>7962.55</v>
      </c>
      <c r="K37" s="89"/>
      <c r="L37" s="89">
        <f>'Commvault S3 Data Collection'!BI36</f>
        <v>1790.81</v>
      </c>
      <c r="M37" s="89"/>
      <c r="N37" s="89">
        <f>'Commvault S3 Data Collection'!BI26</f>
        <v>118.77</v>
      </c>
      <c r="O37" s="89"/>
      <c r="P37" s="89">
        <f>'Commvault S3 Data Collection'!BI31</f>
        <v>145.68</v>
      </c>
      <c r="Q37" s="89"/>
      <c r="R37" s="89">
        <f>SUM('Commvault S3 Data Collection'!BI57,'Commvault S3 Data Collection'!BI59)</f>
        <v>977.73</v>
      </c>
      <c r="S37" s="89"/>
      <c r="T37" s="89">
        <f>'Commvault S3 Data Collection'!BI41</f>
        <v>478.57</v>
      </c>
      <c r="U37" s="88"/>
    </row>
    <row r="38" spans="4:21" x14ac:dyDescent="0.25">
      <c r="D38">
        <v>1.1000000000000001</v>
      </c>
      <c r="E38" s="88">
        <f t="shared" si="0"/>
        <v>12602.57</v>
      </c>
      <c r="F38" s="88"/>
      <c r="G38" s="90">
        <v>46174</v>
      </c>
      <c r="H38" s="89">
        <f>'Commvault S3 Data Collection'!BJ12</f>
        <v>834.64</v>
      </c>
      <c r="I38" s="89"/>
      <c r="J38" s="89">
        <f>SUM('Commvault S3 Data Collection'!BJ10:BJ11)</f>
        <v>8160.75</v>
      </c>
      <c r="K38" s="89"/>
      <c r="L38" s="89">
        <f>'Commvault S3 Data Collection'!BJ36</f>
        <v>1831.46</v>
      </c>
      <c r="M38" s="89"/>
      <c r="N38" s="89">
        <f>'Commvault S3 Data Collection'!BJ26</f>
        <v>123.27</v>
      </c>
      <c r="O38" s="89"/>
      <c r="P38" s="89">
        <f>'Commvault S3 Data Collection'!BJ31</f>
        <v>146.77000000000001</v>
      </c>
      <c r="Q38" s="89"/>
      <c r="R38" s="89">
        <f>SUM('Commvault S3 Data Collection'!BJ57,'Commvault S3 Data Collection'!BJ59)</f>
        <v>1011.85</v>
      </c>
      <c r="S38" s="89"/>
      <c r="T38" s="89">
        <f>'Commvault S3 Data Collection'!BJ41</f>
        <v>493.83</v>
      </c>
      <c r="U38" s="88"/>
    </row>
    <row r="39" spans="4:21" x14ac:dyDescent="0.25">
      <c r="D39">
        <v>1.1000000000000001</v>
      </c>
      <c r="E39" s="88">
        <f t="shared" si="0"/>
        <v>0</v>
      </c>
      <c r="F39" s="88">
        <f t="shared" ref="F39:F44" si="1">SUM(I39,K39,M39,O39,Q39,S39,U39)</f>
        <v>12703.064662945089</v>
      </c>
      <c r="G39" s="90">
        <v>46204</v>
      </c>
      <c r="H39" s="88"/>
      <c r="I39" s="89">
        <f>H38*(1+(D39^(1/12)-1))+C39</f>
        <v>841.29553656758026</v>
      </c>
      <c r="J39" s="88"/>
      <c r="K39" s="89">
        <f>J38*(1+(D39^(1/12)-1))+C39</f>
        <v>8225.8249665051771</v>
      </c>
      <c r="L39" s="88"/>
      <c r="M39" s="89">
        <f>L38*(1+(D39^(1/12)-1))+C39</f>
        <v>1846.0643192299201</v>
      </c>
      <c r="N39" s="88"/>
      <c r="O39" s="89">
        <f>N38*(1+(D39^(1/12)-1))+C39</f>
        <v>124.25297229067097</v>
      </c>
      <c r="P39" s="88"/>
      <c r="Q39" s="89">
        <f>P38*(1+(D39^(1/12)-1))+C39</f>
        <v>147.94036459075022</v>
      </c>
      <c r="R39" s="88"/>
      <c r="S39" s="89">
        <f>R38*(1+(D39^(1/12)-1))+C39</f>
        <v>1019.9186339929863</v>
      </c>
      <c r="T39" s="88"/>
      <c r="U39" s="88">
        <f>T38*(1+(D39^(1/12)-1))+C39</f>
        <v>497.76786976800554</v>
      </c>
    </row>
    <row r="40" spans="4:21" x14ac:dyDescent="0.25">
      <c r="D40">
        <v>1.1000000000000001</v>
      </c>
      <c r="E40" s="88">
        <f t="shared" si="0"/>
        <v>0</v>
      </c>
      <c r="F40" s="88">
        <f t="shared" si="1"/>
        <v>12804.36068444486</v>
      </c>
      <c r="G40" s="90">
        <v>46235</v>
      </c>
      <c r="H40" s="88"/>
      <c r="I40" s="89">
        <f t="shared" ref="I40:I44" si="2">I39*(1+(D40^(1/12)-1))+C40</f>
        <v>848.0041453183801</v>
      </c>
      <c r="J40" s="88"/>
      <c r="K40" s="89">
        <f t="shared" ref="K40:K44" si="3">K39*(1+(D40^(1/12)-1))+C40</f>
        <v>8291.4188499316715</v>
      </c>
      <c r="L40" s="88"/>
      <c r="M40" s="89">
        <f t="shared" ref="M40:M44" si="4">M39*(1+(D40^(1/12)-1))+C40</f>
        <v>1860.7850953522482</v>
      </c>
      <c r="N40" s="88"/>
      <c r="O40" s="89">
        <f t="shared" ref="O40:O44" si="5">O39*(1+(D40^(1/12)-1))+C40</f>
        <v>125.24378294042546</v>
      </c>
      <c r="P40" s="88"/>
      <c r="Q40" s="89">
        <f t="shared" ref="Q40:Q44" si="6">Q39*(1+(D40^(1/12)-1))+C40</f>
        <v>149.1200618331001</v>
      </c>
      <c r="R40" s="88"/>
      <c r="S40" s="89">
        <f t="shared" ref="S40:S44" si="7">S39*(1+(D40^(1/12)-1))+C40</f>
        <v>1028.0516084065021</v>
      </c>
      <c r="T40" s="88"/>
      <c r="U40" s="88">
        <f t="shared" ref="U40:U44" si="8">U39*(1+(D40^(1/12)-1))+C40</f>
        <v>501.73714066253189</v>
      </c>
    </row>
    <row r="41" spans="4:21" x14ac:dyDescent="0.25">
      <c r="D41">
        <v>1.1000000000000001</v>
      </c>
      <c r="E41" s="88">
        <f t="shared" si="0"/>
        <v>0</v>
      </c>
      <c r="F41" s="88">
        <f t="shared" si="1"/>
        <v>12906.464454644956</v>
      </c>
      <c r="G41" s="90">
        <v>46266</v>
      </c>
      <c r="H41" s="88"/>
      <c r="I41" s="89">
        <f t="shared" si="2"/>
        <v>854.7662494574414</v>
      </c>
      <c r="J41" s="88"/>
      <c r="K41" s="89">
        <f t="shared" si="3"/>
        <v>8357.5357881958862</v>
      </c>
      <c r="L41" s="88"/>
      <c r="M41" s="89">
        <f t="shared" si="4"/>
        <v>1875.6232570105981</v>
      </c>
      <c r="N41" s="88"/>
      <c r="O41" s="89">
        <f t="shared" si="5"/>
        <v>126.24249445343956</v>
      </c>
      <c r="P41" s="88"/>
      <c r="Q41" s="89">
        <f t="shared" si="6"/>
        <v>150.30916614692404</v>
      </c>
      <c r="R41" s="88"/>
      <c r="S41" s="89">
        <f t="shared" si="7"/>
        <v>1036.2494363000958</v>
      </c>
      <c r="T41" s="88"/>
      <c r="U41" s="88">
        <f t="shared" si="8"/>
        <v>505.73806308057158</v>
      </c>
    </row>
    <row r="42" spans="4:21" x14ac:dyDescent="0.25">
      <c r="D42">
        <v>1.1000000000000001</v>
      </c>
      <c r="E42" s="88">
        <f t="shared" si="0"/>
        <v>0</v>
      </c>
      <c r="F42" s="88">
        <f t="shared" si="1"/>
        <v>13009.382414646951</v>
      </c>
      <c r="G42" s="90">
        <v>46296</v>
      </c>
      <c r="H42" s="88"/>
      <c r="I42" s="89">
        <f>I41*(1+(D42^(1/12)-1))+C42</f>
        <v>861.58227556450242</v>
      </c>
      <c r="J42" s="88"/>
      <c r="K42" s="89">
        <f>K41*(1+(D42^(1/12)-1))+C42</f>
        <v>8424.1799522105484</v>
      </c>
      <c r="L42" s="88"/>
      <c r="M42" s="89">
        <f t="shared" si="4"/>
        <v>1890.5797402537185</v>
      </c>
      <c r="N42" s="88"/>
      <c r="O42" s="89">
        <f t="shared" si="5"/>
        <v>127.24916983230639</v>
      </c>
      <c r="P42" s="88"/>
      <c r="Q42" s="89">
        <f t="shared" si="6"/>
        <v>151.50775254553105</v>
      </c>
      <c r="R42" s="88"/>
      <c r="S42" s="89">
        <f t="shared" si="7"/>
        <v>1044.5126348245251</v>
      </c>
      <c r="T42" s="88"/>
      <c r="U42" s="88">
        <f t="shared" si="8"/>
        <v>509.77088941581786</v>
      </c>
    </row>
    <row r="43" spans="4:21" x14ac:dyDescent="0.25">
      <c r="D43">
        <v>1.1000000000000001</v>
      </c>
      <c r="E43" s="88">
        <f t="shared" si="0"/>
        <v>0</v>
      </c>
      <c r="F43" s="88">
        <f t="shared" si="1"/>
        <v>13113.121056914657</v>
      </c>
      <c r="G43" s="90">
        <v>46327</v>
      </c>
      <c r="H43" s="88"/>
      <c r="I43" s="89">
        <f t="shared" si="2"/>
        <v>868.45265362090822</v>
      </c>
      <c r="J43" s="88"/>
      <c r="K43" s="89">
        <f t="shared" si="3"/>
        <v>8491.3555461478318</v>
      </c>
      <c r="L43" s="88"/>
      <c r="M43" s="89">
        <f t="shared" si="4"/>
        <v>1905.655488594542</v>
      </c>
      <c r="N43" s="88"/>
      <c r="O43" s="89">
        <f t="shared" si="5"/>
        <v>128.26387258201063</v>
      </c>
      <c r="P43" s="88"/>
      <c r="Q43" s="89">
        <f t="shared" si="6"/>
        <v>152.71589664039672</v>
      </c>
      <c r="R43" s="88"/>
      <c r="S43" s="89">
        <f t="shared" si="7"/>
        <v>1052.8417252543802</v>
      </c>
      <c r="T43" s="88"/>
      <c r="U43" s="88">
        <f t="shared" si="8"/>
        <v>513.83587407458674</v>
      </c>
    </row>
    <row r="44" spans="4:21" x14ac:dyDescent="0.25">
      <c r="D44">
        <v>1.1000000000000001</v>
      </c>
      <c r="E44" s="88">
        <f t="shared" si="0"/>
        <v>0</v>
      </c>
      <c r="F44" s="88">
        <f t="shared" si="1"/>
        <v>13217.686925683709</v>
      </c>
      <c r="G44" s="90">
        <v>46357</v>
      </c>
      <c r="H44" s="88"/>
      <c r="I44" s="89">
        <f t="shared" si="2"/>
        <v>875.37781703673545</v>
      </c>
      <c r="J44" s="88"/>
      <c r="K44" s="89">
        <f t="shared" si="3"/>
        <v>8559.0668077045648</v>
      </c>
      <c r="L44" s="88"/>
      <c r="M44" s="89">
        <f t="shared" si="4"/>
        <v>1920.8514530697062</v>
      </c>
      <c r="N44" s="88"/>
      <c r="O44" s="89">
        <f t="shared" si="5"/>
        <v>129.28666671393461</v>
      </c>
      <c r="P44" s="88"/>
      <c r="Q44" s="89">
        <f t="shared" si="6"/>
        <v>153.93367464593319</v>
      </c>
      <c r="R44" s="88"/>
      <c r="S44" s="89">
        <f t="shared" si="7"/>
        <v>1061.237233020968</v>
      </c>
      <c r="T44" s="88"/>
      <c r="U44" s="88">
        <f t="shared" si="8"/>
        <v>517.93327349186598</v>
      </c>
    </row>
    <row r="45" spans="4:21" x14ac:dyDescent="0.25">
      <c r="E45" s="88"/>
      <c r="F45" s="88"/>
      <c r="H45" s="88"/>
      <c r="I45" s="88"/>
      <c r="J45" s="88"/>
      <c r="K45" s="88"/>
      <c r="L45" s="88"/>
      <c r="M45" s="88"/>
      <c r="N45" s="88"/>
      <c r="O45" s="88"/>
      <c r="P45" s="88"/>
      <c r="Q45" s="88"/>
      <c r="R45" s="88"/>
      <c r="S45" s="88"/>
      <c r="T45" s="88"/>
      <c r="U45" s="88"/>
    </row>
    <row r="46" spans="4:21" x14ac:dyDescent="0.25">
      <c r="E46" s="88"/>
      <c r="F46" s="88"/>
      <c r="H46" s="88"/>
      <c r="I46" s="88"/>
      <c r="J46" s="88"/>
      <c r="K46" s="88"/>
      <c r="L46" s="88"/>
      <c r="M46" s="88"/>
      <c r="N46" s="88"/>
      <c r="O46" s="88"/>
      <c r="P46" s="88"/>
      <c r="Q46" s="88"/>
      <c r="R46" s="88"/>
      <c r="S46" s="88"/>
      <c r="T46" s="88"/>
      <c r="U46" s="88"/>
    </row>
    <row r="47" spans="4:21" x14ac:dyDescent="0.25">
      <c r="E47" s="88"/>
      <c r="F47" s="88"/>
      <c r="H47" s="88"/>
      <c r="I47" s="88"/>
      <c r="J47" s="88"/>
      <c r="K47" s="88"/>
      <c r="L47" s="88"/>
      <c r="M47" s="88"/>
      <c r="N47" s="88"/>
      <c r="O47" s="88"/>
      <c r="P47" s="88"/>
      <c r="Q47" s="88"/>
      <c r="R47" s="88"/>
      <c r="S47" s="88"/>
      <c r="T47" s="88"/>
      <c r="U47" s="88"/>
    </row>
    <row r="48" spans="4:21" x14ac:dyDescent="0.25">
      <c r="E48" s="88"/>
      <c r="F48" s="88"/>
      <c r="H48" s="88"/>
      <c r="I48" s="88"/>
      <c r="J48" s="88"/>
      <c r="K48" s="88"/>
      <c r="L48" s="88"/>
      <c r="M48" s="88"/>
      <c r="N48" s="88"/>
      <c r="O48" s="88"/>
      <c r="P48" s="88"/>
      <c r="Q48" s="88"/>
      <c r="R48" s="88"/>
      <c r="S48" s="88"/>
      <c r="T48" s="88"/>
      <c r="U48" s="88"/>
    </row>
    <row r="49" spans="5:21" x14ac:dyDescent="0.25">
      <c r="E49" s="88"/>
      <c r="F49" s="88"/>
      <c r="H49" s="88"/>
      <c r="I49" s="88"/>
      <c r="J49" s="88"/>
      <c r="K49" s="88"/>
      <c r="L49" s="88"/>
      <c r="M49" s="88"/>
      <c r="N49" s="88"/>
      <c r="O49" s="88"/>
      <c r="P49" s="88"/>
      <c r="Q49" s="88"/>
      <c r="R49" s="88"/>
      <c r="S49" s="88"/>
      <c r="T49" s="88"/>
      <c r="U49" s="88"/>
    </row>
    <row r="50" spans="5:21" x14ac:dyDescent="0.25">
      <c r="E50" s="88"/>
      <c r="F50" s="88"/>
      <c r="H50" s="88"/>
      <c r="I50" s="88"/>
      <c r="J50" s="88"/>
      <c r="K50" s="88"/>
      <c r="L50" s="88"/>
      <c r="M50" s="88"/>
      <c r="N50" s="88"/>
      <c r="O50" s="88"/>
      <c r="P50" s="88"/>
      <c r="Q50" s="88"/>
      <c r="R50" s="88"/>
      <c r="S50" s="88"/>
      <c r="T50" s="88"/>
      <c r="U50" s="88"/>
    </row>
    <row r="51" spans="5:21" x14ac:dyDescent="0.25">
      <c r="E51" s="88"/>
      <c r="F51" s="88"/>
      <c r="H51" s="88"/>
      <c r="I51" s="88"/>
      <c r="J51" s="88"/>
      <c r="K51" s="88"/>
      <c r="L51" s="88"/>
      <c r="M51" s="88"/>
      <c r="N51" s="88"/>
      <c r="O51" s="88"/>
      <c r="P51" s="88"/>
      <c r="Q51" s="88"/>
      <c r="R51" s="88"/>
      <c r="S51" s="88"/>
      <c r="T51" s="88"/>
      <c r="U51" s="88"/>
    </row>
    <row r="52" spans="5:21" x14ac:dyDescent="0.25">
      <c r="E52" s="88"/>
      <c r="F52" s="88"/>
      <c r="H52" s="88"/>
      <c r="I52" s="88"/>
      <c r="J52" s="88"/>
      <c r="K52" s="88"/>
      <c r="L52" s="88"/>
      <c r="M52" s="88"/>
      <c r="N52" s="88"/>
      <c r="O52" s="88"/>
      <c r="P52" s="88"/>
      <c r="Q52" s="88"/>
      <c r="R52" s="88"/>
      <c r="S52" s="88"/>
      <c r="T52" s="88"/>
      <c r="U52" s="88"/>
    </row>
    <row r="53" spans="5:21" x14ac:dyDescent="0.25">
      <c r="E53" s="88"/>
      <c r="F53" s="88"/>
      <c r="H53" s="88"/>
      <c r="I53" s="88"/>
      <c r="J53" s="88"/>
      <c r="K53" s="88"/>
      <c r="L53" s="88"/>
      <c r="M53" s="88"/>
      <c r="N53" s="88"/>
      <c r="O53" s="88"/>
      <c r="P53" s="88"/>
      <c r="Q53" s="88"/>
      <c r="R53" s="88"/>
      <c r="S53" s="88"/>
      <c r="T53" s="88"/>
      <c r="U53" s="88"/>
    </row>
    <row r="54" spans="5:21" x14ac:dyDescent="0.25">
      <c r="E54" s="88"/>
      <c r="F54" s="88"/>
      <c r="H54" s="88"/>
      <c r="I54" s="88"/>
      <c r="J54" s="88"/>
      <c r="K54" s="88"/>
      <c r="L54" s="88"/>
      <c r="M54" s="88"/>
      <c r="N54" s="88"/>
      <c r="O54" s="88"/>
      <c r="P54" s="88"/>
      <c r="Q54" s="88"/>
      <c r="R54" s="88"/>
      <c r="S54" s="88"/>
      <c r="T54" s="88"/>
      <c r="U54" s="88"/>
    </row>
    <row r="55" spans="5:21" x14ac:dyDescent="0.25">
      <c r="E55" s="88"/>
      <c r="F55" s="88"/>
      <c r="H55" s="88"/>
      <c r="I55" s="88"/>
      <c r="J55" s="88"/>
      <c r="K55" s="88"/>
      <c r="L55" s="88"/>
      <c r="M55" s="88"/>
      <c r="N55" s="88"/>
      <c r="O55" s="88"/>
      <c r="P55" s="88"/>
      <c r="Q55" s="88"/>
      <c r="R55" s="88"/>
      <c r="S55" s="88"/>
      <c r="T55" s="88"/>
      <c r="U55" s="88"/>
    </row>
    <row r="56" spans="5:21" x14ac:dyDescent="0.25">
      <c r="E56" s="88"/>
      <c r="F56" s="88"/>
      <c r="H56" s="88"/>
      <c r="I56" s="88"/>
      <c r="J56" s="88"/>
      <c r="K56" s="88"/>
      <c r="L56" s="88"/>
      <c r="M56" s="88"/>
      <c r="N56" s="88"/>
      <c r="O56" s="88"/>
      <c r="P56" s="88"/>
      <c r="Q56" s="88"/>
      <c r="R56" s="88"/>
      <c r="S56" s="88"/>
      <c r="T56" s="88"/>
      <c r="U56" s="88"/>
    </row>
  </sheetData>
  <mergeCells count="1">
    <mergeCell ref="A2:A27"/>
  </mergeCells>
  <phoneticPr fontId="9" type="noConversion"/>
  <pageMargins left="0.7" right="0.7" top="0.75" bottom="0.75" header="0.3" footer="0.3"/>
  <pageSetup paperSize="9" orientation="portrait" r:id="rId1"/>
  <ignoredErrors>
    <ignoredError sqref="J3" formulaRange="1"/>
  </ignoredError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E356A-1989-4229-91CE-76B768D520B6}">
  <dimension ref="A1:M56"/>
  <sheetViews>
    <sheetView topLeftCell="A13" zoomScale="90" zoomScaleNormal="90" workbookViewId="0">
      <selection activeCell="C27" sqref="C27"/>
    </sheetView>
  </sheetViews>
  <sheetFormatPr defaultRowHeight="15" x14ac:dyDescent="0.25"/>
  <cols>
    <col min="1" max="1" width="22.140625" bestFit="1" customWidth="1"/>
    <col min="2" max="2" width="36" customWidth="1"/>
    <col min="3" max="3" width="23.7109375" bestFit="1" customWidth="1"/>
    <col min="4" max="4" width="12.42578125" customWidth="1"/>
    <col min="5" max="5" width="13.140625" style="90" bestFit="1" customWidth="1"/>
    <col min="6" max="6" width="24.5703125" bestFit="1" customWidth="1"/>
    <col min="7" max="7" width="13.5703125" customWidth="1"/>
    <col min="8" max="8" width="29.140625" bestFit="1" customWidth="1"/>
    <col min="10" max="10" width="31.42578125" customWidth="1"/>
    <col min="12" max="12" width="36.140625" customWidth="1"/>
  </cols>
  <sheetData>
    <row r="1" spans="1:13" x14ac:dyDescent="0.25">
      <c r="F1" s="83" t="s">
        <v>234</v>
      </c>
      <c r="G1" s="83"/>
      <c r="H1" s="83" t="s">
        <v>234</v>
      </c>
      <c r="J1" t="s">
        <v>321</v>
      </c>
      <c r="L1" t="s">
        <v>330</v>
      </c>
    </row>
    <row r="2" spans="1:13" s="61" customFormat="1" x14ac:dyDescent="0.25">
      <c r="A2" s="126" t="s">
        <v>282</v>
      </c>
      <c r="B2" s="85" t="s">
        <v>283</v>
      </c>
      <c r="C2" s="61" t="s">
        <v>139</v>
      </c>
      <c r="D2" s="61" t="s">
        <v>122</v>
      </c>
      <c r="E2" s="91" t="s">
        <v>2</v>
      </c>
      <c r="F2" s="61" t="s">
        <v>279</v>
      </c>
      <c r="G2" s="61" t="s">
        <v>123</v>
      </c>
      <c r="H2" s="61" t="s">
        <v>288</v>
      </c>
      <c r="I2" s="61" t="s">
        <v>123</v>
      </c>
      <c r="J2" s="61" t="s">
        <v>333</v>
      </c>
      <c r="K2" s="61" t="s">
        <v>123</v>
      </c>
      <c r="L2" s="61" t="s">
        <v>275</v>
      </c>
      <c r="M2" s="61" t="s">
        <v>123</v>
      </c>
    </row>
    <row r="3" spans="1:13" x14ac:dyDescent="0.25">
      <c r="A3" s="126"/>
      <c r="B3" s="85"/>
      <c r="D3">
        <v>1.1000000000000001</v>
      </c>
      <c r="E3" s="90">
        <v>45108</v>
      </c>
      <c r="F3" s="89">
        <f>'Commvault S3 Data Collection'!AA14</f>
        <v>0.51</v>
      </c>
      <c r="G3" s="89"/>
      <c r="H3" s="8">
        <f>'Commvault S3 Data Collection'!AA15</f>
        <v>0.01</v>
      </c>
    </row>
    <row r="4" spans="1:13" x14ac:dyDescent="0.25">
      <c r="A4" s="126"/>
      <c r="B4" s="85"/>
      <c r="D4">
        <v>1.1000000000000001</v>
      </c>
      <c r="E4" s="90">
        <v>45139</v>
      </c>
      <c r="F4" s="89">
        <f>'Commvault S3 Data Collection'!AB14</f>
        <v>181.87</v>
      </c>
      <c r="G4" s="89"/>
      <c r="H4" s="8">
        <f>'Commvault S3 Data Collection'!AB15</f>
        <v>0.01</v>
      </c>
    </row>
    <row r="5" spans="1:13" x14ac:dyDescent="0.25">
      <c r="A5" s="126"/>
      <c r="B5" s="85"/>
      <c r="D5">
        <v>1.1000000000000001</v>
      </c>
      <c r="E5" s="90">
        <v>45170</v>
      </c>
      <c r="F5" s="89">
        <f>'Commvault S3 Data Collection'!AC14</f>
        <v>299.32</v>
      </c>
      <c r="G5" s="89"/>
      <c r="H5" s="8">
        <f>'Commvault S3 Data Collection'!AC15</f>
        <v>0.02</v>
      </c>
    </row>
    <row r="6" spans="1:13" x14ac:dyDescent="0.25">
      <c r="A6" s="126"/>
      <c r="B6" s="85"/>
      <c r="D6">
        <v>1.1000000000000001</v>
      </c>
      <c r="E6" s="90">
        <v>45200</v>
      </c>
      <c r="F6" s="89">
        <f>'Commvault S3 Data Collection'!AD14</f>
        <v>730.64</v>
      </c>
      <c r="G6" s="89"/>
      <c r="H6" s="8">
        <f>'Commvault S3 Data Collection'!AD15</f>
        <v>0.02</v>
      </c>
    </row>
    <row r="7" spans="1:13" x14ac:dyDescent="0.25">
      <c r="A7" s="126"/>
      <c r="B7" s="85"/>
      <c r="D7">
        <v>1.1000000000000001</v>
      </c>
      <c r="E7" s="90">
        <v>45231</v>
      </c>
      <c r="F7" s="89">
        <f>'Commvault S3 Data Collection'!AE14</f>
        <v>985.57</v>
      </c>
      <c r="G7" s="89"/>
      <c r="H7" s="8">
        <f>'Commvault S3 Data Collection'!AE15</f>
        <v>0.04</v>
      </c>
    </row>
    <row r="8" spans="1:13" x14ac:dyDescent="0.25">
      <c r="A8" s="126"/>
      <c r="B8" t="s">
        <v>287</v>
      </c>
      <c r="D8">
        <v>1.1000000000000001</v>
      </c>
      <c r="E8" s="90">
        <v>45261</v>
      </c>
      <c r="F8" s="89">
        <f>'Commvault S3 Data Collection'!AF14</f>
        <v>1394.19</v>
      </c>
      <c r="G8" s="89"/>
      <c r="H8" s="8">
        <f>'Commvault S3 Data Collection'!AF15</f>
        <v>0.04</v>
      </c>
    </row>
    <row r="9" spans="1:13" x14ac:dyDescent="0.25">
      <c r="A9" s="126"/>
      <c r="B9" s="86" t="s">
        <v>289</v>
      </c>
      <c r="D9">
        <v>1.1000000000000001</v>
      </c>
      <c r="E9" s="90">
        <v>45292</v>
      </c>
      <c r="F9" s="89">
        <f>'Commvault S3 Data Collection'!AG14</f>
        <v>1495.44</v>
      </c>
      <c r="G9" s="89"/>
      <c r="H9" s="8">
        <f>'Commvault S3 Data Collection'!AG15</f>
        <v>0.04</v>
      </c>
    </row>
    <row r="10" spans="1:13" x14ac:dyDescent="0.25">
      <c r="A10" s="126"/>
      <c r="B10" s="85"/>
      <c r="D10">
        <v>1.1000000000000001</v>
      </c>
      <c r="E10" s="90">
        <v>45323</v>
      </c>
      <c r="F10" s="89">
        <f>'Commvault S3 Data Collection'!AH14</f>
        <v>1713.13</v>
      </c>
      <c r="G10" s="89"/>
      <c r="H10" s="8">
        <f>'Commvault S3 Data Collection'!AH15</f>
        <v>0.03</v>
      </c>
      <c r="I10" s="8"/>
    </row>
    <row r="11" spans="1:13" x14ac:dyDescent="0.25">
      <c r="A11" s="126"/>
      <c r="B11" s="87"/>
      <c r="D11">
        <v>1.1000000000000001</v>
      </c>
      <c r="E11" s="90">
        <v>45352</v>
      </c>
      <c r="F11" s="89">
        <f>'Commvault S3 Data Collection'!AI14</f>
        <v>1750.01</v>
      </c>
      <c r="G11" s="89"/>
      <c r="H11" s="8">
        <f>'Commvault S3 Data Collection'!AI15</f>
        <v>0.01</v>
      </c>
      <c r="I11" s="8"/>
    </row>
    <row r="12" spans="1:13" ht="45" x14ac:dyDescent="0.25">
      <c r="A12" s="126"/>
      <c r="B12" s="67" t="s">
        <v>290</v>
      </c>
      <c r="D12">
        <v>1.1000000000000001</v>
      </c>
      <c r="E12" s="90">
        <v>45383</v>
      </c>
      <c r="F12" s="89">
        <f>'Commvault S3 Data Collection'!AJ14</f>
        <v>2426.7199999999998</v>
      </c>
      <c r="G12" s="89"/>
      <c r="H12" s="8">
        <f>'Commvault S3 Data Collection'!AJ15</f>
        <v>0.01</v>
      </c>
      <c r="I12" s="8"/>
    </row>
    <row r="13" spans="1:13" x14ac:dyDescent="0.25">
      <c r="A13" s="126"/>
      <c r="B13" s="85"/>
      <c r="D13">
        <v>1.1000000000000001</v>
      </c>
      <c r="E13" s="90">
        <v>45413</v>
      </c>
      <c r="F13" s="89">
        <f>'Commvault S3 Data Collection'!AK14</f>
        <v>2189.67</v>
      </c>
      <c r="G13" s="89"/>
      <c r="H13" s="8">
        <f>'Commvault S3 Data Collection'!AK15</f>
        <v>0.01</v>
      </c>
      <c r="I13" s="8"/>
    </row>
    <row r="14" spans="1:13" x14ac:dyDescent="0.25">
      <c r="A14" s="126"/>
      <c r="B14" s="85"/>
      <c r="D14">
        <v>1.1000000000000001</v>
      </c>
      <c r="E14" s="90">
        <v>45444</v>
      </c>
      <c r="F14" s="89">
        <f>'Commvault S3 Data Collection'!AL14</f>
        <v>2104.86</v>
      </c>
      <c r="G14" s="89"/>
      <c r="H14" s="8">
        <f>'Commvault S3 Data Collection'!AL15</f>
        <v>0.01</v>
      </c>
      <c r="I14" s="8"/>
      <c r="J14" s="89">
        <f>'Commvault S3 Data Collection'!AL47</f>
        <v>21.53</v>
      </c>
      <c r="L14" s="89">
        <f>'Commvault S3 Data Collection'!AL64</f>
        <v>0</v>
      </c>
    </row>
    <row r="15" spans="1:13" x14ac:dyDescent="0.25">
      <c r="A15" s="126"/>
      <c r="D15">
        <v>1.1000000000000001</v>
      </c>
      <c r="E15" s="90">
        <v>45474</v>
      </c>
      <c r="F15" s="89">
        <f>'Commvault S3 Data Collection'!AM14</f>
        <v>2682.7</v>
      </c>
      <c r="G15" s="89"/>
      <c r="H15" s="8">
        <f>'Commvault S3 Data Collection'!AM15</f>
        <v>0.01</v>
      </c>
      <c r="I15" s="8"/>
      <c r="J15" s="89">
        <f>'Commvault S3 Data Collection'!AM47</f>
        <v>118.01</v>
      </c>
      <c r="K15" s="89"/>
      <c r="L15" s="89">
        <f>'Commvault S3 Data Collection'!AM64</f>
        <v>0</v>
      </c>
      <c r="M15" s="89"/>
    </row>
    <row r="16" spans="1:13" x14ac:dyDescent="0.25">
      <c r="A16" s="126"/>
      <c r="B16" s="85"/>
      <c r="D16">
        <v>1.1000000000000001</v>
      </c>
      <c r="E16" s="90">
        <v>45505</v>
      </c>
      <c r="F16" s="89">
        <f>'Commvault S3 Data Collection'!AN14</f>
        <v>3141.9892</v>
      </c>
      <c r="G16" s="89"/>
      <c r="H16" s="8">
        <f>'Commvault S3 Data Collection'!AN15</f>
        <v>0.01</v>
      </c>
      <c r="I16" s="8"/>
      <c r="J16" s="89">
        <f>'Commvault S3 Data Collection'!AN47</f>
        <v>187.29</v>
      </c>
      <c r="K16" s="89"/>
      <c r="L16" s="89">
        <f>'Commvault S3 Data Collection'!AN64</f>
        <v>9.36</v>
      </c>
      <c r="M16" s="89"/>
    </row>
    <row r="17" spans="1:13" x14ac:dyDescent="0.25">
      <c r="A17" s="126"/>
      <c r="B17" s="85"/>
      <c r="D17">
        <v>1.1000000000000001</v>
      </c>
      <c r="E17" s="90">
        <v>45536</v>
      </c>
      <c r="F17" s="89">
        <f>'Commvault S3 Data Collection'!AO14</f>
        <v>3209</v>
      </c>
      <c r="G17" s="89"/>
      <c r="H17" s="8">
        <f>'Commvault S3 Data Collection'!AO15</f>
        <v>0.01</v>
      </c>
      <c r="I17" s="8"/>
      <c r="J17" s="89">
        <f>'Commvault S3 Data Collection'!AO47</f>
        <v>259.77</v>
      </c>
      <c r="K17" s="89"/>
      <c r="L17" s="89">
        <f>'Commvault S3 Data Collection'!AO64</f>
        <v>64.27</v>
      </c>
      <c r="M17" s="89"/>
    </row>
    <row r="18" spans="1:13" x14ac:dyDescent="0.25">
      <c r="A18" s="126"/>
      <c r="D18">
        <v>1.1000000000000001</v>
      </c>
      <c r="E18" s="90">
        <v>45566</v>
      </c>
      <c r="F18" s="89">
        <f>'Commvault S3 Data Collection'!AP14</f>
        <v>3495.81</v>
      </c>
      <c r="G18" s="89"/>
      <c r="H18" s="8">
        <f>'Commvault S3 Data Collection'!AP15</f>
        <v>0.01</v>
      </c>
      <c r="I18" s="8"/>
      <c r="J18" s="89">
        <f>'Commvault S3 Data Collection'!AP47</f>
        <v>301.85000000000002</v>
      </c>
      <c r="K18" s="89"/>
      <c r="L18" s="89">
        <f>'Commvault S3 Data Collection'!AP64</f>
        <v>173.02</v>
      </c>
      <c r="M18" s="89"/>
    </row>
    <row r="19" spans="1:13" x14ac:dyDescent="0.25">
      <c r="A19" s="126"/>
      <c r="B19" s="85"/>
      <c r="D19">
        <v>1.1000000000000001</v>
      </c>
      <c r="E19" s="90">
        <v>45597</v>
      </c>
      <c r="F19" s="89">
        <f>'Commvault S3 Data Collection'!AQ14</f>
        <v>3506.38</v>
      </c>
      <c r="G19" s="89"/>
      <c r="H19" s="8">
        <f>'Commvault S3 Data Collection'!AQ15</f>
        <v>0.01</v>
      </c>
      <c r="I19" s="8"/>
      <c r="J19" s="89">
        <f>'Commvault S3 Data Collection'!AQ47</f>
        <v>349.24</v>
      </c>
      <c r="K19" s="89"/>
      <c r="L19" s="89">
        <f>'Commvault S3 Data Collection'!AQ64</f>
        <v>252.99</v>
      </c>
      <c r="M19" s="89"/>
    </row>
    <row r="20" spans="1:13" x14ac:dyDescent="0.25">
      <c r="A20" s="126"/>
      <c r="B20" s="85"/>
      <c r="D20">
        <v>1.1000000000000001</v>
      </c>
      <c r="E20" s="90">
        <v>45627</v>
      </c>
      <c r="F20" s="89">
        <f>'Commvault S3 Data Collection'!AR14</f>
        <v>3879.68</v>
      </c>
      <c r="G20" s="89"/>
      <c r="H20" s="8">
        <f>'Commvault S3 Data Collection'!AR15</f>
        <v>0.01</v>
      </c>
      <c r="I20" s="8"/>
      <c r="J20" s="89">
        <f>'Commvault S3 Data Collection'!AR47</f>
        <v>410</v>
      </c>
      <c r="K20" s="89"/>
      <c r="L20" s="89">
        <f>'Commvault S3 Data Collection'!AR64</f>
        <v>331.68</v>
      </c>
      <c r="M20" s="89"/>
    </row>
    <row r="21" spans="1:13" x14ac:dyDescent="0.25">
      <c r="A21" s="126"/>
      <c r="D21">
        <v>1.1000000000000001</v>
      </c>
      <c r="E21" s="90">
        <v>45658</v>
      </c>
      <c r="F21" s="89">
        <f>'Commvault S3 Data Collection'!AS14</f>
        <v>4303.7</v>
      </c>
      <c r="G21" s="89"/>
      <c r="H21" s="8">
        <f>'Commvault S3 Data Collection'!AS15</f>
        <v>0.01</v>
      </c>
      <c r="I21" s="8"/>
      <c r="J21" s="89">
        <f>'Commvault S3 Data Collection'!AS47</f>
        <v>475.83</v>
      </c>
      <c r="K21" s="89"/>
      <c r="L21" s="89">
        <f>'Commvault S3 Data Collection'!AS64</f>
        <v>400</v>
      </c>
      <c r="M21" s="89"/>
    </row>
    <row r="22" spans="1:13" x14ac:dyDescent="0.25">
      <c r="A22" s="126"/>
      <c r="B22" s="85"/>
      <c r="D22">
        <v>1.1000000000000001</v>
      </c>
      <c r="E22" s="90">
        <v>45689</v>
      </c>
      <c r="F22" s="89">
        <f>'Commvault S3 Data Collection'!AT14</f>
        <v>4258.1000000000004</v>
      </c>
      <c r="G22" s="89"/>
      <c r="H22" s="8">
        <f>'Commvault S3 Data Collection'!AT15</f>
        <v>0.01</v>
      </c>
      <c r="I22" s="8"/>
      <c r="J22" s="89">
        <f>'Commvault S3 Data Collection'!AT47</f>
        <v>576.19000000000005</v>
      </c>
      <c r="K22" s="89"/>
      <c r="L22" s="89">
        <f>'Commvault S3 Data Collection'!AT64</f>
        <v>450</v>
      </c>
      <c r="M22" s="89"/>
    </row>
    <row r="23" spans="1:13" x14ac:dyDescent="0.25">
      <c r="A23" s="126"/>
      <c r="B23" s="85"/>
      <c r="D23">
        <v>1.1000000000000001</v>
      </c>
      <c r="E23" s="90">
        <v>45717</v>
      </c>
      <c r="F23" s="89">
        <f>'Commvault S3 Data Collection'!AU14</f>
        <v>4310.26</v>
      </c>
      <c r="G23" s="89"/>
      <c r="H23" s="8">
        <f>'Commvault S3 Data Collection'!AU15</f>
        <v>0.01</v>
      </c>
      <c r="I23" s="8"/>
      <c r="J23" s="89">
        <f>'Commvault S3 Data Collection'!AU47</f>
        <v>586.1</v>
      </c>
      <c r="K23" s="89"/>
      <c r="L23" s="89">
        <f>'Commvault S3 Data Collection'!AU64</f>
        <v>513.5</v>
      </c>
      <c r="M23" s="89"/>
    </row>
    <row r="24" spans="1:13" x14ac:dyDescent="0.25">
      <c r="A24" s="126"/>
      <c r="D24">
        <v>1.1000000000000001</v>
      </c>
      <c r="E24" s="90">
        <v>45748</v>
      </c>
      <c r="F24" s="89">
        <f>'Commvault S3 Data Collection'!AV14</f>
        <v>4460.5200000000004</v>
      </c>
      <c r="G24" s="89"/>
      <c r="H24" s="8">
        <f>'Commvault S3 Data Collection'!AV15</f>
        <v>0.01</v>
      </c>
      <c r="I24" s="8"/>
      <c r="J24" s="89">
        <f>'Commvault S3 Data Collection'!AV47</f>
        <v>601.77</v>
      </c>
      <c r="K24" s="89"/>
      <c r="L24" s="89">
        <f>'Commvault S3 Data Collection'!AV64</f>
        <v>595.16</v>
      </c>
      <c r="M24" s="89"/>
    </row>
    <row r="25" spans="1:13" x14ac:dyDescent="0.25">
      <c r="A25" s="126"/>
      <c r="B25" s="85"/>
      <c r="D25">
        <v>1.1000000000000001</v>
      </c>
      <c r="E25" s="90">
        <v>45778</v>
      </c>
      <c r="F25" s="89">
        <f>'Commvault S3 Data Collection'!AW14</f>
        <v>4781.2</v>
      </c>
      <c r="G25" s="89"/>
      <c r="H25" s="8">
        <f>'Commvault S3 Data Collection'!AW15</f>
        <v>0.01</v>
      </c>
      <c r="I25" s="8"/>
      <c r="J25" s="89">
        <f>'Commvault S3 Data Collection'!AW47</f>
        <v>665.61</v>
      </c>
      <c r="K25" s="89"/>
      <c r="L25" s="89">
        <f>'Commvault S3 Data Collection'!AW64</f>
        <v>662.91</v>
      </c>
      <c r="M25" s="89"/>
    </row>
    <row r="26" spans="1:13" x14ac:dyDescent="0.25">
      <c r="A26" s="126"/>
      <c r="B26" s="85"/>
      <c r="D26">
        <v>1.1000000000000001</v>
      </c>
      <c r="E26" s="90">
        <v>45809</v>
      </c>
      <c r="F26" s="89">
        <f>'Commvault S3 Data Collection'!AX14</f>
        <v>4856.47</v>
      </c>
      <c r="G26" s="89"/>
      <c r="H26" s="8">
        <f>'Commvault S3 Data Collection'!AX15</f>
        <v>0.01</v>
      </c>
      <c r="I26" s="8"/>
      <c r="J26" s="89">
        <f>'Commvault S3 Data Collection'!AX47</f>
        <v>756.12</v>
      </c>
      <c r="K26" s="89"/>
      <c r="L26" s="89">
        <f>'Commvault S3 Data Collection'!AX64</f>
        <v>747.55</v>
      </c>
      <c r="M26" s="89"/>
    </row>
    <row r="27" spans="1:13" x14ac:dyDescent="0.25">
      <c r="A27" s="126"/>
      <c r="B27" s="85"/>
      <c r="D27">
        <v>1.1000000000000001</v>
      </c>
      <c r="E27" s="90">
        <v>45839</v>
      </c>
      <c r="F27" s="89">
        <f>'Commvault S3 Data Collection'!AY14</f>
        <v>5062.46</v>
      </c>
      <c r="G27" s="89"/>
      <c r="H27" s="8">
        <f>'Commvault S3 Data Collection'!AY15</f>
        <v>0.01</v>
      </c>
      <c r="I27" s="8"/>
      <c r="J27" s="89">
        <f>'Commvault S3 Data Collection'!AY47</f>
        <v>833.98</v>
      </c>
      <c r="K27" s="89"/>
      <c r="L27" s="89">
        <f>'Commvault S3 Data Collection'!AY64</f>
        <v>820.66</v>
      </c>
      <c r="M27" s="89"/>
    </row>
    <row r="28" spans="1:13" x14ac:dyDescent="0.25">
      <c r="A28" s="126"/>
      <c r="D28">
        <v>1.1000000000000001</v>
      </c>
      <c r="E28" s="90">
        <v>45870</v>
      </c>
      <c r="F28" s="89">
        <f>'Commvault S3 Data Collection'!AZ14</f>
        <v>5255.87</v>
      </c>
      <c r="G28" s="89"/>
      <c r="H28" s="8">
        <f>'Commvault S3 Data Collection'!AZ15</f>
        <v>0.01</v>
      </c>
      <c r="I28" s="8"/>
      <c r="J28" s="89">
        <f>'Commvault S3 Data Collection'!AZ47</f>
        <v>920.54</v>
      </c>
      <c r="K28" s="89"/>
      <c r="L28" s="89">
        <f>'Commvault S3 Data Collection'!AZ64</f>
        <v>885.11</v>
      </c>
      <c r="M28" s="89"/>
    </row>
    <row r="29" spans="1:13" x14ac:dyDescent="0.25">
      <c r="A29" s="126"/>
      <c r="D29">
        <v>1.1000000000000001</v>
      </c>
      <c r="E29" s="90">
        <v>45901</v>
      </c>
      <c r="F29" s="89">
        <f>'Commvault S3 Data Collection'!BA14</f>
        <v>5728.88</v>
      </c>
      <c r="G29" s="89"/>
      <c r="H29" s="8">
        <f>'Commvault S3 Data Collection'!BA15</f>
        <v>0.01</v>
      </c>
      <c r="I29" s="8"/>
      <c r="J29" s="89">
        <f>'Commvault S3 Data Collection'!BA47</f>
        <v>986.41</v>
      </c>
      <c r="K29" s="89"/>
      <c r="L29" s="89">
        <f>'Commvault S3 Data Collection'!BA64</f>
        <v>943</v>
      </c>
      <c r="M29" s="89"/>
    </row>
    <row r="30" spans="1:13" x14ac:dyDescent="0.25">
      <c r="A30" s="126"/>
      <c r="D30">
        <v>1.1000000000000001</v>
      </c>
      <c r="E30" s="90">
        <v>45931</v>
      </c>
      <c r="F30" s="89">
        <f>'Commvault S3 Data Collection'!BB14</f>
        <v>6096.84</v>
      </c>
      <c r="G30" s="89"/>
      <c r="H30" s="8">
        <f>'Commvault S3 Data Collection'!BB15</f>
        <v>0.01</v>
      </c>
      <c r="I30" s="8"/>
      <c r="J30" s="89">
        <f>'Commvault S3 Data Collection'!BB47</f>
        <v>1063.58</v>
      </c>
      <c r="K30" s="89"/>
      <c r="L30" s="89">
        <f>'Commvault S3 Data Collection'!BB64</f>
        <v>1010.72</v>
      </c>
      <c r="M30" s="89"/>
    </row>
    <row r="31" spans="1:13" x14ac:dyDescent="0.25">
      <c r="A31" s="126"/>
      <c r="D31">
        <v>1.1000000000000001</v>
      </c>
      <c r="E31" s="90">
        <v>45962</v>
      </c>
      <c r="F31" s="89">
        <f>'Commvault S3 Data Collection'!BC14</f>
        <v>6374.46</v>
      </c>
      <c r="G31" s="89"/>
      <c r="H31" s="8">
        <f>'Commvault S3 Data Collection'!BC15</f>
        <v>0.01</v>
      </c>
      <c r="I31" s="8"/>
      <c r="J31" s="89">
        <f>'Commvault S3 Data Collection'!BC47</f>
        <v>1167.1600000000001</v>
      </c>
      <c r="K31" s="89"/>
      <c r="L31" s="89">
        <f>'Commvault S3 Data Collection'!BC64</f>
        <v>1054.74</v>
      </c>
      <c r="M31" s="89"/>
    </row>
    <row r="32" spans="1:13" x14ac:dyDescent="0.25">
      <c r="A32" s="126"/>
      <c r="D32">
        <v>1.1000000000000001</v>
      </c>
      <c r="E32" s="90">
        <v>45992</v>
      </c>
      <c r="F32" s="89">
        <f>'Commvault S3 Data Collection'!BD14</f>
        <v>6686.05</v>
      </c>
      <c r="G32" s="89"/>
      <c r="H32" s="8">
        <f>'Commvault S3 Data Collection'!BD15</f>
        <v>0.01</v>
      </c>
      <c r="I32" s="8"/>
      <c r="J32" s="89">
        <f>'Commvault S3 Data Collection'!BD47</f>
        <v>1238.5</v>
      </c>
      <c r="K32" s="89"/>
      <c r="L32" s="89">
        <f>'Commvault S3 Data Collection'!BD64</f>
        <v>1143.55</v>
      </c>
      <c r="M32" s="89"/>
    </row>
    <row r="33" spans="4:13" x14ac:dyDescent="0.25">
      <c r="D33">
        <v>1.1000000000000001</v>
      </c>
      <c r="E33" s="90">
        <v>46023</v>
      </c>
      <c r="F33" s="89">
        <f>'Commvault S3 Data Collection'!BE14</f>
        <v>6905.97</v>
      </c>
      <c r="G33" s="89"/>
      <c r="H33" s="8">
        <f>'Commvault S3 Data Collection'!BE15</f>
        <v>0.01</v>
      </c>
      <c r="I33" s="8"/>
      <c r="J33" s="89">
        <f>'Commvault S3 Data Collection'!BE47</f>
        <v>1319.98</v>
      </c>
      <c r="K33" s="89"/>
      <c r="L33" s="89">
        <f>'Commvault S3 Data Collection'!BE64</f>
        <v>1184.31</v>
      </c>
      <c r="M33" s="89"/>
    </row>
    <row r="34" spans="4:13" x14ac:dyDescent="0.25">
      <c r="D34">
        <v>1.1000000000000001</v>
      </c>
      <c r="E34" s="90">
        <v>46054</v>
      </c>
      <c r="F34" s="89">
        <f>'Commvault S3 Data Collection'!BF14</f>
        <v>6698.86</v>
      </c>
      <c r="G34" s="89"/>
      <c r="H34" s="8">
        <f>'Commvault S3 Data Collection'!BF15</f>
        <v>0.01</v>
      </c>
      <c r="I34" s="8"/>
      <c r="J34" s="89">
        <f>'Commvault S3 Data Collection'!BF47</f>
        <v>1372.92</v>
      </c>
      <c r="K34" s="89"/>
      <c r="L34" s="89">
        <f>'Commvault S3 Data Collection'!BF64</f>
        <v>1269.5899999999999</v>
      </c>
      <c r="M34" s="89"/>
    </row>
    <row r="35" spans="4:13" x14ac:dyDescent="0.25">
      <c r="D35">
        <v>1.1000000000000001</v>
      </c>
      <c r="E35" s="90">
        <v>46082</v>
      </c>
      <c r="F35" s="89">
        <f>'Commvault S3 Data Collection'!BG14</f>
        <v>6989.63</v>
      </c>
      <c r="G35" s="89"/>
      <c r="H35" s="8">
        <f>'Commvault S3 Data Collection'!BG15</f>
        <v>0.01</v>
      </c>
      <c r="I35" s="8"/>
      <c r="J35" s="89">
        <f>'Commvault S3 Data Collection'!BG47</f>
        <v>1391.47</v>
      </c>
      <c r="K35" s="89"/>
      <c r="L35" s="89">
        <f>'Commvault S3 Data Collection'!BG64</f>
        <v>1301.8399999999999</v>
      </c>
      <c r="M35" s="89"/>
    </row>
    <row r="36" spans="4:13" x14ac:dyDescent="0.25">
      <c r="D36">
        <v>1.1000000000000001</v>
      </c>
      <c r="E36" s="90">
        <v>46113</v>
      </c>
      <c r="F36" s="89">
        <f>'Commvault S3 Data Collection'!BH14</f>
        <v>7338.27</v>
      </c>
      <c r="G36" s="89"/>
      <c r="H36" s="8">
        <f>'Commvault S3 Data Collection'!BH15</f>
        <v>0.01</v>
      </c>
      <c r="I36" s="8"/>
      <c r="J36" s="89">
        <f>'Commvault S3 Data Collection'!BH47</f>
        <v>1472.86</v>
      </c>
      <c r="K36" s="89"/>
      <c r="L36" s="89">
        <f>'Commvault S3 Data Collection'!BH64</f>
        <v>1392.4</v>
      </c>
      <c r="M36" s="89"/>
    </row>
    <row r="37" spans="4:13" x14ac:dyDescent="0.25">
      <c r="D37">
        <v>1.1000000000000001</v>
      </c>
      <c r="E37" s="90">
        <v>46143</v>
      </c>
      <c r="F37" s="89">
        <f>'Commvault S3 Data Collection'!BI14</f>
        <v>7533.59</v>
      </c>
      <c r="G37" s="89"/>
      <c r="H37" s="8">
        <f>'Commvault S3 Data Collection'!BI15</f>
        <v>0.01</v>
      </c>
      <c r="I37" s="8"/>
      <c r="J37" s="89">
        <f>'Commvault S3 Data Collection'!BI47</f>
        <v>1573.5</v>
      </c>
      <c r="K37" s="89"/>
      <c r="L37" s="89">
        <f>'Commvault S3 Data Collection'!BI64</f>
        <v>1432.17</v>
      </c>
      <c r="M37" s="89"/>
    </row>
    <row r="38" spans="4:13" x14ac:dyDescent="0.25">
      <c r="D38">
        <v>1.1000000000000001</v>
      </c>
      <c r="E38" s="90">
        <v>46174</v>
      </c>
      <c r="F38" s="89">
        <f>'Commvault S3 Data Collection'!BJ14</f>
        <v>8026.9</v>
      </c>
      <c r="G38" s="89"/>
      <c r="H38" s="8">
        <f>'Commvault S3 Data Collection'!BJ15</f>
        <v>0.01</v>
      </c>
      <c r="I38" s="8"/>
      <c r="J38" s="89">
        <f>'Commvault S3 Data Collection'!BJ47</f>
        <v>1654.43</v>
      </c>
      <c r="K38" s="89"/>
      <c r="L38" s="89">
        <f>'Commvault S3 Data Collection'!BJ64</f>
        <v>1535.36</v>
      </c>
      <c r="M38" s="89"/>
    </row>
    <row r="39" spans="4:13" x14ac:dyDescent="0.25">
      <c r="D39">
        <v>1.1000000000000001</v>
      </c>
      <c r="E39" s="90">
        <v>46204</v>
      </c>
      <c r="F39" s="88"/>
      <c r="G39" s="89">
        <f>F38*(1+(D39^(1/12)-1))+C39</f>
        <v>8090.9076278087668</v>
      </c>
      <c r="I39" s="8">
        <f>H38*(1+(D39^(1/12)-1))+C39</f>
        <v>1.0079741404289038E-2</v>
      </c>
      <c r="K39" s="89">
        <f>J38*(1+(D39^(1/12)-1))+C39</f>
        <v>1667.6226571497914</v>
      </c>
      <c r="M39" s="89">
        <f>L38*(1+(D39^(1/12)-1))+C39</f>
        <v>1547.6031762489215</v>
      </c>
    </row>
    <row r="40" spans="4:13" x14ac:dyDescent="0.25">
      <c r="D40">
        <v>1.1000000000000001</v>
      </c>
      <c r="E40" s="90">
        <v>46235</v>
      </c>
      <c r="F40" s="88"/>
      <c r="G40" s="89">
        <f t="shared" ref="G40:G47" si="0">G39*(1+(D40^(1/12)-1))+C40</f>
        <v>8155.425661430203</v>
      </c>
      <c r="I40" s="8">
        <f t="shared" ref="I40:I47" si="1">I39*(1+(D40^(1/12)-1))+C40</f>
        <v>1.0160118677733873E-2</v>
      </c>
      <c r="K40" s="89">
        <f t="shared" ref="K40:K47" si="2">K39*(1+(D40^(1/12)-1))+C40</f>
        <v>1680.9205144003254</v>
      </c>
      <c r="M40" s="89">
        <f t="shared" ref="M40:M47" si="3">M39*(1+(D40^(1/12)-1))+C40</f>
        <v>1559.9439813045478</v>
      </c>
    </row>
    <row r="41" spans="4:13" x14ac:dyDescent="0.25">
      <c r="D41">
        <v>1.1000000000000001</v>
      </c>
      <c r="E41" s="90">
        <v>46266</v>
      </c>
      <c r="F41" s="88"/>
      <c r="G41" s="89">
        <f t="shared" si="0"/>
        <v>8220.458170911932</v>
      </c>
      <c r="I41" s="8">
        <f t="shared" si="1"/>
        <v>1.0241136890844452E-2</v>
      </c>
      <c r="K41" s="89">
        <f t="shared" si="2"/>
        <v>1694.3244106319787</v>
      </c>
      <c r="M41" s="89">
        <f t="shared" si="3"/>
        <v>1572.3831936726936</v>
      </c>
    </row>
    <row r="42" spans="4:13" x14ac:dyDescent="0.25">
      <c r="D42">
        <v>1.1000000000000001</v>
      </c>
      <c r="E42" s="90">
        <v>46296</v>
      </c>
      <c r="F42" s="88"/>
      <c r="G42" s="89">
        <f t="shared" si="0"/>
        <v>8286.0092587567124</v>
      </c>
      <c r="I42" s="8">
        <f t="shared" si="1"/>
        <v>1.0322801154563672E-2</v>
      </c>
      <c r="K42" s="89">
        <f t="shared" si="2"/>
        <v>1707.8351914144778</v>
      </c>
      <c r="M42" s="89">
        <f t="shared" si="3"/>
        <v>1584.9215980670879</v>
      </c>
    </row>
    <row r="43" spans="4:13" x14ac:dyDescent="0.25">
      <c r="D43">
        <v>1.1000000000000001</v>
      </c>
      <c r="E43" s="90">
        <v>46327</v>
      </c>
      <c r="F43" s="88"/>
      <c r="G43" s="89">
        <f t="shared" si="0"/>
        <v>8352.0830601812359</v>
      </c>
      <c r="I43" s="8">
        <f t="shared" si="1"/>
        <v>1.0405116620589813E-2</v>
      </c>
      <c r="K43" s="89">
        <f t="shared" si="2"/>
        <v>1721.4537090602405</v>
      </c>
      <c r="M43" s="89">
        <f t="shared" si="3"/>
        <v>1597.5599854588775</v>
      </c>
    </row>
    <row r="44" spans="4:13" x14ac:dyDescent="0.25">
      <c r="D44">
        <v>1.1000000000000001</v>
      </c>
      <c r="E44" s="90">
        <v>46357</v>
      </c>
      <c r="F44" s="88"/>
      <c r="G44" s="89">
        <f t="shared" si="0"/>
        <v>8418.6837433769888</v>
      </c>
      <c r="I44" s="8">
        <f t="shared" si="1"/>
        <v>1.0488088481701517E-2</v>
      </c>
      <c r="K44" s="89">
        <f t="shared" si="2"/>
        <v>1735.1808226781441</v>
      </c>
      <c r="M44" s="89">
        <f t="shared" si="3"/>
        <v>1610.2991531265241</v>
      </c>
    </row>
    <row r="45" spans="4:13" x14ac:dyDescent="0.25">
      <c r="D45">
        <v>1.1000000000000001</v>
      </c>
      <c r="E45" s="90">
        <v>46388</v>
      </c>
      <c r="F45" s="88"/>
      <c r="G45" s="89">
        <f t="shared" si="0"/>
        <v>8485.8155097732069</v>
      </c>
      <c r="I45" s="8">
        <f t="shared" si="1"/>
        <v>1.0571721972085373E-2</v>
      </c>
      <c r="K45" s="89">
        <f t="shared" si="2"/>
        <v>1749.0173982277204</v>
      </c>
      <c r="M45" s="89">
        <f t="shared" si="3"/>
        <v>1623.1399047060997</v>
      </c>
    </row>
    <row r="46" spans="4:13" x14ac:dyDescent="0.25">
      <c r="D46">
        <v>1.1000000000000001</v>
      </c>
      <c r="E46" s="90">
        <v>46419</v>
      </c>
      <c r="F46" s="88"/>
      <c r="G46" s="89">
        <f t="shared" si="0"/>
        <v>8553.4825943019077</v>
      </c>
      <c r="I46" s="8">
        <f t="shared" si="1"/>
        <v>1.0656022367666109E-2</v>
      </c>
      <c r="K46" s="89">
        <f t="shared" si="2"/>
        <v>1762.9643085737841</v>
      </c>
      <c r="M46" s="89">
        <f t="shared" si="3"/>
        <v>1636.0830502419838</v>
      </c>
    </row>
    <row r="47" spans="4:13" x14ac:dyDescent="0.25">
      <c r="D47">
        <v>1.1000000000000001</v>
      </c>
      <c r="E47" s="90">
        <v>46447</v>
      </c>
      <c r="F47" s="88"/>
      <c r="G47" s="89">
        <f t="shared" si="0"/>
        <v>8621.6892656650543</v>
      </c>
      <c r="I47" s="8">
        <f t="shared" si="1"/>
        <v>1.0740994986439418E-2</v>
      </c>
      <c r="K47" s="89">
        <f t="shared" si="2"/>
        <v>1777.0224335414966</v>
      </c>
      <c r="M47" s="89">
        <f t="shared" si="3"/>
        <v>1649.1294062379625</v>
      </c>
    </row>
    <row r="48" spans="4:13" x14ac:dyDescent="0.25">
      <c r="F48" s="88"/>
      <c r="G48" s="88"/>
    </row>
    <row r="49" spans="6:7" x14ac:dyDescent="0.25">
      <c r="F49" s="88"/>
      <c r="G49" s="88"/>
    </row>
    <row r="50" spans="6:7" x14ac:dyDescent="0.25">
      <c r="F50" s="88"/>
      <c r="G50" s="88"/>
    </row>
    <row r="51" spans="6:7" x14ac:dyDescent="0.25">
      <c r="F51" s="88"/>
      <c r="G51" s="88"/>
    </row>
    <row r="52" spans="6:7" x14ac:dyDescent="0.25">
      <c r="F52" s="88"/>
      <c r="G52" s="88"/>
    </row>
    <row r="53" spans="6:7" x14ac:dyDescent="0.25">
      <c r="F53" s="88"/>
      <c r="G53" s="88"/>
    </row>
    <row r="54" spans="6:7" x14ac:dyDescent="0.25">
      <c r="F54" s="88"/>
      <c r="G54" s="88"/>
    </row>
    <row r="55" spans="6:7" x14ac:dyDescent="0.25">
      <c r="F55" s="88"/>
      <c r="G55" s="88"/>
    </row>
    <row r="56" spans="6:7" x14ac:dyDescent="0.25">
      <c r="F56" s="88"/>
      <c r="G56" s="88"/>
    </row>
  </sheetData>
  <mergeCells count="1">
    <mergeCell ref="A2:A32"/>
  </mergeCell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A55826-0DC7-4D71-850F-DBAC87D2EC37}">
  <dimension ref="A1:K56"/>
  <sheetViews>
    <sheetView topLeftCell="A6" zoomScale="80" zoomScaleNormal="80" workbookViewId="0">
      <selection activeCell="J52" sqref="J52"/>
    </sheetView>
  </sheetViews>
  <sheetFormatPr defaultRowHeight="15" x14ac:dyDescent="0.25"/>
  <cols>
    <col min="1" max="1" width="22.140625" bestFit="1" customWidth="1"/>
    <col min="2" max="2" width="48.140625" customWidth="1"/>
    <col min="3" max="3" width="18.140625" customWidth="1"/>
    <col min="4" max="4" width="12.42578125" customWidth="1"/>
    <col min="5" max="5" width="13.140625" style="90" bestFit="1" customWidth="1"/>
    <col min="6" max="6" width="36.7109375" customWidth="1"/>
    <col min="7" max="7" width="10.7109375" bestFit="1" customWidth="1"/>
    <col min="8" max="8" width="46.7109375" customWidth="1"/>
    <col min="10" max="10" width="45.5703125" customWidth="1"/>
  </cols>
  <sheetData>
    <row r="1" spans="1:11" ht="60" x14ac:dyDescent="0.25">
      <c r="F1" s="84" t="s">
        <v>291</v>
      </c>
      <c r="G1" s="83"/>
      <c r="H1" s="67" t="s">
        <v>331</v>
      </c>
      <c r="J1" s="67" t="s">
        <v>332</v>
      </c>
    </row>
    <row r="2" spans="1:11" s="61" customFormat="1" x14ac:dyDescent="0.25">
      <c r="A2" s="126" t="s">
        <v>282</v>
      </c>
      <c r="B2" s="85" t="s">
        <v>283</v>
      </c>
      <c r="C2" s="61" t="s">
        <v>139</v>
      </c>
      <c r="D2" s="61" t="s">
        <v>122</v>
      </c>
      <c r="E2" s="91" t="s">
        <v>2</v>
      </c>
      <c r="F2" s="61" t="s">
        <v>272</v>
      </c>
      <c r="G2" s="61" t="s">
        <v>123</v>
      </c>
      <c r="I2" s="61" t="s">
        <v>123</v>
      </c>
      <c r="K2" s="61" t="s">
        <v>123</v>
      </c>
    </row>
    <row r="3" spans="1:11" x14ac:dyDescent="0.25">
      <c r="A3" s="126"/>
      <c r="B3" s="85"/>
      <c r="D3">
        <v>1.1000000000000001</v>
      </c>
      <c r="E3" s="90">
        <v>45108</v>
      </c>
      <c r="F3" s="89">
        <f>SUM('Commvault S3 Data Collection'!AA16:AA20)</f>
        <v>1.04</v>
      </c>
      <c r="G3" s="89"/>
    </row>
    <row r="4" spans="1:11" x14ac:dyDescent="0.25">
      <c r="A4" s="126"/>
      <c r="B4" s="85"/>
      <c r="D4">
        <v>1.1000000000000001</v>
      </c>
      <c r="E4" s="90">
        <v>45139</v>
      </c>
      <c r="F4" s="89">
        <f>SUM('Commvault S3 Data Collection'!AB16:AB20)</f>
        <v>0.96000000000000019</v>
      </c>
      <c r="G4" s="89"/>
    </row>
    <row r="5" spans="1:11" x14ac:dyDescent="0.25">
      <c r="A5" s="126"/>
      <c r="B5" s="85"/>
      <c r="D5">
        <v>1.1000000000000001</v>
      </c>
      <c r="E5" s="90">
        <v>45170</v>
      </c>
      <c r="F5" s="89">
        <f>SUM('Commvault S3 Data Collection'!AC16:AC20)</f>
        <v>88.18</v>
      </c>
      <c r="G5" s="89"/>
    </row>
    <row r="6" spans="1:11" x14ac:dyDescent="0.25">
      <c r="A6" s="126"/>
      <c r="B6" s="85"/>
      <c r="D6">
        <v>1.1000000000000001</v>
      </c>
      <c r="E6" s="90">
        <v>45200</v>
      </c>
      <c r="F6" s="89">
        <f>SUM('Commvault S3 Data Collection'!AD16:AD20)</f>
        <v>206.35</v>
      </c>
      <c r="G6" s="89"/>
    </row>
    <row r="7" spans="1:11" x14ac:dyDescent="0.25">
      <c r="A7" s="126"/>
      <c r="B7" s="85"/>
      <c r="D7">
        <v>1.1000000000000001</v>
      </c>
      <c r="E7" s="90">
        <v>45231</v>
      </c>
      <c r="F7" s="89">
        <f>SUM('Commvault S3 Data Collection'!AE16:AE20)</f>
        <v>152.31</v>
      </c>
      <c r="G7" s="89"/>
    </row>
    <row r="8" spans="1:11" x14ac:dyDescent="0.25">
      <c r="A8" s="126"/>
      <c r="B8" s="85"/>
      <c r="D8">
        <v>1.1000000000000001</v>
      </c>
      <c r="E8" s="90">
        <v>45261</v>
      </c>
      <c r="F8" s="89">
        <f>SUM('Commvault S3 Data Collection'!AF16:AF20)</f>
        <v>168.66000000000003</v>
      </c>
      <c r="G8" s="89"/>
    </row>
    <row r="9" spans="1:11" x14ac:dyDescent="0.25">
      <c r="A9" s="126"/>
      <c r="B9" s="85"/>
      <c r="D9">
        <v>1.1000000000000001</v>
      </c>
      <c r="E9" s="90">
        <v>45292</v>
      </c>
      <c r="F9" s="89">
        <f>SUM('Commvault S3 Data Collection'!AG16:AG20)</f>
        <v>346.22</v>
      </c>
      <c r="G9" s="89"/>
    </row>
    <row r="10" spans="1:11" x14ac:dyDescent="0.25">
      <c r="A10" s="126"/>
      <c r="B10" s="85"/>
      <c r="D10">
        <v>1.1000000000000001</v>
      </c>
      <c r="E10" s="90">
        <v>45323</v>
      </c>
      <c r="F10" s="89">
        <f>SUM('Commvault S3 Data Collection'!AH16:AH20)</f>
        <v>270.83000000000004</v>
      </c>
      <c r="G10" s="89"/>
    </row>
    <row r="11" spans="1:11" x14ac:dyDescent="0.25">
      <c r="A11" s="126"/>
      <c r="B11" s="87" t="s">
        <v>284</v>
      </c>
      <c r="D11">
        <v>1.1000000000000001</v>
      </c>
      <c r="E11" s="90">
        <v>45352</v>
      </c>
      <c r="F11" s="89">
        <f>SUM('Commvault S3 Data Collection'!AI16:AI20)</f>
        <v>268.58</v>
      </c>
      <c r="G11" s="89"/>
    </row>
    <row r="12" spans="1:11" x14ac:dyDescent="0.25">
      <c r="A12" s="126"/>
      <c r="D12">
        <v>1.1000000000000001</v>
      </c>
      <c r="E12" s="90">
        <v>45383</v>
      </c>
      <c r="F12" s="89">
        <f>SUM('Commvault S3 Data Collection'!AJ16:AJ20)</f>
        <v>390.65999999999997</v>
      </c>
      <c r="G12" s="89"/>
    </row>
    <row r="13" spans="1:11" x14ac:dyDescent="0.25">
      <c r="A13" s="126"/>
      <c r="D13">
        <v>1.1000000000000001</v>
      </c>
      <c r="E13" s="90">
        <v>45413</v>
      </c>
      <c r="F13" s="89">
        <f>SUM('Commvault S3 Data Collection'!AK16:AK20)</f>
        <v>337.08</v>
      </c>
      <c r="G13" s="89"/>
    </row>
    <row r="14" spans="1:11" x14ac:dyDescent="0.25">
      <c r="A14" s="126"/>
      <c r="D14">
        <v>1.1000000000000001</v>
      </c>
      <c r="E14" s="90">
        <v>45444</v>
      </c>
      <c r="F14" s="89">
        <f>SUM('Commvault S3 Data Collection'!AL16:AL20)</f>
        <v>360.38</v>
      </c>
      <c r="G14" s="89"/>
      <c r="H14" s="89">
        <f>SUM('Commvault S3 Data Collection'!AL48:AL51)</f>
        <v>0.12</v>
      </c>
      <c r="J14" s="89">
        <f>SUM('Commvault S3 Data Collection'!AL60:AL63)</f>
        <v>0</v>
      </c>
    </row>
    <row r="15" spans="1:11" x14ac:dyDescent="0.25">
      <c r="A15" s="126"/>
      <c r="D15">
        <v>1.1000000000000001</v>
      </c>
      <c r="E15" s="90">
        <v>45474</v>
      </c>
      <c r="F15" s="89">
        <f>SUM('Commvault S3 Data Collection'!AM16:AM20)</f>
        <v>369.13</v>
      </c>
      <c r="G15" s="89"/>
      <c r="H15" s="89">
        <f>SUM('Commvault S3 Data Collection'!AM48:AM51)</f>
        <v>0.1</v>
      </c>
      <c r="I15" s="89"/>
      <c r="J15" s="89">
        <f>SUM('Commvault S3 Data Collection'!AM60:AM63)</f>
        <v>0</v>
      </c>
      <c r="K15" s="89"/>
    </row>
    <row r="16" spans="1:11" x14ac:dyDescent="0.25">
      <c r="A16" s="126"/>
      <c r="D16">
        <v>1.1000000000000001</v>
      </c>
      <c r="E16" s="90">
        <v>45505</v>
      </c>
      <c r="F16" s="89">
        <f>SUM('Commvault S3 Data Collection'!AN16:AN20)</f>
        <v>385.53059999999994</v>
      </c>
      <c r="G16" s="89"/>
      <c r="H16" s="89">
        <f>SUM('Commvault S3 Data Collection'!AN48:AN51)</f>
        <v>0.1</v>
      </c>
      <c r="I16" s="89"/>
      <c r="J16" s="89">
        <f>SUM('Commvault S3 Data Collection'!AN60:AN63)</f>
        <v>1.99</v>
      </c>
      <c r="K16" s="89"/>
    </row>
    <row r="17" spans="1:11" x14ac:dyDescent="0.25">
      <c r="A17" s="126"/>
      <c r="D17">
        <v>1.1000000000000001</v>
      </c>
      <c r="E17" s="90">
        <v>45536</v>
      </c>
      <c r="F17" s="89">
        <f>SUM('Commvault S3 Data Collection'!AO16:AO20)</f>
        <v>396.47469999999998</v>
      </c>
      <c r="G17" s="89"/>
      <c r="H17" s="89">
        <f>SUM('Commvault S3 Data Collection'!AO48:AO51)</f>
        <v>0.11</v>
      </c>
      <c r="I17" s="89"/>
      <c r="J17" s="89">
        <f>SUM('Commvault S3 Data Collection'!AO60:AO63)</f>
        <v>4.66</v>
      </c>
      <c r="K17" s="89"/>
    </row>
    <row r="18" spans="1:11" x14ac:dyDescent="0.25">
      <c r="A18" s="126"/>
      <c r="B18" t="s">
        <v>285</v>
      </c>
      <c r="D18">
        <v>1.1000000000000001</v>
      </c>
      <c r="E18" s="90">
        <v>45566</v>
      </c>
      <c r="F18" s="89">
        <f>SUM('Commvault S3 Data Collection'!AP16:AP20)</f>
        <v>448.78470000000004</v>
      </c>
      <c r="G18" s="89"/>
      <c r="H18" s="89">
        <f>SUM('Commvault S3 Data Collection'!AP48:AP51)</f>
        <v>0.14000000000000001</v>
      </c>
      <c r="I18" s="89"/>
      <c r="J18" s="89">
        <f>SUM('Commvault S3 Data Collection'!AP60:AP63)</f>
        <v>5.38</v>
      </c>
      <c r="K18" s="89"/>
    </row>
    <row r="19" spans="1:11" x14ac:dyDescent="0.25">
      <c r="A19" s="126"/>
      <c r="B19" s="85"/>
      <c r="D19">
        <v>1.1000000000000001</v>
      </c>
      <c r="E19" s="90">
        <v>45597</v>
      </c>
      <c r="F19" s="89">
        <f>SUM('Commvault S3 Data Collection'!AQ16:AQ20)</f>
        <v>454.47</v>
      </c>
      <c r="G19" s="89"/>
      <c r="H19" s="89">
        <f>SUM('Commvault S3 Data Collection'!AQ48:AQ51)</f>
        <v>0.14000000000000001</v>
      </c>
      <c r="I19" s="89"/>
      <c r="J19" s="89">
        <f>SUM('Commvault S3 Data Collection'!AQ60:AQ63)</f>
        <v>5.65</v>
      </c>
      <c r="K19" s="89"/>
    </row>
    <row r="20" spans="1:11" x14ac:dyDescent="0.25">
      <c r="A20" s="126"/>
      <c r="B20" s="85"/>
      <c r="D20">
        <v>1.1000000000000001</v>
      </c>
      <c r="E20" s="90">
        <v>45627</v>
      </c>
      <c r="F20" s="89">
        <f>SUM('Commvault S3 Data Collection'!AR16:AR20)</f>
        <v>457.67</v>
      </c>
      <c r="G20" s="89"/>
      <c r="H20" s="89">
        <f>SUM('Commvault S3 Data Collection'!AR48:AR51)</f>
        <v>0.15</v>
      </c>
      <c r="I20" s="89"/>
      <c r="J20" s="89">
        <f>SUM('Commvault S3 Data Collection'!AR60:AR63)</f>
        <v>5.81</v>
      </c>
      <c r="K20" s="89"/>
    </row>
    <row r="21" spans="1:11" x14ac:dyDescent="0.25">
      <c r="A21" s="126"/>
      <c r="B21" t="s">
        <v>285</v>
      </c>
      <c r="D21">
        <v>1.1000000000000001</v>
      </c>
      <c r="E21" s="90">
        <v>45658</v>
      </c>
      <c r="F21" s="89">
        <f>SUM('Commvault S3 Data Collection'!AS16:AS20)</f>
        <v>494.21000000000004</v>
      </c>
      <c r="G21" s="89"/>
      <c r="H21" s="89">
        <f>SUM('Commvault S3 Data Collection'!AS48:AS51)</f>
        <v>0.27900000000000003</v>
      </c>
      <c r="I21" s="89"/>
      <c r="J21" s="89">
        <f>SUM('Commvault S3 Data Collection'!AS60:AS63)</f>
        <v>6.7200000000000006</v>
      </c>
      <c r="K21" s="89"/>
    </row>
    <row r="22" spans="1:11" x14ac:dyDescent="0.25">
      <c r="A22" s="126"/>
      <c r="B22" s="85"/>
      <c r="D22">
        <v>1.1000000000000001</v>
      </c>
      <c r="E22" s="90">
        <v>45689</v>
      </c>
      <c r="F22" s="89">
        <f>SUM('Commvault S3 Data Collection'!AT16:AT20)</f>
        <v>501.13</v>
      </c>
      <c r="G22" s="89"/>
      <c r="H22" s="89">
        <f>SUM('Commvault S3 Data Collection'!AT48:AT51)</f>
        <v>0.27800000000000002</v>
      </c>
      <c r="I22" s="89"/>
      <c r="J22" s="89">
        <f>SUM('Commvault S3 Data Collection'!AT60:AT63)</f>
        <v>6.9599999999999991</v>
      </c>
      <c r="K22" s="89"/>
    </row>
    <row r="23" spans="1:11" x14ac:dyDescent="0.25">
      <c r="A23" s="126"/>
      <c r="B23" s="85"/>
      <c r="D23">
        <v>1.1000000000000001</v>
      </c>
      <c r="E23" s="90">
        <v>45717</v>
      </c>
      <c r="F23" s="89">
        <f>SUM('Commvault S3 Data Collection'!AU16:AU20)</f>
        <v>509.97999999999996</v>
      </c>
      <c r="G23" s="89"/>
      <c r="H23" s="89">
        <f>SUM('Commvault S3 Data Collection'!AU48:AU51)</f>
        <v>0.28900000000000003</v>
      </c>
      <c r="I23" s="89"/>
      <c r="J23" s="89">
        <f>SUM('Commvault S3 Data Collection'!AU60:AU63)</f>
        <v>7.08</v>
      </c>
      <c r="K23" s="89"/>
    </row>
    <row r="24" spans="1:11" x14ac:dyDescent="0.25">
      <c r="A24" s="126"/>
      <c r="B24" t="s">
        <v>285</v>
      </c>
      <c r="D24">
        <v>1.1000000000000001</v>
      </c>
      <c r="E24" s="90">
        <v>45748</v>
      </c>
      <c r="F24" s="89">
        <f>SUM('Commvault S3 Data Collection'!AV16:AV20)</f>
        <v>518.78</v>
      </c>
      <c r="G24" s="89"/>
      <c r="H24" s="89">
        <f>SUM('Commvault S3 Data Collection'!AV48:AV51)</f>
        <v>0.32900000000000001</v>
      </c>
      <c r="I24" s="89"/>
      <c r="J24" s="89">
        <f>SUM('Commvault S3 Data Collection'!AV60:AV63)</f>
        <v>7.61</v>
      </c>
      <c r="K24" s="89"/>
    </row>
    <row r="25" spans="1:11" x14ac:dyDescent="0.25">
      <c r="A25" s="126"/>
      <c r="B25" s="85"/>
      <c r="D25">
        <v>1.1000000000000001</v>
      </c>
      <c r="E25" s="90">
        <v>45778</v>
      </c>
      <c r="F25" s="89">
        <f>SUM('Commvault S3 Data Collection'!AW16:AW20)</f>
        <v>522.14</v>
      </c>
      <c r="G25" s="89"/>
      <c r="H25" s="89">
        <f>SUM('Commvault S3 Data Collection'!AW48:AW51)</f>
        <v>0.316</v>
      </c>
      <c r="I25" s="89"/>
      <c r="J25" s="89">
        <f>SUM('Commvault S3 Data Collection'!AW60:AW63)</f>
        <v>7.73</v>
      </c>
      <c r="K25" s="89"/>
    </row>
    <row r="26" spans="1:11" x14ac:dyDescent="0.25">
      <c r="A26" s="126"/>
      <c r="B26" s="85"/>
      <c r="D26">
        <v>1.1000000000000001</v>
      </c>
      <c r="E26" s="90">
        <v>45809</v>
      </c>
      <c r="F26" s="89">
        <f>SUM('Commvault S3 Data Collection'!AX16:AX20)</f>
        <v>525.45000000000005</v>
      </c>
      <c r="G26" s="89"/>
      <c r="H26" s="89">
        <f>SUM('Commvault S3 Data Collection'!AX48:AX51)</f>
        <v>0.32</v>
      </c>
      <c r="I26" s="89"/>
      <c r="J26" s="89">
        <f>SUM('Commvault S3 Data Collection'!AX60:AX63)</f>
        <v>7.83</v>
      </c>
      <c r="K26" s="89"/>
    </row>
    <row r="27" spans="1:11" x14ac:dyDescent="0.25">
      <c r="A27" s="126"/>
      <c r="B27" t="s">
        <v>286</v>
      </c>
      <c r="D27">
        <v>1.1000000000000001</v>
      </c>
      <c r="E27" s="90">
        <v>45839</v>
      </c>
      <c r="F27" s="89">
        <f>SUM('Commvault S3 Data Collection'!AY16:AY20)</f>
        <v>608.79</v>
      </c>
      <c r="G27" s="89"/>
      <c r="H27" s="89">
        <f>SUM('Commvault S3 Data Collection'!AY48:AY51)</f>
        <v>0.45999999999999996</v>
      </c>
      <c r="I27" s="89"/>
      <c r="J27" s="89">
        <f>SUM('Commvault S3 Data Collection'!AY60:AY63)</f>
        <v>8.26</v>
      </c>
      <c r="K27" s="89"/>
    </row>
    <row r="28" spans="1:11" x14ac:dyDescent="0.25">
      <c r="A28" s="126"/>
      <c r="B28" s="85"/>
      <c r="D28">
        <v>1.1000000000000001</v>
      </c>
      <c r="E28" s="90">
        <v>45870</v>
      </c>
      <c r="F28" s="89">
        <f>SUM('Commvault S3 Data Collection'!AZ16:AZ20)</f>
        <v>619.18000000000006</v>
      </c>
      <c r="G28" s="89"/>
      <c r="H28" s="89">
        <f>SUM('Commvault S3 Data Collection'!AZ48:AZ51)</f>
        <v>0.47</v>
      </c>
      <c r="I28" s="89"/>
      <c r="J28" s="89">
        <f>SUM('Commvault S3 Data Collection'!AZ60:AZ63)</f>
        <v>8.36</v>
      </c>
      <c r="K28" s="89"/>
    </row>
    <row r="29" spans="1:11" x14ac:dyDescent="0.25">
      <c r="A29" s="126"/>
      <c r="B29" s="85"/>
      <c r="D29">
        <v>1.1000000000000001</v>
      </c>
      <c r="E29" s="90">
        <v>45901</v>
      </c>
      <c r="F29" s="89">
        <f>SUM('Commvault S3 Data Collection'!BA16:BA20)</f>
        <v>622.45000000000005</v>
      </c>
      <c r="G29" s="89"/>
      <c r="H29" s="89">
        <f>SUM('Commvault S3 Data Collection'!BA48:BA51)</f>
        <v>0.47</v>
      </c>
      <c r="I29" s="89"/>
      <c r="J29" s="89">
        <f>SUM('Commvault S3 Data Collection'!BA60:BA63)</f>
        <v>8.52</v>
      </c>
      <c r="K29" s="89"/>
    </row>
    <row r="30" spans="1:11" x14ac:dyDescent="0.25">
      <c r="A30" s="126"/>
      <c r="B30" t="s">
        <v>285</v>
      </c>
      <c r="D30">
        <v>1.1000000000000001</v>
      </c>
      <c r="E30" s="90">
        <v>45931</v>
      </c>
      <c r="F30" s="89">
        <f>SUM('Commvault S3 Data Collection'!BB16:BB20)</f>
        <v>646.30999999999995</v>
      </c>
      <c r="G30" s="89"/>
      <c r="H30" s="89">
        <f>SUM('Commvault S3 Data Collection'!BB48:BB51)</f>
        <v>0.67999999999999994</v>
      </c>
      <c r="I30" s="89"/>
      <c r="J30" s="89">
        <f>SUM('Commvault S3 Data Collection'!BB60:BB63)</f>
        <v>11.3</v>
      </c>
      <c r="K30" s="89"/>
    </row>
    <row r="31" spans="1:11" x14ac:dyDescent="0.25">
      <c r="A31" s="126"/>
      <c r="D31">
        <v>1.1000000000000001</v>
      </c>
      <c r="E31" s="90">
        <v>45962</v>
      </c>
      <c r="F31" s="89">
        <f>SUM('Commvault S3 Data Collection'!BC16:BC20)</f>
        <v>653.71</v>
      </c>
      <c r="G31" s="89"/>
      <c r="H31" s="89">
        <f>SUM('Commvault S3 Data Collection'!BC48:BC51)</f>
        <v>0.69</v>
      </c>
      <c r="I31" s="89"/>
      <c r="J31" s="89">
        <f>SUM('Commvault S3 Data Collection'!BC60:BC63)</f>
        <v>11.41</v>
      </c>
      <c r="K31" s="89"/>
    </row>
    <row r="32" spans="1:11" x14ac:dyDescent="0.25">
      <c r="A32" s="126"/>
      <c r="D32">
        <v>1.1000000000000001</v>
      </c>
      <c r="E32" s="90">
        <v>45992</v>
      </c>
      <c r="F32" s="89">
        <f>SUM('Commvault S3 Data Collection'!BD16:BD20)</f>
        <v>660.46</v>
      </c>
      <c r="G32" s="89"/>
      <c r="H32" s="89">
        <f>SUM('Commvault S3 Data Collection'!BD48:BD51)</f>
        <v>0.74</v>
      </c>
      <c r="I32" s="89"/>
      <c r="J32" s="89">
        <f>SUM('Commvault S3 Data Collection'!BD60:BD63)</f>
        <v>11.69</v>
      </c>
      <c r="K32" s="89"/>
    </row>
    <row r="33" spans="3:11" x14ac:dyDescent="0.25">
      <c r="D33">
        <v>1.1000000000000001</v>
      </c>
      <c r="E33" s="90">
        <v>46023</v>
      </c>
      <c r="F33" s="89">
        <f>SUM('Commvault S3 Data Collection'!BE16:BE20)</f>
        <v>709.71</v>
      </c>
      <c r="G33" s="89"/>
      <c r="H33" s="89">
        <f>SUM('Commvault S3 Data Collection'!BE48:BE51)</f>
        <v>2.6599999999999997</v>
      </c>
      <c r="I33" s="89"/>
      <c r="J33" s="89">
        <f>SUM('Commvault S3 Data Collection'!BE60:BE63)</f>
        <v>13.990000000000002</v>
      </c>
      <c r="K33" s="89"/>
    </row>
    <row r="34" spans="3:11" x14ac:dyDescent="0.25">
      <c r="D34">
        <v>1.1000000000000001</v>
      </c>
      <c r="E34" s="90">
        <v>46054</v>
      </c>
      <c r="F34" s="89">
        <f>SUM('Commvault S3 Data Collection'!BF16:BF20)</f>
        <v>727.85</v>
      </c>
      <c r="G34" s="89"/>
      <c r="H34" s="89">
        <f>SUM('Commvault S3 Data Collection'!BF48:BF51)</f>
        <v>2.6999999999999997</v>
      </c>
      <c r="I34" s="89"/>
      <c r="J34" s="89">
        <f>SUM('Commvault S3 Data Collection'!BF60:BF63)</f>
        <v>14.07</v>
      </c>
      <c r="K34" s="89"/>
    </row>
    <row r="35" spans="3:11" x14ac:dyDescent="0.25">
      <c r="D35">
        <v>1.1000000000000001</v>
      </c>
      <c r="E35" s="90">
        <v>46082</v>
      </c>
      <c r="F35" s="89">
        <f>SUM('Commvault S3 Data Collection'!BG16:BG20)</f>
        <v>739.18</v>
      </c>
      <c r="G35" s="89"/>
      <c r="H35" s="89">
        <f>SUM('Commvault S3 Data Collection'!BG48:BG51)</f>
        <v>2.7399999999999998</v>
      </c>
      <c r="I35" s="89"/>
      <c r="J35" s="89">
        <f>SUM('Commvault S3 Data Collection'!BG60:BG63)</f>
        <v>14.28</v>
      </c>
      <c r="K35" s="89"/>
    </row>
    <row r="36" spans="3:11" x14ac:dyDescent="0.25">
      <c r="D36">
        <v>1.1000000000000001</v>
      </c>
      <c r="E36" s="90">
        <v>46113</v>
      </c>
      <c r="F36" s="89">
        <f>SUM('Commvault S3 Data Collection'!BH16:BH20)</f>
        <v>708.57999999999993</v>
      </c>
      <c r="G36" s="89"/>
      <c r="H36" s="89">
        <f>SUM('Commvault S3 Data Collection'!BH48:BH51)</f>
        <v>3.2199999999999998</v>
      </c>
      <c r="I36" s="89"/>
      <c r="J36" s="89">
        <f>SUM('Commvault S3 Data Collection'!BH60:BH63)</f>
        <v>14.57</v>
      </c>
      <c r="K36" s="89"/>
    </row>
    <row r="37" spans="3:11" x14ac:dyDescent="0.25">
      <c r="D37">
        <v>1.1000000000000001</v>
      </c>
      <c r="E37" s="90">
        <v>46143</v>
      </c>
      <c r="F37" s="89">
        <f>SUM('Commvault S3 Data Collection'!BI16:BI20)</f>
        <v>710.67</v>
      </c>
      <c r="G37" s="89"/>
      <c r="H37" s="89">
        <f>SUM('Commvault S3 Data Collection'!BI48:BI51)</f>
        <v>3.14</v>
      </c>
      <c r="I37" s="89"/>
      <c r="J37" s="89">
        <f>SUM('Commvault S3 Data Collection'!BI60:BI63)</f>
        <v>14.620000000000001</v>
      </c>
      <c r="K37" s="89"/>
    </row>
    <row r="38" spans="3:11" x14ac:dyDescent="0.25">
      <c r="D38">
        <v>1.1000000000000001</v>
      </c>
      <c r="E38" s="90">
        <v>46174</v>
      </c>
      <c r="F38" s="89">
        <f>SUM('Commvault S3 Data Collection'!BJ16:BJ20)</f>
        <v>714.31999999999994</v>
      </c>
      <c r="G38" s="89"/>
      <c r="H38" s="89">
        <f>SUM('Commvault S3 Data Collection'!BJ48:BJ51)</f>
        <v>3.0799999999999996</v>
      </c>
      <c r="I38" s="89"/>
      <c r="J38" s="89">
        <f>SUM('Commvault S3 Data Collection'!BJ60:BJ63)</f>
        <v>14.690000000000001</v>
      </c>
      <c r="K38" s="89"/>
    </row>
    <row r="39" spans="3:11" x14ac:dyDescent="0.25">
      <c r="C39">
        <v>200</v>
      </c>
      <c r="D39">
        <v>1.1000000000000001</v>
      </c>
      <c r="E39" s="90">
        <v>46204</v>
      </c>
      <c r="F39" s="88"/>
      <c r="G39" s="89">
        <f>F38*(1+(D39^(1/12)-1))+C39</f>
        <v>920.01608799117446</v>
      </c>
      <c r="I39" s="89">
        <f>H38*(1+(D39^(1/12)-1))+C39</f>
        <v>203.10456035252102</v>
      </c>
      <c r="K39" s="89">
        <f>J38*(1+(D39^(1/12)-1))+C39</f>
        <v>214.80714012290059</v>
      </c>
    </row>
    <row r="40" spans="3:11" x14ac:dyDescent="0.25">
      <c r="D40">
        <v>1.1000000000000001</v>
      </c>
      <c r="E40" s="90">
        <v>46235</v>
      </c>
      <c r="F40" s="88"/>
      <c r="G40" s="89">
        <f t="shared" ref="G40:G45" si="0">G39*(1+(D40^(1/12)-1))+C40</f>
        <v>927.35242547366681</v>
      </c>
      <c r="I40" s="89">
        <f t="shared" ref="I40:I45" si="1">I39*(1+(D40^(1/12)-1))+C40</f>
        <v>204.72414463852277</v>
      </c>
      <c r="K40" s="89">
        <f t="shared" ref="K40:K45" si="2">K39*(1+(D40^(1/12)-1))+C40</f>
        <v>216.52004242337182</v>
      </c>
    </row>
    <row r="41" spans="3:11" x14ac:dyDescent="0.25">
      <c r="D41">
        <v>1.1000000000000001</v>
      </c>
      <c r="E41" s="90">
        <v>46266</v>
      </c>
      <c r="F41" s="88"/>
      <c r="G41" s="89">
        <f t="shared" si="0"/>
        <v>934.74726394147831</v>
      </c>
      <c r="I41" s="89">
        <f t="shared" si="1"/>
        <v>206.35664371705755</v>
      </c>
      <c r="K41" s="89">
        <f t="shared" si="2"/>
        <v>218.24660364732799</v>
      </c>
    </row>
    <row r="42" spans="3:11" x14ac:dyDescent="0.25">
      <c r="D42">
        <v>1.1000000000000001</v>
      </c>
      <c r="E42" s="90">
        <v>46296</v>
      </c>
      <c r="F42" s="88"/>
      <c r="G42" s="89">
        <f t="shared" si="0"/>
        <v>942.20106988968121</v>
      </c>
      <c r="I42" s="89">
        <f t="shared" si="1"/>
        <v>208.00216057249463</v>
      </c>
      <c r="K42" s="89">
        <f t="shared" si="2"/>
        <v>219.98693271294309</v>
      </c>
    </row>
    <row r="43" spans="3:11" x14ac:dyDescent="0.25">
      <c r="D43">
        <v>1.1000000000000001</v>
      </c>
      <c r="E43" s="90">
        <v>46327</v>
      </c>
      <c r="F43" s="88"/>
      <c r="G43" s="89">
        <f t="shared" si="0"/>
        <v>949.71431353324488</v>
      </c>
      <c r="I43" s="89">
        <f t="shared" si="1"/>
        <v>209.6607990104151</v>
      </c>
      <c r="K43" s="89">
        <f t="shared" si="2"/>
        <v>221.7411394069199</v>
      </c>
    </row>
    <row r="44" spans="3:11" x14ac:dyDescent="0.25">
      <c r="D44">
        <v>1.1000000000000001</v>
      </c>
      <c r="E44" s="90">
        <v>46357</v>
      </c>
      <c r="F44" s="88"/>
      <c r="G44" s="89">
        <f t="shared" si="0"/>
        <v>957.28746883669896</v>
      </c>
      <c r="I44" s="89">
        <f t="shared" si="1"/>
        <v>211.33266366416032</v>
      </c>
      <c r="K44" s="89">
        <f t="shared" si="2"/>
        <v>223.50933439141579</v>
      </c>
    </row>
    <row r="45" spans="3:11" x14ac:dyDescent="0.25">
      <c r="D45">
        <v>1.1000000000000001</v>
      </c>
      <c r="E45" s="90">
        <v>46388</v>
      </c>
      <c r="F45" s="88"/>
      <c r="G45" s="89">
        <f t="shared" si="0"/>
        <v>964.92101354403269</v>
      </c>
      <c r="I45" s="89">
        <f t="shared" si="1"/>
        <v>213.01786000143264</v>
      </c>
      <c r="K45" s="89">
        <f t="shared" si="2"/>
        <v>225.29162921102375</v>
      </c>
    </row>
    <row r="46" spans="3:11" x14ac:dyDescent="0.25">
      <c r="F46" s="88"/>
      <c r="G46" s="88"/>
    </row>
    <row r="47" spans="3:11" x14ac:dyDescent="0.25">
      <c r="F47" s="88"/>
      <c r="G47" s="88"/>
    </row>
    <row r="48" spans="3:11" x14ac:dyDescent="0.25">
      <c r="F48" s="88"/>
      <c r="G48" s="88"/>
    </row>
    <row r="49" spans="6:7" x14ac:dyDescent="0.25">
      <c r="F49" s="88"/>
      <c r="G49" s="88"/>
    </row>
    <row r="50" spans="6:7" x14ac:dyDescent="0.25">
      <c r="F50" s="88"/>
      <c r="G50" s="88"/>
    </row>
    <row r="51" spans="6:7" x14ac:dyDescent="0.25">
      <c r="F51" s="88"/>
      <c r="G51" s="88"/>
    </row>
    <row r="52" spans="6:7" x14ac:dyDescent="0.25">
      <c r="F52" s="88"/>
      <c r="G52" s="88"/>
    </row>
    <row r="53" spans="6:7" x14ac:dyDescent="0.25">
      <c r="F53" s="88"/>
      <c r="G53" s="88"/>
    </row>
    <row r="54" spans="6:7" x14ac:dyDescent="0.25">
      <c r="F54" s="88"/>
      <c r="G54" s="88"/>
    </row>
    <row r="55" spans="6:7" x14ac:dyDescent="0.25">
      <c r="F55" s="88"/>
      <c r="G55" s="88"/>
    </row>
    <row r="56" spans="6:7" x14ac:dyDescent="0.25">
      <c r="F56" s="88"/>
      <c r="G56" s="88"/>
    </row>
  </sheetData>
  <mergeCells count="1">
    <mergeCell ref="A2:A32"/>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Flow_SignoffStatus xmlns="c3b58dca-606a-4d85-a72b-23ba30ff410f" xsi:nil="true"/>
    <SharedWithUsers xmlns="c8c52970-cfa2-46fe-9898-0a0bac73555e">
      <UserInfo>
        <DisplayName>Ramzi Ahmad</DisplayName>
        <AccountId>102</AccountId>
        <AccountType/>
      </UserInfo>
    </SharedWithUsers>
    <TaxCatchAll xmlns="c8c52970-cfa2-46fe-9898-0a0bac73555e" xsi:nil="true"/>
    <lcf76f155ced4ddcb4097134ff3c332f xmlns="c3b58dca-606a-4d85-a72b-23ba30ff410f">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32316533B64F649904E3DA47760CB6F" ma:contentTypeVersion="16" ma:contentTypeDescription="Create a new document." ma:contentTypeScope="" ma:versionID="598b687cadf4caa4781f940c7100c7df">
  <xsd:schema xmlns:xsd="http://www.w3.org/2001/XMLSchema" xmlns:xs="http://www.w3.org/2001/XMLSchema" xmlns:p="http://schemas.microsoft.com/office/2006/metadata/properties" xmlns:ns2="c3b58dca-606a-4d85-a72b-23ba30ff410f" xmlns:ns3="c8c52970-cfa2-46fe-9898-0a0bac73555e" targetNamespace="http://schemas.microsoft.com/office/2006/metadata/properties" ma:root="true" ma:fieldsID="e53380837f82f1946de621d26a782d0b" ns2:_="" ns3:_="">
    <xsd:import namespace="c3b58dca-606a-4d85-a72b-23ba30ff410f"/>
    <xsd:import namespace="c8c52970-cfa2-46fe-9898-0a0bac73555e"/>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_Flow_SignoffStatu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3b58dca-606a-4d85-a72b-23ba30ff410f"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_Flow_SignoffStatus" ma:index="12" nillable="true" ma:displayName="Sign-off status" ma:internalName="Sign_x002d_off_x0020_status">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4f80be94-6dd9-42f1-bc88-0b1781da795e" ma:termSetId="09814cd3-568e-fe90-9814-8d621ff8fb84" ma:anchorId="fba54fb3-c3e1-fe81-a776-ca4b69148c4d" ma:open="true" ma:isKeyword="false">
      <xsd:complexType>
        <xsd:sequence>
          <xsd:element ref="pc:Terms" minOccurs="0" maxOccurs="1"/>
        </xsd:sequence>
      </xsd:complex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8c52970-cfa2-46fe-9898-0a0bac73555e"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5dc2656d-a0ce-4a86-a7dd-7f2169d9ba8f}" ma:internalName="TaxCatchAll" ma:showField="CatchAllData" ma:web="c8c52970-cfa2-46fe-9898-0a0bac73555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190B9F0-B045-49CC-A0D6-F1F226AAB7D4}">
  <ds:schemaRefs>
    <ds:schemaRef ds:uri="http://schemas.microsoft.com/sharepoint/v3/contenttype/forms"/>
  </ds:schemaRefs>
</ds:datastoreItem>
</file>

<file path=customXml/itemProps2.xml><?xml version="1.0" encoding="utf-8"?>
<ds:datastoreItem xmlns:ds="http://schemas.openxmlformats.org/officeDocument/2006/customXml" ds:itemID="{71CE34E1-5E8C-4399-A8D2-4EB1CBD388CB}">
  <ds:schemaRefs>
    <ds:schemaRef ds:uri="http://schemas.openxmlformats.org/package/2006/metadata/core-properties"/>
    <ds:schemaRef ds:uri="http://schemas.microsoft.com/office/2006/documentManagement/types"/>
    <ds:schemaRef ds:uri="c3b58dca-606a-4d85-a72b-23ba30ff410f"/>
    <ds:schemaRef ds:uri="http://purl.org/dc/elements/1.1/"/>
    <ds:schemaRef ds:uri="http://www.w3.org/XML/1998/namespace"/>
    <ds:schemaRef ds:uri="http://schemas.microsoft.com/office/infopath/2007/PartnerControls"/>
    <ds:schemaRef ds:uri="c8c52970-cfa2-46fe-9898-0a0bac73555e"/>
    <ds:schemaRef ds:uri="http://purl.org/dc/terms/"/>
    <ds:schemaRef ds:uri="http://schemas.microsoft.com/office/2006/metadata/properties"/>
    <ds:schemaRef ds:uri="http://purl.org/dc/dcmitype/"/>
  </ds:schemaRefs>
</ds:datastoreItem>
</file>

<file path=customXml/itemProps3.xml><?xml version="1.0" encoding="utf-8"?>
<ds:datastoreItem xmlns:ds="http://schemas.openxmlformats.org/officeDocument/2006/customXml" ds:itemID="{658E0F2E-0DB9-4F09-9610-1037DAD483C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3b58dca-606a-4d85-a72b-23ba30ff410f"/>
    <ds:schemaRef ds:uri="c8c52970-cfa2-46fe-9898-0a0bac73555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Data Collection Sheet</vt:lpstr>
      <vt:lpstr>EQUINIX DC</vt:lpstr>
      <vt:lpstr>MacPark-DC</vt:lpstr>
      <vt:lpstr>Denver (Unity)</vt:lpstr>
      <vt:lpstr>Denver (HX)</vt:lpstr>
      <vt:lpstr>Denver (ESX)</vt:lpstr>
      <vt:lpstr>Denver (FPS)</vt:lpstr>
      <vt:lpstr>Mechelen (HX)</vt:lpstr>
      <vt:lpstr>AUB (HX)</vt:lpstr>
      <vt:lpstr>CMY (HX)</vt:lpstr>
      <vt:lpstr>CNC (HX)</vt:lpstr>
      <vt:lpstr>GBW (HX)</vt:lpstr>
      <vt:lpstr>SEG (HX)</vt:lpstr>
      <vt:lpstr>Commvault S3 Data Collection</vt:lpstr>
      <vt:lpstr>Commvault S3 All Regions</vt:lpstr>
      <vt:lpstr>AWS Operational Commvault</vt:lpstr>
      <vt:lpstr>AWS Immutable</vt:lpstr>
      <vt:lpstr>AWS LTR</vt:lpstr>
    </vt:vector>
  </TitlesOfParts>
  <Manager/>
  <Company>Cochlear Limited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Jan Willems</dc:creator>
  <cp:keywords/>
  <dc:description/>
  <cp:lastModifiedBy>Rubendran Ambihaipahan</cp:lastModifiedBy>
  <cp:revision/>
  <dcterms:created xsi:type="dcterms:W3CDTF">2020-06-10T10:30:22Z</dcterms:created>
  <dcterms:modified xsi:type="dcterms:W3CDTF">2026-09-08T05:13:00Z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0x010100332316533B64F649904E3DA47760CB6F</vt:lpwstr>
  </property>
  <property fmtid="{D5CDD505-2E9C-101B-9397-08002B2CF9AE}" pid="3" name="MediaServiceImageTags">
    <vt:lpwstr/>
  </property>
</Properties>
</file>